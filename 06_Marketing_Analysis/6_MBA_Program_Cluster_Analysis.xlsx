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660"/>
  </bookViews>
  <sheets>
    <sheet name="Project Overview" sheetId="1" r:id="rId1"/>
    <sheet name="Raw Data" sheetId="2" r:id="rId2"/>
    <sheet name="Standardized Data" sheetId="3" r:id="rId3"/>
    <sheet name="K-Means Analysis" sheetId="4" r:id="rId4"/>
    <sheet name="Cluster Result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<sst xmlns="http://schemas.openxmlformats.org/spreadsheetml/2006/main" count="345" uniqueCount="118">
  <si>
    <t>MGT 209 Exercise — MBA Program Cluster Analysis</t>
  </si>
  <si>
    <t>Project Background</t>
  </si>
  <si>
    <t>This Session 005 in-class clustering exercise was from MGT 209: Marketing Management (Winter 2023), MBA. The course case asks an MBA program director to understand the segment of the MBA market in which her program belongs. There are 54 top MBA programs, five program characteristics, and a cluster analysis with five anchors.</t>
  </si>
  <si>
    <t>Project Question</t>
  </si>
  <si>
    <t>How can 54 MBA programs be grouped into five clusters based on GPA, GMAT, acceptance rate, starting salary and bonus, and out-of-state tuition and fees?</t>
  </si>
  <si>
    <t>Workflow</t>
  </si>
  <si>
    <t>Step</t>
  </si>
  <si>
    <t>Description</t>
  </si>
  <si>
    <t/>
  </si>
  <si>
    <t>1</t>
  </si>
  <si>
    <t>Preserve and inspect the 54 original MBA program observations.</t>
  </si>
  <si>
    <t>2</t>
  </si>
  <si>
    <t>Use GPA, GMAT, Acceptance, Salary, and Tuition as the five clustering variables; Rank and School remain identifiers.</t>
  </si>
  <si>
    <t>3</t>
  </si>
  <si>
    <t>Standardize the five variables to z-scores because their raw units differ substantially; this is a documented reproduction choice.</t>
  </si>
  <si>
    <t>4</t>
  </si>
  <si>
    <t>Apply K-means with K = 5, consistent with the slide instruction to use five anchors.</t>
  </si>
  <si>
    <t>5</t>
  </si>
  <si>
    <t>Use Euclidean distance to verify that each program is assigned to its nearest final centroid.</t>
  </si>
  <si>
    <t>6</t>
  </si>
  <si>
    <t>Transform centroids back to original units, profile the five clusters, and inspect program membership.</t>
  </si>
  <si>
    <t>Source / Provenance</t>
  </si>
  <si>
    <t xml:space="preserve">Course-provided instructional dataset: cluster_MBA.csv, used in MGT 209 Session 4/005 (“Data-based Segmentation and Targeting”), UC Riverside, Winter 2023. </t>
  </si>
  <si>
    <t>Original Raw Data — MBA Programs</t>
  </si>
  <si>
    <t>Rank</t>
  </si>
  <si>
    <t>School</t>
  </si>
  <si>
    <t>GPA</t>
  </si>
  <si>
    <t>GMAT</t>
  </si>
  <si>
    <t>Acceptance</t>
  </si>
  <si>
    <t>Salary</t>
  </si>
  <si>
    <t>Tuition</t>
  </si>
  <si>
    <t>Harvard University</t>
  </si>
  <si>
    <t>Standford University</t>
  </si>
  <si>
    <t>University of Pennsylvania</t>
  </si>
  <si>
    <t>Massachusetts Institute of Technology</t>
  </si>
  <si>
    <t>Northwestern University</t>
  </si>
  <si>
    <t>University of Chicago</t>
  </si>
  <si>
    <t>University of California-Berkeley</t>
  </si>
  <si>
    <t>Columbia University</t>
  </si>
  <si>
    <t>Dartmouth College</t>
  </si>
  <si>
    <t>Yale University</t>
  </si>
  <si>
    <t>New York University</t>
  </si>
  <si>
    <t>Duke University</t>
  </si>
  <si>
    <t>University of Michigan-Ann Arbor</t>
  </si>
  <si>
    <t>University of Virginia</t>
  </si>
  <si>
    <t>University of California-Los Angeles</t>
  </si>
  <si>
    <t>Cornell University</t>
  </si>
  <si>
    <t>University of Texas-Austin</t>
  </si>
  <si>
    <t>Carnegie Mellon University</t>
  </si>
  <si>
    <t>Emory University</t>
  </si>
  <si>
    <t>U. of North Carolina-Chapel Hill</t>
  </si>
  <si>
    <t>University of Southern California</t>
  </si>
  <si>
    <t>Washington University in St. Louis</t>
  </si>
  <si>
    <t>Indiana University-Bloomington</t>
  </si>
  <si>
    <t>Georgetown University</t>
  </si>
  <si>
    <t>Ohio State University</t>
  </si>
  <si>
    <t>Rice University</t>
  </si>
  <si>
    <t>University of Notre Dame</t>
  </si>
  <si>
    <t>University of Wisconsin-Madison</t>
  </si>
  <si>
    <t>Vanderbuilt University</t>
  </si>
  <si>
    <t>Arizona State University</t>
  </si>
  <si>
    <t>University of Minnesota-Twin Cities</t>
  </si>
  <si>
    <t>Georgia Institute of Technology</t>
  </si>
  <si>
    <t>Texas A&amp;M University-College Station</t>
  </si>
  <si>
    <t>Brigham Young University</t>
  </si>
  <si>
    <t>University of Washington</t>
  </si>
  <si>
    <t>University of California-Davis</t>
  </si>
  <si>
    <t>Boston College</t>
  </si>
  <si>
    <t>Boston University</t>
  </si>
  <si>
    <t>University of Illinois-Urbana-Champaign</t>
  </si>
  <si>
    <t>University of Rochester</t>
  </si>
  <si>
    <t>University of Texas-Dallas</t>
  </si>
  <si>
    <t>Purdue University</t>
  </si>
  <si>
    <t>Tulane University</t>
  </si>
  <si>
    <t>Michigan State University</t>
  </si>
  <si>
    <t>Pennsylvania State Univ.-Univ. Park</t>
  </si>
  <si>
    <t>University of Florida</t>
  </si>
  <si>
    <t>University of Maryland-College Park</t>
  </si>
  <si>
    <t>Wake Forest University</t>
  </si>
  <si>
    <t>University of California-Irvine</t>
  </si>
  <si>
    <t>University of Iowa</t>
  </si>
  <si>
    <t>University of Arkansas-Fayetteville</t>
  </si>
  <si>
    <t>Case Western Reserve Univ.</t>
  </si>
  <si>
    <t>Temple University</t>
  </si>
  <si>
    <t>Southern Methodist University</t>
  </si>
  <si>
    <t>Standardized Clustering Variables (Z-Scores)</t>
  </si>
  <si>
    <t xml:space="preserve">Because K-means uses Euclidean distance and the five variables have very different raw units, this method standardizes each clustering variable. Formula: z = (x − mean) / population standard deviation. </t>
  </si>
  <si>
    <t>Variable</t>
  </si>
  <si>
    <t>Mean</t>
  </si>
  <si>
    <t>Population SD</t>
  </si>
  <si>
    <t>GPA z</t>
  </si>
  <si>
    <t>GMAT z</t>
  </si>
  <si>
    <t>Acceptance z</t>
  </si>
  <si>
    <t>Salary z</t>
  </si>
  <si>
    <t>Tuition z</t>
  </si>
  <si>
    <t>Final Cluster</t>
  </si>
  <si>
    <t>K-Means Analysis — Five Anchors / K = 5</t>
  </si>
  <si>
    <t xml:space="preserve">Course logic: each cluster has a centroid; each program is assigned to the closest centroid using Euclidean distance; centroids are recomputed until stable. The course asks for five anchors. This workbook uses the final K=5 solution. </t>
  </si>
  <si>
    <t>Cluster</t>
  </si>
  <si>
    <t>Programs</t>
  </si>
  <si>
    <t>Assigned Cluster</t>
  </si>
  <si>
    <t>Dist C1</t>
  </si>
  <si>
    <t>Dist C2</t>
  </si>
  <si>
    <t>Dist C3</t>
  </si>
  <si>
    <t>Dist C4</t>
  </si>
  <si>
    <t>Dist C5</t>
  </si>
  <si>
    <t>Nearest Cluster</t>
  </si>
  <si>
    <t>Verified?</t>
  </si>
  <si>
    <t>Cluster Results and Program Profiles</t>
  </si>
  <si>
    <t>Share</t>
  </si>
  <si>
    <t>Mean GPA</t>
  </si>
  <si>
    <t>Mean GMAT</t>
  </si>
  <si>
    <t>Mean Acceptance</t>
  </si>
  <si>
    <t>Mean Salary</t>
  </si>
  <si>
    <t>Mean Tuition</t>
  </si>
  <si>
    <t>Program Membership</t>
  </si>
  <si>
    <t>Exercise Takeaways</t>
  </si>
  <si>
    <t>This exercise segments 54 MBA programs using five program characteristics and K = 5, consistent with five-anchor instruction. The workbook standardizes the five variables before Euclidean-distance clustering because their units differ substantially. Cluster numbers are algorithmic labels rather than rankings. The useful interpretation comes from comparing each cluster's centroid profile and program membership. The clustering identifies competitive neighborhoods; it does not by itself determine which segment is most attractive.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</si>
</sst>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0.0"/>
    <numFmt numFmtId="180" formatCode="&quot;$&quot;#,##0"/>
    <numFmt numFmtId="181" formatCode="0.000"/>
  </numFmts>
  <fonts count="26">
    <font>
      <sz val="11"/>
      <name val="Carlito"/>
      <charset val="134"/>
    </font>
    <font>
      <b/>
      <sz val="16"/>
      <color rgb="FFFFFFFF"/>
      <name val="Arial"/>
      <charset val="134"/>
    </font>
    <font>
      <sz val="11"/>
      <name val="Arial"/>
      <charset val="134"/>
    </font>
    <font>
      <b/>
      <sz val="11"/>
      <color rgb="FFFFFFFF"/>
      <name val="Arial"/>
      <charset val="134"/>
    </font>
    <font>
      <b/>
      <sz val="11"/>
      <color rgb="FF17365D"/>
      <name val="Arial"/>
      <charset val="134"/>
    </font>
    <font>
      <sz val="11"/>
      <color rgb="FF40404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F4E78"/>
        <bgColor indexed="64"/>
      </patternFill>
    </fill>
    <fill>
      <patternFill patternType="solid">
        <fgColor rgb="FF5B9BD5"/>
        <bgColor indexed="64"/>
      </patternFill>
    </fill>
    <fill>
      <patternFill patternType="solid">
        <fgColor rgb="FFD9EAF7"/>
        <bgColor indexed="64"/>
      </patternFill>
    </fill>
    <fill>
      <patternFill patternType="solid">
        <fgColor rgb="FFF3F6F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7" borderId="4" applyNumberFormat="0" applyAlignment="0" applyProtection="0">
      <alignment vertical="center"/>
    </xf>
    <xf numFmtId="0" fontId="16" fillId="8" borderId="5" applyNumberFormat="0" applyAlignment="0" applyProtection="0">
      <alignment vertical="center"/>
    </xf>
    <xf numFmtId="0" fontId="17" fillId="8" borderId="4" applyNumberFormat="0" applyAlignment="0" applyProtection="0">
      <alignment vertical="center"/>
    </xf>
    <xf numFmtId="0" fontId="18" fillId="9"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14">
    <xf numFmtId="0" fontId="0" fillId="0" borderId="0" xfId="0"/>
    <xf numFmtId="0" fontId="1" fillId="2" borderId="0" xfId="0" applyNumberFormat="1" applyFont="1" applyFill="1" applyBorder="1" applyAlignment="1">
      <alignment vertical="center"/>
    </xf>
    <xf numFmtId="0" fontId="2" fillId="0" borderId="0" xfId="0" applyNumberFormat="1" applyFont="1" applyFill="1" applyBorder="1"/>
    <xf numFmtId="0" fontId="3" fillId="3" borderId="0" xfId="0" applyNumberFormat="1" applyFont="1" applyFill="1" applyBorder="1" applyAlignment="1">
      <alignment horizontal="center" vertical="center"/>
    </xf>
    <xf numFmtId="178" fontId="2" fillId="0" borderId="0" xfId="0" applyNumberFormat="1" applyFont="1" applyFill="1" applyBorder="1"/>
    <xf numFmtId="2" fontId="2" fillId="0" borderId="0" xfId="0" applyNumberFormat="1" applyFont="1" applyFill="1" applyBorder="1"/>
    <xf numFmtId="0" fontId="4" fillId="4" borderId="0" xfId="0" applyNumberFormat="1" applyFont="1" applyFill="1" applyBorder="1" applyAlignment="1">
      <alignment vertical="center"/>
    </xf>
    <xf numFmtId="1" fontId="2" fillId="0" borderId="0" xfId="0" applyNumberFormat="1" applyFont="1" applyFill="1" applyBorder="1"/>
    <xf numFmtId="179" fontId="2" fillId="0" borderId="0" xfId="0" applyNumberFormat="1" applyFont="1" applyFill="1" applyBorder="1"/>
    <xf numFmtId="180" fontId="2" fillId="0" borderId="0" xfId="0" applyNumberFormat="1" applyFont="1" applyFill="1" applyBorder="1"/>
    <xf numFmtId="0" fontId="5" fillId="5" borderId="0" xfId="0" applyNumberFormat="1" applyFont="1" applyFill="1" applyBorder="1" applyAlignment="1">
      <alignment vertical="top" wrapText="1"/>
    </xf>
    <xf numFmtId="181" fontId="2" fillId="0" borderId="0" xfId="0" applyNumberFormat="1" applyFont="1" applyFill="1" applyBorder="1"/>
    <xf numFmtId="0" fontId="3" fillId="3" borderId="0" xfId="0" applyNumberFormat="1" applyFont="1" applyFill="1" applyBorder="1" applyAlignment="1">
      <alignment horizontal="center" vertical="center" wrapText="1"/>
    </xf>
    <xf numFmtId="0" fontId="2" fillId="0" borderId="0" xfId="0" applyNumberFormat="1" applyFont="1" applyFill="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Standardized Cluster Centroid Profiles</a:t>
            </a:r>
          </a:p>
        </c:rich>
      </c:tx>
      <c:layout/>
      <c:overlay val="0"/>
    </c:title>
    <c:autoTitleDeleted val="0"/>
    <c:plotArea>
      <c:layout/>
      <c:lineChart>
        <c:grouping val="standard"/>
        <c:varyColors val="0"/>
        <c:ser>
          <c:idx val="0"/>
          <c:order val="0"/>
          <c:tx>
            <c:strRef>
              <c:f>"GPA z"</c:f>
              <c:strCache>
                <c:ptCount val="1"/>
                <c:pt idx="0">
                  <c:v>GPA z</c:v>
                </c:pt>
              </c:strCache>
            </c:strRef>
          </c:tx>
          <c:marker>
            <c:symbol val="none"/>
          </c:marker>
          <c:dLbls>
            <c:delete val="1"/>
          </c:dLbls>
          <c:cat>
            <c:numRef>
              <c:f>'K-Means Analysis'!$A$17:$A$21</c:f>
              <c:numCache>
                <c:formatCode>General</c:formatCode>
                <c:ptCount val="5"/>
                <c:pt idx="0">
                  <c:v>1</c:v>
                </c:pt>
                <c:pt idx="1">
                  <c:v>2</c:v>
                </c:pt>
                <c:pt idx="2">
                  <c:v>3</c:v>
                </c:pt>
                <c:pt idx="3">
                  <c:v>4</c:v>
                </c:pt>
                <c:pt idx="4">
                  <c:v>5</c:v>
                </c:pt>
              </c:numCache>
            </c:numRef>
          </c:cat>
          <c:val>
            <c:numRef>
              <c:f>'K-Means Analysis'!$B$17:$B$21</c:f>
              <c:numCache>
                <c:formatCode>0.000</c:formatCode>
                <c:ptCount val="5"/>
                <c:pt idx="0">
                  <c:v>0.933274771033779</c:v>
                </c:pt>
                <c:pt idx="1">
                  <c:v>1.29347114708058</c:v>
                </c:pt>
                <c:pt idx="2">
                  <c:v>-0.509426671323871</c:v>
                </c:pt>
                <c:pt idx="3">
                  <c:v>-0.538165743880797</c:v>
                </c:pt>
                <c:pt idx="4">
                  <c:v>-0.660785786790344</c:v>
                </c:pt>
              </c:numCache>
            </c:numRef>
          </c:val>
          <c:smooth val="1"/>
        </c:ser>
        <c:ser>
          <c:idx val="1"/>
          <c:order val="1"/>
          <c:tx>
            <c:strRef>
              <c:f>"GMAT z"</c:f>
              <c:strCache>
                <c:ptCount val="1"/>
                <c:pt idx="0">
                  <c:v>GMAT z</c:v>
                </c:pt>
              </c:strCache>
            </c:strRef>
          </c:tx>
          <c:marker>
            <c:symbol val="none"/>
          </c:marker>
          <c:dLbls>
            <c:delete val="1"/>
          </c:dLbls>
          <c:cat>
            <c:numRef>
              <c:f>'K-Means Analysis'!$A$17:$A$21</c:f>
              <c:numCache>
                <c:formatCode>General</c:formatCode>
                <c:ptCount val="5"/>
                <c:pt idx="0">
                  <c:v>1</c:v>
                </c:pt>
                <c:pt idx="1">
                  <c:v>2</c:v>
                </c:pt>
                <c:pt idx="2">
                  <c:v>3</c:v>
                </c:pt>
                <c:pt idx="3">
                  <c:v>4</c:v>
                </c:pt>
                <c:pt idx="4">
                  <c:v>5</c:v>
                </c:pt>
              </c:numCache>
            </c:numRef>
          </c:cat>
          <c:val>
            <c:numRef>
              <c:f>'K-Means Analysis'!$C$17:$C$21</c:f>
              <c:numCache>
                <c:formatCode>0.000</c:formatCode>
                <c:ptCount val="5"/>
                <c:pt idx="0">
                  <c:v>-0.97955754857552</c:v>
                </c:pt>
                <c:pt idx="1">
                  <c:v>1.37783918920513</c:v>
                </c:pt>
                <c:pt idx="2">
                  <c:v>0.324276606053159</c:v>
                </c:pt>
                <c:pt idx="3">
                  <c:v>-1.16039894215869</c:v>
                </c:pt>
                <c:pt idx="4">
                  <c:v>-0.751352932863421</c:v>
                </c:pt>
              </c:numCache>
            </c:numRef>
          </c:val>
          <c:smooth val="1"/>
        </c:ser>
        <c:ser>
          <c:idx val="2"/>
          <c:order val="2"/>
          <c:tx>
            <c:strRef>
              <c:f>"Acceptance z"</c:f>
              <c:strCache>
                <c:ptCount val="1"/>
                <c:pt idx="0">
                  <c:v>Acceptance z</c:v>
                </c:pt>
              </c:strCache>
            </c:strRef>
          </c:tx>
          <c:marker>
            <c:symbol val="none"/>
          </c:marker>
          <c:dLbls>
            <c:delete val="1"/>
          </c:dLbls>
          <c:cat>
            <c:numRef>
              <c:f>'K-Means Analysis'!$A$17:$A$21</c:f>
              <c:numCache>
                <c:formatCode>General</c:formatCode>
                <c:ptCount val="5"/>
                <c:pt idx="0">
                  <c:v>1</c:v>
                </c:pt>
                <c:pt idx="1">
                  <c:v>2</c:v>
                </c:pt>
                <c:pt idx="2">
                  <c:v>3</c:v>
                </c:pt>
                <c:pt idx="3">
                  <c:v>4</c:v>
                </c:pt>
                <c:pt idx="4">
                  <c:v>5</c:v>
                </c:pt>
              </c:numCache>
            </c:numRef>
          </c:cat>
          <c:val>
            <c:numRef>
              <c:f>'K-Means Analysis'!$D$17:$D$21</c:f>
              <c:numCache>
                <c:formatCode>0.000</c:formatCode>
                <c:ptCount val="5"/>
                <c:pt idx="0">
                  <c:v>0.361772527192987</c:v>
                </c:pt>
                <c:pt idx="1">
                  <c:v>-1.19210585767809</c:v>
                </c:pt>
                <c:pt idx="2">
                  <c:v>0.0368673810342254</c:v>
                </c:pt>
                <c:pt idx="3">
                  <c:v>2.8607634780843</c:v>
                </c:pt>
                <c:pt idx="4">
                  <c:v>0.323512782014612</c:v>
                </c:pt>
              </c:numCache>
            </c:numRef>
          </c:val>
          <c:smooth val="1"/>
        </c:ser>
        <c:ser>
          <c:idx val="3"/>
          <c:order val="3"/>
          <c:tx>
            <c:strRef>
              <c:f>"Salary z"</c:f>
              <c:strCache>
                <c:ptCount val="1"/>
                <c:pt idx="0">
                  <c:v>Salary z</c:v>
                </c:pt>
              </c:strCache>
            </c:strRef>
          </c:tx>
          <c:marker>
            <c:symbol val="none"/>
          </c:marker>
          <c:dLbls>
            <c:delete val="1"/>
          </c:dLbls>
          <c:cat>
            <c:numRef>
              <c:f>'K-Means Analysis'!$A$17:$A$21</c:f>
              <c:numCache>
                <c:formatCode>General</c:formatCode>
                <c:ptCount val="5"/>
                <c:pt idx="0">
                  <c:v>1</c:v>
                </c:pt>
                <c:pt idx="1">
                  <c:v>2</c:v>
                </c:pt>
                <c:pt idx="2">
                  <c:v>3</c:v>
                </c:pt>
                <c:pt idx="3">
                  <c:v>4</c:v>
                </c:pt>
                <c:pt idx="4">
                  <c:v>5</c:v>
                </c:pt>
              </c:numCache>
            </c:numRef>
          </c:cat>
          <c:val>
            <c:numRef>
              <c:f>'K-Means Analysis'!$E$17:$E$21</c:f>
              <c:numCache>
                <c:formatCode>0.000</c:formatCode>
                <c:ptCount val="5"/>
                <c:pt idx="0">
                  <c:v>-1.16490846128637</c:v>
                </c:pt>
                <c:pt idx="1">
                  <c:v>1.3407736437118</c:v>
                </c:pt>
                <c:pt idx="2">
                  <c:v>0.343870196757112</c:v>
                </c:pt>
                <c:pt idx="3">
                  <c:v>-1.41251122855878</c:v>
                </c:pt>
                <c:pt idx="4">
                  <c:v>-0.654262980434424</c:v>
                </c:pt>
              </c:numCache>
            </c:numRef>
          </c:val>
          <c:smooth val="1"/>
        </c:ser>
        <c:ser>
          <c:idx val="4"/>
          <c:order val="4"/>
          <c:tx>
            <c:strRef>
              <c:f>"Tuition z"</c:f>
              <c:strCache>
                <c:ptCount val="1"/>
                <c:pt idx="0">
                  <c:v>Tuition z</c:v>
                </c:pt>
              </c:strCache>
            </c:strRef>
          </c:tx>
          <c:marker>
            <c:symbol val="none"/>
          </c:marker>
          <c:dLbls>
            <c:delete val="1"/>
          </c:dLbls>
          <c:cat>
            <c:numRef>
              <c:f>'K-Means Analysis'!$A$17:$A$21</c:f>
              <c:numCache>
                <c:formatCode>General</c:formatCode>
                <c:ptCount val="5"/>
                <c:pt idx="0">
                  <c:v>1</c:v>
                </c:pt>
                <c:pt idx="1">
                  <c:v>2</c:v>
                </c:pt>
                <c:pt idx="2">
                  <c:v>3</c:v>
                </c:pt>
                <c:pt idx="3">
                  <c:v>4</c:v>
                </c:pt>
                <c:pt idx="4">
                  <c:v>5</c:v>
                </c:pt>
              </c:numCache>
            </c:numRef>
          </c:cat>
          <c:val>
            <c:numRef>
              <c:f>'K-Means Analysis'!$F$17:$F$21</c:f>
              <c:numCache>
                <c:formatCode>0.000</c:formatCode>
                <c:ptCount val="5"/>
                <c:pt idx="0">
                  <c:v>-1.83573049518663</c:v>
                </c:pt>
                <c:pt idx="1">
                  <c:v>1.05373901974156</c:v>
                </c:pt>
                <c:pt idx="2">
                  <c:v>0.435872928945608</c:v>
                </c:pt>
                <c:pt idx="3">
                  <c:v>0.210520103317499</c:v>
                </c:pt>
                <c:pt idx="4">
                  <c:v>-0.501416240863536</c:v>
                </c:pt>
              </c:numCache>
            </c:numRef>
          </c:val>
          <c:smooth val="1"/>
        </c:ser>
        <c:dLbls>
          <c:showLegendKey val="0"/>
          <c:showVal val="0"/>
          <c:showCatName val="0"/>
          <c:showSerName val="0"/>
          <c:showPercent val="0"/>
          <c:showBubbleSize val="0"/>
        </c:dLbls>
        <c:marker val="0"/>
        <c:smooth val="1"/>
        <c:axId val="48650112"/>
        <c:axId val="48672768"/>
      </c:line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0.00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9fe6a3e-aea7-4bc0-af8f-31e3dd5aef63}"/>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11</xdr:col>
      <xdr:colOff>0</xdr:colOff>
      <xdr:row>7</xdr:row>
      <xdr:rowOff>0</xdr:rowOff>
    </xdr:from>
    <xdr:to>
      <xdr:col>20</xdr:col>
      <xdr:colOff>0</xdr:colOff>
      <xdr:row>24</xdr:row>
      <xdr:rowOff>0</xdr:rowOff>
    </xdr:to>
    <xdr:graphicFrame>
      <xdr:nvGraphicFramePr>
        <xdr:cNvPr id="2" name="Chart"/>
        <xdr:cNvGraphicFramePr/>
      </xdr:nvGraphicFramePr>
      <xdr:xfrm>
        <a:off x="12954000" y="1574800"/>
        <a:ext cx="6995160" cy="3627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MBAProgramsRaw" displayName="MBAProgramsRaw" ref="A3:G57" totalsRowShown="0">
  <tableColumns count="7">
    <tableColumn id="1" name="Rank"/>
    <tableColumn id="2" name="School"/>
    <tableColumn id="3" name="GPA"/>
    <tableColumn id="4" name="GMAT"/>
    <tableColumn id="5" name="Acceptance"/>
    <tableColumn id="6" name="Salary"/>
    <tableColumn id="7" name="Tui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1"/>
  <sheetViews>
    <sheetView tabSelected="1" workbookViewId="0">
      <selection activeCell="A3" sqref="A3:G3"/>
    </sheetView>
  </sheetViews>
  <sheetFormatPr defaultColWidth="9" defaultRowHeight="16.8" outlineLevelCol="6"/>
  <cols>
    <col min="1" max="1" width="12" customWidth="1"/>
    <col min="2" max="7" width="18" customWidth="1"/>
  </cols>
  <sheetData>
    <row r="1" ht="23.2" spans="1:7">
      <c r="A1" s="1" t="s">
        <v>0</v>
      </c>
      <c r="B1" s="1"/>
      <c r="C1" s="1"/>
      <c r="D1" s="1"/>
      <c r="E1" s="1"/>
      <c r="F1" s="1"/>
      <c r="G1" s="1"/>
    </row>
    <row r="2" spans="1:7">
      <c r="A2" s="2"/>
      <c r="B2" s="2"/>
      <c r="C2" s="2"/>
      <c r="D2" s="2"/>
      <c r="E2" s="2"/>
      <c r="F2" s="2"/>
      <c r="G2" s="2"/>
    </row>
    <row r="3" spans="1:7">
      <c r="A3" s="6" t="s">
        <v>1</v>
      </c>
      <c r="B3" s="6"/>
      <c r="C3" s="6"/>
      <c r="D3" s="6"/>
      <c r="E3" s="6"/>
      <c r="F3" s="6"/>
      <c r="G3" s="6"/>
    </row>
    <row r="4" spans="1:7">
      <c r="A4" s="10" t="s">
        <v>2</v>
      </c>
      <c r="B4" s="10"/>
      <c r="C4" s="10"/>
      <c r="D4" s="10"/>
      <c r="E4" s="10"/>
      <c r="F4" s="10"/>
      <c r="G4" s="10"/>
    </row>
    <row r="5" spans="1:7">
      <c r="A5" s="10"/>
      <c r="B5" s="10"/>
      <c r="C5" s="10"/>
      <c r="D5" s="10"/>
      <c r="E5" s="10"/>
      <c r="F5" s="10"/>
      <c r="G5" s="10"/>
    </row>
    <row r="6" spans="1:7">
      <c r="A6" s="10"/>
      <c r="B6" s="10"/>
      <c r="C6" s="10"/>
      <c r="D6" s="10"/>
      <c r="E6" s="10"/>
      <c r="F6" s="10"/>
      <c r="G6" s="10"/>
    </row>
    <row r="7" spans="1:7">
      <c r="A7" s="10"/>
      <c r="B7" s="10"/>
      <c r="C7" s="10"/>
      <c r="D7" s="10"/>
      <c r="E7" s="10"/>
      <c r="F7" s="10"/>
      <c r="G7" s="10"/>
    </row>
    <row r="8" spans="1:7">
      <c r="A8" s="10"/>
      <c r="B8" s="10"/>
      <c r="C8" s="10"/>
      <c r="D8" s="10"/>
      <c r="E8" s="10"/>
      <c r="F8" s="10"/>
      <c r="G8" s="10"/>
    </row>
    <row r="9" spans="1:7">
      <c r="A9" s="2"/>
      <c r="B9" s="2"/>
      <c r="C9" s="2"/>
      <c r="D9" s="2"/>
      <c r="E9" s="2"/>
      <c r="F9" s="2"/>
      <c r="G9" s="2"/>
    </row>
    <row r="10" spans="1:7">
      <c r="A10" s="6" t="s">
        <v>3</v>
      </c>
      <c r="B10" s="6"/>
      <c r="C10" s="6"/>
      <c r="D10" s="6"/>
      <c r="E10" s="6"/>
      <c r="F10" s="6"/>
      <c r="G10" s="6"/>
    </row>
    <row r="11" spans="1:7">
      <c r="A11" s="10" t="s">
        <v>4</v>
      </c>
      <c r="B11" s="10"/>
      <c r="C11" s="10"/>
      <c r="D11" s="10"/>
      <c r="E11" s="10"/>
      <c r="F11" s="10"/>
      <c r="G11" s="10"/>
    </row>
    <row r="12" spans="1:7">
      <c r="A12" s="10"/>
      <c r="B12" s="10"/>
      <c r="C12" s="10"/>
      <c r="D12" s="10"/>
      <c r="E12" s="10"/>
      <c r="F12" s="10"/>
      <c r="G12" s="10"/>
    </row>
    <row r="13" spans="1:7">
      <c r="A13" s="10"/>
      <c r="B13" s="10"/>
      <c r="C13" s="10"/>
      <c r="D13" s="10"/>
      <c r="E13" s="10"/>
      <c r="F13" s="10"/>
      <c r="G13" s="10"/>
    </row>
    <row r="14" spans="1:7">
      <c r="A14" s="2"/>
      <c r="B14" s="2"/>
      <c r="C14" s="2"/>
      <c r="D14" s="2"/>
      <c r="E14" s="2"/>
      <c r="F14" s="2"/>
      <c r="G14" s="2"/>
    </row>
    <row r="15" spans="1:7">
      <c r="A15" s="6" t="s">
        <v>5</v>
      </c>
      <c r="B15" s="6"/>
      <c r="C15" s="6"/>
      <c r="D15" s="6"/>
      <c r="E15" s="6"/>
      <c r="F15" s="6"/>
      <c r="G15" s="6"/>
    </row>
    <row r="16" ht="17" spans="1:7">
      <c r="A16" s="12" t="s">
        <v>6</v>
      </c>
      <c r="B16" s="12" t="s">
        <v>7</v>
      </c>
      <c r="C16" s="12" t="s">
        <v>8</v>
      </c>
      <c r="D16" s="12" t="s">
        <v>8</v>
      </c>
      <c r="E16" s="12" t="s">
        <v>8</v>
      </c>
      <c r="F16" s="12" t="s">
        <v>8</v>
      </c>
      <c r="G16" s="12" t="s">
        <v>8</v>
      </c>
    </row>
    <row r="17" ht="17" spans="1:7">
      <c r="A17" s="13" t="s">
        <v>9</v>
      </c>
      <c r="B17" s="13" t="s">
        <v>10</v>
      </c>
      <c r="C17" s="13" t="s">
        <v>8</v>
      </c>
      <c r="D17" s="13" t="s">
        <v>8</v>
      </c>
      <c r="E17" s="13" t="s">
        <v>8</v>
      </c>
      <c r="F17" s="13" t="s">
        <v>8</v>
      </c>
      <c r="G17" s="13" t="s">
        <v>8</v>
      </c>
    </row>
    <row r="18" ht="17" spans="1:7">
      <c r="A18" s="13" t="s">
        <v>11</v>
      </c>
      <c r="B18" s="13" t="s">
        <v>12</v>
      </c>
      <c r="C18" s="13" t="s">
        <v>8</v>
      </c>
      <c r="D18" s="13" t="s">
        <v>8</v>
      </c>
      <c r="E18" s="13" t="s">
        <v>8</v>
      </c>
      <c r="F18" s="13" t="s">
        <v>8</v>
      </c>
      <c r="G18" s="13" t="s">
        <v>8</v>
      </c>
    </row>
    <row r="19" ht="17" spans="1:7">
      <c r="A19" s="13" t="s">
        <v>13</v>
      </c>
      <c r="B19" s="13" t="s">
        <v>14</v>
      </c>
      <c r="C19" s="13" t="s">
        <v>8</v>
      </c>
      <c r="D19" s="13" t="s">
        <v>8</v>
      </c>
      <c r="E19" s="13" t="s">
        <v>8</v>
      </c>
      <c r="F19" s="13" t="s">
        <v>8</v>
      </c>
      <c r="G19" s="13" t="s">
        <v>8</v>
      </c>
    </row>
    <row r="20" ht="17" spans="1:7">
      <c r="A20" s="13" t="s">
        <v>15</v>
      </c>
      <c r="B20" s="13" t="s">
        <v>16</v>
      </c>
      <c r="C20" s="13" t="s">
        <v>8</v>
      </c>
      <c r="D20" s="13" t="s">
        <v>8</v>
      </c>
      <c r="E20" s="13" t="s">
        <v>8</v>
      </c>
      <c r="F20" s="13" t="s">
        <v>8</v>
      </c>
      <c r="G20" s="13" t="s">
        <v>8</v>
      </c>
    </row>
    <row r="21" ht="17" spans="1:7">
      <c r="A21" s="13" t="s">
        <v>17</v>
      </c>
      <c r="B21" s="13" t="s">
        <v>18</v>
      </c>
      <c r="C21" s="13" t="s">
        <v>8</v>
      </c>
      <c r="D21" s="13" t="s">
        <v>8</v>
      </c>
      <c r="E21" s="13" t="s">
        <v>8</v>
      </c>
      <c r="F21" s="13" t="s">
        <v>8</v>
      </c>
      <c r="G21" s="13" t="s">
        <v>8</v>
      </c>
    </row>
    <row r="22" ht="17" spans="1:7">
      <c r="A22" s="13" t="s">
        <v>19</v>
      </c>
      <c r="B22" s="13" t="s">
        <v>20</v>
      </c>
      <c r="C22" s="13" t="s">
        <v>8</v>
      </c>
      <c r="D22" s="13" t="s">
        <v>8</v>
      </c>
      <c r="E22" s="13" t="s">
        <v>8</v>
      </c>
      <c r="F22" s="13" t="s">
        <v>8</v>
      </c>
      <c r="G22" s="13" t="s">
        <v>8</v>
      </c>
    </row>
    <row r="23" spans="1:7">
      <c r="A23" s="2"/>
      <c r="B23" s="2"/>
      <c r="C23" s="2"/>
      <c r="D23" s="2"/>
      <c r="E23" s="2"/>
      <c r="F23" s="2"/>
      <c r="G23" s="2"/>
    </row>
    <row r="24" spans="1:7">
      <c r="A24" s="2"/>
      <c r="B24" s="2"/>
      <c r="C24" s="2"/>
      <c r="D24" s="2"/>
      <c r="E24" s="2"/>
      <c r="F24" s="2"/>
      <c r="G24" s="2"/>
    </row>
    <row r="25" spans="1:7">
      <c r="A25" s="2"/>
      <c r="B25" s="2"/>
      <c r="C25" s="2"/>
      <c r="D25" s="2"/>
      <c r="E25" s="2"/>
      <c r="F25" s="2"/>
      <c r="G25" s="2"/>
    </row>
    <row r="26" spans="1:7">
      <c r="A26" s="2"/>
      <c r="B26" s="2"/>
      <c r="C26" s="2"/>
      <c r="D26" s="2"/>
      <c r="E26" s="2"/>
      <c r="F26" s="2"/>
      <c r="G26" s="2"/>
    </row>
    <row r="27" spans="1:7">
      <c r="A27" s="6" t="s">
        <v>21</v>
      </c>
      <c r="B27" s="6"/>
      <c r="C27" s="6"/>
      <c r="D27" s="6"/>
      <c r="E27" s="6"/>
      <c r="F27" s="6"/>
      <c r="G27" s="6"/>
    </row>
    <row r="28" spans="1:7">
      <c r="A28" s="10" t="s">
        <v>22</v>
      </c>
      <c r="B28" s="10"/>
      <c r="C28" s="10"/>
      <c r="D28" s="10"/>
      <c r="E28" s="10"/>
      <c r="F28" s="10"/>
      <c r="G28" s="10"/>
    </row>
    <row r="29" spans="1:7">
      <c r="A29" s="10"/>
      <c r="B29" s="10"/>
      <c r="C29" s="10"/>
      <c r="D29" s="10"/>
      <c r="E29" s="10"/>
      <c r="F29" s="10"/>
      <c r="G29" s="10"/>
    </row>
    <row r="30" spans="1:7">
      <c r="A30" s="10"/>
      <c r="B30" s="10"/>
      <c r="C30" s="10"/>
      <c r="D30" s="10"/>
      <c r="E30" s="10"/>
      <c r="F30" s="10"/>
      <c r="G30" s="10"/>
    </row>
    <row r="31" spans="1:7">
      <c r="A31" s="10"/>
      <c r="B31" s="10"/>
      <c r="C31" s="10"/>
      <c r="D31" s="10"/>
      <c r="E31" s="10"/>
      <c r="F31" s="10"/>
      <c r="G31" s="10"/>
    </row>
  </sheetData>
  <mergeCells count="15">
    <mergeCell ref="A1:G1"/>
    <mergeCell ref="A3:G3"/>
    <mergeCell ref="A10:G10"/>
    <mergeCell ref="A15:G15"/>
    <mergeCell ref="B16:G16"/>
    <mergeCell ref="B17:G17"/>
    <mergeCell ref="B18:G18"/>
    <mergeCell ref="B19:G19"/>
    <mergeCell ref="B20:G20"/>
    <mergeCell ref="B21:G21"/>
    <mergeCell ref="B22:G22"/>
    <mergeCell ref="A27:G27"/>
    <mergeCell ref="A4:G8"/>
    <mergeCell ref="A11:G13"/>
    <mergeCell ref="A28:G3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7"/>
  <sheetViews>
    <sheetView topLeftCell="A2" workbookViewId="0">
      <selection activeCell="C20" sqref="C20"/>
    </sheetView>
  </sheetViews>
  <sheetFormatPr defaultColWidth="9" defaultRowHeight="16.8" outlineLevelCol="6"/>
  <cols>
    <col min="1" max="1" width="8" customWidth="1"/>
    <col min="2" max="2" width="34" customWidth="1"/>
    <col min="3" max="4" width="10" customWidth="1"/>
    <col min="5" max="5" width="12" customWidth="1"/>
    <col min="6" max="7" width="15" customWidth="1"/>
  </cols>
  <sheetData>
    <row r="1" ht="23.2" spans="1:7">
      <c r="A1" s="1" t="s">
        <v>23</v>
      </c>
      <c r="B1" s="1"/>
      <c r="C1" s="1"/>
      <c r="D1" s="1"/>
      <c r="E1" s="1"/>
      <c r="F1" s="1"/>
      <c r="G1" s="1"/>
    </row>
    <row r="2" spans="1:7">
      <c r="A2" s="2"/>
      <c r="B2" s="2"/>
      <c r="C2" s="2"/>
      <c r="D2" s="2"/>
      <c r="E2" s="2"/>
      <c r="F2" s="2"/>
      <c r="G2" s="2"/>
    </row>
    <row r="3" spans="1:7">
      <c r="A3" s="3" t="s">
        <v>24</v>
      </c>
      <c r="B3" s="3" t="s">
        <v>25</v>
      </c>
      <c r="C3" s="3" t="s">
        <v>26</v>
      </c>
      <c r="D3" s="3" t="s">
        <v>27</v>
      </c>
      <c r="E3" s="3" t="s">
        <v>28</v>
      </c>
      <c r="F3" s="3" t="s">
        <v>29</v>
      </c>
      <c r="G3" s="3" t="s">
        <v>30</v>
      </c>
    </row>
    <row r="4" spans="1:7">
      <c r="A4" s="2">
        <v>1</v>
      </c>
      <c r="B4" s="2" t="s">
        <v>31</v>
      </c>
      <c r="C4" s="5">
        <v>3.66</v>
      </c>
      <c r="D4" s="7">
        <v>724</v>
      </c>
      <c r="E4" s="8">
        <v>11.1</v>
      </c>
      <c r="F4" s="9">
        <v>139735</v>
      </c>
      <c r="G4" s="9">
        <v>60610</v>
      </c>
    </row>
    <row r="5" spans="1:7">
      <c r="A5" s="2">
        <v>2</v>
      </c>
      <c r="B5" s="2" t="s">
        <v>32</v>
      </c>
      <c r="C5" s="5">
        <v>3.7</v>
      </c>
      <c r="D5" s="7">
        <v>730</v>
      </c>
      <c r="E5" s="8">
        <v>7</v>
      </c>
      <c r="F5" s="9">
        <v>140972</v>
      </c>
      <c r="G5" s="9">
        <v>55200</v>
      </c>
    </row>
    <row r="6" spans="1:7">
      <c r="A6" s="2">
        <v>3</v>
      </c>
      <c r="B6" s="2" t="s">
        <v>33</v>
      </c>
      <c r="C6" s="5">
        <v>3.56</v>
      </c>
      <c r="D6" s="7">
        <v>718</v>
      </c>
      <c r="E6" s="8">
        <v>18.8</v>
      </c>
      <c r="F6" s="9">
        <v>137311</v>
      </c>
      <c r="G6" s="9">
        <v>58244</v>
      </c>
    </row>
    <row r="7" spans="1:7">
      <c r="A7" s="2">
        <v>4</v>
      </c>
      <c r="B7" s="2" t="s">
        <v>34</v>
      </c>
      <c r="C7" s="5">
        <v>3.51</v>
      </c>
      <c r="D7" s="7">
        <v>710</v>
      </c>
      <c r="E7" s="8">
        <v>13.3</v>
      </c>
      <c r="F7" s="9">
        <v>132618</v>
      </c>
      <c r="G7" s="9">
        <v>52900</v>
      </c>
    </row>
    <row r="8" spans="1:7">
      <c r="A8" s="2">
        <v>5</v>
      </c>
      <c r="B8" s="2" t="s">
        <v>35</v>
      </c>
      <c r="C8" s="5">
        <v>3.54</v>
      </c>
      <c r="D8" s="7">
        <v>712</v>
      </c>
      <c r="E8" s="8">
        <v>21.1</v>
      </c>
      <c r="F8" s="9">
        <v>130092</v>
      </c>
      <c r="G8" s="9">
        <v>54225</v>
      </c>
    </row>
    <row r="9" spans="1:7">
      <c r="A9" s="2">
        <v>6</v>
      </c>
      <c r="B9" s="2" t="s">
        <v>36</v>
      </c>
      <c r="C9" s="5">
        <v>3.52</v>
      </c>
      <c r="D9" s="7">
        <v>719</v>
      </c>
      <c r="E9" s="8">
        <v>21.9</v>
      </c>
      <c r="F9" s="9">
        <v>133424</v>
      </c>
      <c r="G9" s="9">
        <v>54252</v>
      </c>
    </row>
    <row r="10" spans="1:7">
      <c r="A10" s="2">
        <v>7</v>
      </c>
      <c r="B10" s="2" t="s">
        <v>37</v>
      </c>
      <c r="C10" s="5">
        <v>3.64</v>
      </c>
      <c r="D10" s="7">
        <v>715</v>
      </c>
      <c r="E10" s="8">
        <v>12.2</v>
      </c>
      <c r="F10" s="9">
        <v>129776</v>
      </c>
      <c r="G10" s="9">
        <v>53396</v>
      </c>
    </row>
    <row r="11" spans="1:7">
      <c r="A11" s="2">
        <v>8</v>
      </c>
      <c r="B11" s="2" t="s">
        <v>38</v>
      </c>
      <c r="C11" s="5">
        <v>3.5</v>
      </c>
      <c r="D11" s="7">
        <v>716</v>
      </c>
      <c r="E11" s="8">
        <v>15.9</v>
      </c>
      <c r="F11" s="9">
        <v>134233</v>
      </c>
      <c r="G11" s="9">
        <v>58350</v>
      </c>
    </row>
    <row r="12" spans="1:7">
      <c r="A12" s="2">
        <v>9</v>
      </c>
      <c r="B12" s="2" t="s">
        <v>39</v>
      </c>
      <c r="C12" s="5">
        <v>3.52</v>
      </c>
      <c r="D12" s="7">
        <v>718</v>
      </c>
      <c r="E12" s="8">
        <v>17.9</v>
      </c>
      <c r="F12" s="9">
        <v>138220</v>
      </c>
      <c r="G12" s="9">
        <v>56555</v>
      </c>
    </row>
    <row r="13" spans="1:7">
      <c r="A13" s="2">
        <v>10</v>
      </c>
      <c r="B13" s="2" t="s">
        <v>40</v>
      </c>
      <c r="C13" s="5">
        <v>3.52</v>
      </c>
      <c r="D13" s="7">
        <v>719</v>
      </c>
      <c r="E13" s="8">
        <v>19.1</v>
      </c>
      <c r="F13" s="9">
        <v>125735</v>
      </c>
      <c r="G13" s="9">
        <v>53900</v>
      </c>
    </row>
    <row r="14" spans="1:7">
      <c r="A14" s="2">
        <v>11</v>
      </c>
      <c r="B14" s="2" t="s">
        <v>41</v>
      </c>
      <c r="C14" s="5">
        <v>3.42</v>
      </c>
      <c r="D14" s="7">
        <v>719</v>
      </c>
      <c r="E14" s="8">
        <v>13.6</v>
      </c>
      <c r="F14" s="9">
        <v>128888</v>
      </c>
      <c r="G14" s="9">
        <v>50582</v>
      </c>
    </row>
    <row r="15" spans="1:7">
      <c r="A15" s="2">
        <v>12</v>
      </c>
      <c r="B15" s="2" t="s">
        <v>42</v>
      </c>
      <c r="C15" s="5">
        <v>3.44</v>
      </c>
      <c r="D15" s="7">
        <v>689</v>
      </c>
      <c r="E15" s="8">
        <v>26.5</v>
      </c>
      <c r="F15" s="9">
        <v>128666</v>
      </c>
      <c r="G15" s="9">
        <v>52152</v>
      </c>
    </row>
    <row r="16" spans="1:7">
      <c r="A16" s="2">
        <v>13</v>
      </c>
      <c r="B16" s="2" t="s">
        <v>43</v>
      </c>
      <c r="C16" s="5">
        <v>3.4</v>
      </c>
      <c r="D16" s="7">
        <v>703</v>
      </c>
      <c r="E16" s="8">
        <v>32.2</v>
      </c>
      <c r="F16" s="9">
        <v>127817</v>
      </c>
      <c r="G16" s="9">
        <v>52944</v>
      </c>
    </row>
    <row r="17" spans="1:7">
      <c r="A17" s="2">
        <v>14</v>
      </c>
      <c r="B17" s="2" t="s">
        <v>44</v>
      </c>
      <c r="C17" s="5">
        <v>3.4</v>
      </c>
      <c r="D17" s="7">
        <v>701</v>
      </c>
      <c r="E17" s="8">
        <v>24.6</v>
      </c>
      <c r="F17" s="9">
        <v>127595</v>
      </c>
      <c r="G17" s="9">
        <v>52000</v>
      </c>
    </row>
    <row r="18" spans="1:7">
      <c r="A18" s="2">
        <v>15</v>
      </c>
      <c r="B18" s="2" t="s">
        <v>45</v>
      </c>
      <c r="C18" s="5">
        <v>3.5</v>
      </c>
      <c r="D18" s="7">
        <v>704</v>
      </c>
      <c r="E18" s="8">
        <v>28.6</v>
      </c>
      <c r="F18" s="9">
        <v>119109</v>
      </c>
      <c r="G18" s="9">
        <v>52580</v>
      </c>
    </row>
    <row r="19" spans="1:7">
      <c r="A19" s="2">
        <v>16</v>
      </c>
      <c r="B19" s="2" t="s">
        <v>46</v>
      </c>
      <c r="C19" s="5">
        <v>3.29</v>
      </c>
      <c r="D19" s="7">
        <v>691</v>
      </c>
      <c r="E19" s="8">
        <v>27.1</v>
      </c>
      <c r="F19" s="9">
        <v>122329</v>
      </c>
      <c r="G19" s="9">
        <v>53200</v>
      </c>
    </row>
    <row r="20" spans="1:7">
      <c r="A20" s="2">
        <v>17</v>
      </c>
      <c r="B20" s="2" t="s">
        <v>47</v>
      </c>
      <c r="C20" s="5">
        <v>3.43</v>
      </c>
      <c r="D20" s="7">
        <v>692</v>
      </c>
      <c r="E20" s="8">
        <v>25.3</v>
      </c>
      <c r="F20" s="9">
        <v>118410</v>
      </c>
      <c r="G20" s="9">
        <v>47836</v>
      </c>
    </row>
    <row r="21" spans="1:7">
      <c r="A21" s="2">
        <v>18</v>
      </c>
      <c r="B21" s="2" t="s">
        <v>48</v>
      </c>
      <c r="C21" s="5">
        <v>3.35</v>
      </c>
      <c r="D21" s="7">
        <v>686</v>
      </c>
      <c r="E21" s="8">
        <v>23.9</v>
      </c>
      <c r="F21" s="9">
        <v>117650</v>
      </c>
      <c r="G21" s="9">
        <v>54800</v>
      </c>
    </row>
    <row r="22" spans="1:7">
      <c r="A22" s="2">
        <v>19</v>
      </c>
      <c r="B22" s="2" t="s">
        <v>49</v>
      </c>
      <c r="C22" s="5">
        <v>3.3</v>
      </c>
      <c r="D22" s="7">
        <v>681</v>
      </c>
      <c r="E22" s="8">
        <v>35.1</v>
      </c>
      <c r="F22" s="9">
        <v>121050</v>
      </c>
      <c r="G22" s="9">
        <v>44098</v>
      </c>
    </row>
    <row r="23" spans="1:7">
      <c r="A23" s="2">
        <v>20</v>
      </c>
      <c r="B23" s="2" t="s">
        <v>50</v>
      </c>
      <c r="C23" s="5">
        <v>3.31</v>
      </c>
      <c r="D23" s="7">
        <v>689</v>
      </c>
      <c r="E23" s="8">
        <v>37.7</v>
      </c>
      <c r="F23" s="9">
        <v>101904</v>
      </c>
      <c r="G23" s="9">
        <v>50613</v>
      </c>
    </row>
    <row r="24" spans="1:7">
      <c r="A24" s="2">
        <v>21</v>
      </c>
      <c r="B24" s="2" t="s">
        <v>51</v>
      </c>
      <c r="C24" s="5">
        <v>3.3</v>
      </c>
      <c r="D24" s="7">
        <v>687</v>
      </c>
      <c r="E24" s="8">
        <v>27</v>
      </c>
      <c r="F24" s="9">
        <v>109619</v>
      </c>
      <c r="G24" s="9">
        <v>51784</v>
      </c>
    </row>
    <row r="25" spans="1:7">
      <c r="A25" s="2">
        <v>22</v>
      </c>
      <c r="B25" s="2" t="s">
        <v>52</v>
      </c>
      <c r="C25" s="5">
        <v>3.32</v>
      </c>
      <c r="D25" s="7">
        <v>696</v>
      </c>
      <c r="E25" s="8">
        <v>28.1</v>
      </c>
      <c r="F25" s="9">
        <v>99354</v>
      </c>
      <c r="G25" s="9">
        <v>46975</v>
      </c>
    </row>
    <row r="26" spans="1:7">
      <c r="A26" s="2">
        <v>23</v>
      </c>
      <c r="B26" s="2" t="s">
        <v>53</v>
      </c>
      <c r="C26" s="5">
        <v>3.32</v>
      </c>
      <c r="D26" s="7">
        <v>670</v>
      </c>
      <c r="E26" s="8">
        <v>38</v>
      </c>
      <c r="F26" s="9">
        <v>106195</v>
      </c>
      <c r="G26" s="9">
        <v>45351</v>
      </c>
    </row>
    <row r="27" spans="1:7">
      <c r="A27" s="2">
        <v>24</v>
      </c>
      <c r="B27" s="2" t="s">
        <v>54</v>
      </c>
      <c r="C27" s="5">
        <v>3.31</v>
      </c>
      <c r="D27" s="7">
        <v>686</v>
      </c>
      <c r="E27" s="8">
        <v>49.1</v>
      </c>
      <c r="F27" s="9">
        <v>111721</v>
      </c>
      <c r="G27" s="9">
        <v>49265</v>
      </c>
    </row>
    <row r="28" spans="1:7">
      <c r="A28" s="2">
        <v>25</v>
      </c>
      <c r="B28" s="2" t="s">
        <v>55</v>
      </c>
      <c r="C28" s="5">
        <v>3.4</v>
      </c>
      <c r="D28" s="7">
        <v>674</v>
      </c>
      <c r="E28" s="8">
        <v>26.7</v>
      </c>
      <c r="F28" s="9">
        <v>91696</v>
      </c>
      <c r="G28" s="9">
        <v>43800</v>
      </c>
    </row>
    <row r="29" spans="1:7">
      <c r="A29" s="2">
        <v>26</v>
      </c>
      <c r="B29" s="2" t="s">
        <v>56</v>
      </c>
      <c r="C29" s="5">
        <v>3.4</v>
      </c>
      <c r="D29" s="7">
        <v>673</v>
      </c>
      <c r="E29" s="8">
        <v>25.2</v>
      </c>
      <c r="F29" s="9">
        <v>108175</v>
      </c>
      <c r="G29" s="9">
        <v>46482</v>
      </c>
    </row>
    <row r="30" spans="1:7">
      <c r="A30" s="2">
        <v>27</v>
      </c>
      <c r="B30" s="2" t="s">
        <v>57</v>
      </c>
      <c r="C30" s="5">
        <v>3.33</v>
      </c>
      <c r="D30" s="7">
        <v>692</v>
      </c>
      <c r="E30" s="8">
        <v>36.8</v>
      </c>
      <c r="F30" s="9">
        <v>104763</v>
      </c>
      <c r="G30" s="9">
        <v>42520</v>
      </c>
    </row>
    <row r="31" spans="1:7">
      <c r="A31" s="2">
        <v>28</v>
      </c>
      <c r="B31" s="2" t="s">
        <v>58</v>
      </c>
      <c r="C31" s="5">
        <v>3.33</v>
      </c>
      <c r="D31" s="7">
        <v>680</v>
      </c>
      <c r="E31" s="8">
        <v>30.3</v>
      </c>
      <c r="F31" s="9">
        <v>105333</v>
      </c>
      <c r="G31" s="9">
        <v>26757</v>
      </c>
    </row>
    <row r="32" spans="1:7">
      <c r="A32" s="2">
        <v>29</v>
      </c>
      <c r="B32" s="2" t="s">
        <v>59</v>
      </c>
      <c r="C32" s="5">
        <v>3.4</v>
      </c>
      <c r="D32" s="7">
        <v>695</v>
      </c>
      <c r="E32" s="8">
        <v>29</v>
      </c>
      <c r="F32" s="9">
        <v>102694</v>
      </c>
      <c r="G32" s="9">
        <v>44300</v>
      </c>
    </row>
    <row r="33" spans="1:7">
      <c r="A33" s="2">
        <v>30</v>
      </c>
      <c r="B33" s="2" t="s">
        <v>60</v>
      </c>
      <c r="C33" s="5">
        <v>3.36</v>
      </c>
      <c r="D33" s="7">
        <v>674</v>
      </c>
      <c r="E33" s="8">
        <v>32.2</v>
      </c>
      <c r="F33" s="9">
        <v>95255</v>
      </c>
      <c r="G33" s="9">
        <v>37345</v>
      </c>
    </row>
    <row r="34" spans="1:7">
      <c r="A34" s="2">
        <v>31</v>
      </c>
      <c r="B34" s="2" t="s">
        <v>61</v>
      </c>
      <c r="C34" s="5">
        <v>3.3</v>
      </c>
      <c r="D34" s="7">
        <v>686</v>
      </c>
      <c r="E34" s="8">
        <v>40.9</v>
      </c>
      <c r="F34" s="9">
        <v>110349</v>
      </c>
      <c r="G34" s="9">
        <v>48566</v>
      </c>
    </row>
    <row r="35" spans="1:7">
      <c r="A35" s="2">
        <v>32</v>
      </c>
      <c r="B35" s="2" t="s">
        <v>62</v>
      </c>
      <c r="C35" s="5">
        <v>3.31</v>
      </c>
      <c r="D35" s="7">
        <v>674</v>
      </c>
      <c r="E35" s="8">
        <v>26</v>
      </c>
      <c r="F35" s="9">
        <v>97376</v>
      </c>
      <c r="G35" s="9">
        <v>38616</v>
      </c>
    </row>
    <row r="36" spans="1:7">
      <c r="A36" s="2">
        <v>33</v>
      </c>
      <c r="B36" s="2" t="s">
        <v>63</v>
      </c>
      <c r="C36" s="5">
        <v>3.5</v>
      </c>
      <c r="D36" s="7">
        <v>647</v>
      </c>
      <c r="E36" s="8">
        <v>27.4</v>
      </c>
      <c r="F36" s="9">
        <v>97279</v>
      </c>
      <c r="G36" s="9">
        <v>32927</v>
      </c>
    </row>
    <row r="37" spans="1:7">
      <c r="A37" s="2">
        <v>34</v>
      </c>
      <c r="B37" s="2" t="s">
        <v>64</v>
      </c>
      <c r="C37" s="5">
        <v>3.55</v>
      </c>
      <c r="D37" s="7">
        <v>670</v>
      </c>
      <c r="E37" s="8">
        <v>52.4</v>
      </c>
      <c r="F37" s="9">
        <v>103369</v>
      </c>
      <c r="G37" s="9">
        <v>10600</v>
      </c>
    </row>
    <row r="38" spans="1:7">
      <c r="A38" s="2">
        <v>35</v>
      </c>
      <c r="B38" s="2" t="s">
        <v>65</v>
      </c>
      <c r="C38" s="5">
        <v>3.4</v>
      </c>
      <c r="D38" s="7">
        <v>675</v>
      </c>
      <c r="E38" s="8">
        <v>43.5</v>
      </c>
      <c r="F38" s="9">
        <v>97970</v>
      </c>
      <c r="G38" s="9">
        <v>39219</v>
      </c>
    </row>
    <row r="39" spans="1:7">
      <c r="A39" s="2">
        <v>36</v>
      </c>
      <c r="B39" s="2" t="s">
        <v>66</v>
      </c>
      <c r="C39" s="5">
        <v>3.37</v>
      </c>
      <c r="D39" s="7">
        <v>690</v>
      </c>
      <c r="E39" s="8">
        <v>24.4</v>
      </c>
      <c r="F39" s="9">
        <v>96758</v>
      </c>
      <c r="G39" s="9">
        <v>47526</v>
      </c>
    </row>
    <row r="40" spans="1:7">
      <c r="A40" s="2">
        <v>37</v>
      </c>
      <c r="B40" s="2" t="s">
        <v>67</v>
      </c>
      <c r="C40" s="5">
        <v>3.39</v>
      </c>
      <c r="D40" s="7">
        <v>656</v>
      </c>
      <c r="E40" s="8">
        <v>30.7</v>
      </c>
      <c r="F40" s="9">
        <v>98283</v>
      </c>
      <c r="G40" s="9">
        <v>37110</v>
      </c>
    </row>
    <row r="41" spans="1:7">
      <c r="A41" s="2">
        <v>38</v>
      </c>
      <c r="B41" s="2" t="s">
        <v>68</v>
      </c>
      <c r="C41" s="5">
        <v>3.32</v>
      </c>
      <c r="D41" s="7">
        <v>684</v>
      </c>
      <c r="E41" s="8">
        <v>30.4</v>
      </c>
      <c r="F41" s="9">
        <v>94434</v>
      </c>
      <c r="G41" s="9">
        <v>41366</v>
      </c>
    </row>
    <row r="42" spans="1:7">
      <c r="A42" s="2">
        <v>39</v>
      </c>
      <c r="B42" s="2" t="s">
        <v>69</v>
      </c>
      <c r="C42" s="5">
        <v>3.4</v>
      </c>
      <c r="D42" s="7">
        <v>650</v>
      </c>
      <c r="E42" s="8">
        <v>28.1</v>
      </c>
      <c r="F42" s="9">
        <v>85916</v>
      </c>
      <c r="G42" s="9">
        <v>33457</v>
      </c>
    </row>
    <row r="43" spans="1:7">
      <c r="A43" s="2">
        <v>40</v>
      </c>
      <c r="B43" s="2" t="s">
        <v>70</v>
      </c>
      <c r="C43" s="5">
        <v>3.46</v>
      </c>
      <c r="D43" s="7">
        <v>675</v>
      </c>
      <c r="E43" s="8">
        <v>36.1</v>
      </c>
      <c r="F43" s="9">
        <v>81117</v>
      </c>
      <c r="G43" s="9">
        <v>46887</v>
      </c>
    </row>
    <row r="44" spans="1:7">
      <c r="A44" s="2">
        <v>41</v>
      </c>
      <c r="B44" s="2" t="s">
        <v>71</v>
      </c>
      <c r="C44" s="5">
        <v>3.54</v>
      </c>
      <c r="D44" s="7">
        <v>662</v>
      </c>
      <c r="E44" s="8">
        <v>25.8</v>
      </c>
      <c r="F44" s="9">
        <v>76272</v>
      </c>
      <c r="G44" s="9">
        <v>25447</v>
      </c>
    </row>
    <row r="45" spans="1:7">
      <c r="A45" s="2">
        <v>42</v>
      </c>
      <c r="B45" s="2" t="s">
        <v>72</v>
      </c>
      <c r="C45" s="5">
        <v>3.32</v>
      </c>
      <c r="D45" s="7">
        <v>635</v>
      </c>
      <c r="E45" s="8">
        <v>34.9</v>
      </c>
      <c r="F45" s="9">
        <v>89720</v>
      </c>
      <c r="G45" s="9">
        <v>41271</v>
      </c>
    </row>
    <row r="46" spans="1:7">
      <c r="A46" s="2">
        <v>43</v>
      </c>
      <c r="B46" s="2" t="s">
        <v>73</v>
      </c>
      <c r="C46" s="5">
        <v>3.3</v>
      </c>
      <c r="D46" s="7">
        <v>670</v>
      </c>
      <c r="E46" s="8">
        <v>56.7</v>
      </c>
      <c r="F46" s="9">
        <v>76398</v>
      </c>
      <c r="G46" s="9">
        <v>49936</v>
      </c>
    </row>
    <row r="47" spans="1:7">
      <c r="A47" s="2">
        <v>44</v>
      </c>
      <c r="B47" s="2" t="s">
        <v>74</v>
      </c>
      <c r="C47" s="5">
        <v>3.24</v>
      </c>
      <c r="D47" s="7">
        <v>638</v>
      </c>
      <c r="E47" s="8">
        <v>36.2</v>
      </c>
      <c r="F47" s="9">
        <v>94826</v>
      </c>
      <c r="G47" s="9">
        <v>39535</v>
      </c>
    </row>
    <row r="48" spans="1:7">
      <c r="A48" s="2">
        <v>45</v>
      </c>
      <c r="B48" s="2" t="s">
        <v>75</v>
      </c>
      <c r="C48" s="5">
        <v>3.35</v>
      </c>
      <c r="D48" s="7">
        <v>650</v>
      </c>
      <c r="E48" s="8">
        <v>31.6</v>
      </c>
      <c r="F48" s="9">
        <v>93156</v>
      </c>
      <c r="G48" s="9">
        <v>35100</v>
      </c>
    </row>
    <row r="49" spans="1:7">
      <c r="A49" s="2">
        <v>46</v>
      </c>
      <c r="B49" s="2" t="s">
        <v>76</v>
      </c>
      <c r="C49" s="5">
        <v>3.51</v>
      </c>
      <c r="D49" s="7">
        <v>678</v>
      </c>
      <c r="E49" s="8">
        <v>24</v>
      </c>
      <c r="F49" s="9">
        <v>78522</v>
      </c>
      <c r="G49" s="9">
        <v>30347</v>
      </c>
    </row>
    <row r="50" spans="1:7">
      <c r="A50" s="2">
        <v>47</v>
      </c>
      <c r="B50" s="2" t="s">
        <v>77</v>
      </c>
      <c r="C50" s="5">
        <v>3.31</v>
      </c>
      <c r="D50" s="7">
        <v>661</v>
      </c>
      <c r="E50" s="8">
        <v>41.4</v>
      </c>
      <c r="F50" s="9">
        <v>99694</v>
      </c>
      <c r="G50" s="9">
        <v>47448</v>
      </c>
    </row>
    <row r="51" spans="1:7">
      <c r="A51" s="2">
        <v>48</v>
      </c>
      <c r="B51" s="2" t="s">
        <v>78</v>
      </c>
      <c r="C51" s="5">
        <v>3.2</v>
      </c>
      <c r="D51" s="7">
        <v>651</v>
      </c>
      <c r="E51" s="8">
        <v>41.2</v>
      </c>
      <c r="F51" s="9">
        <v>91504</v>
      </c>
      <c r="G51" s="9">
        <v>39614</v>
      </c>
    </row>
    <row r="52" spans="1:7">
      <c r="A52" s="2">
        <v>49</v>
      </c>
      <c r="B52" s="2" t="s">
        <v>79</v>
      </c>
      <c r="C52" s="5">
        <v>3.32</v>
      </c>
      <c r="D52" s="7">
        <v>663</v>
      </c>
      <c r="E52" s="8">
        <v>32.1</v>
      </c>
      <c r="F52" s="9">
        <v>79149</v>
      </c>
      <c r="G52" s="9">
        <v>45918</v>
      </c>
    </row>
    <row r="53" spans="1:7">
      <c r="A53" s="2">
        <v>50</v>
      </c>
      <c r="B53" s="2" t="s">
        <v>80</v>
      </c>
      <c r="C53" s="5">
        <v>3.38</v>
      </c>
      <c r="D53" s="7">
        <v>666</v>
      </c>
      <c r="E53" s="8">
        <v>37.3</v>
      </c>
      <c r="F53" s="9">
        <v>94003</v>
      </c>
      <c r="G53" s="9">
        <v>34762</v>
      </c>
    </row>
    <row r="54" spans="1:7">
      <c r="A54" s="2">
        <v>51</v>
      </c>
      <c r="B54" s="2" t="s">
        <v>81</v>
      </c>
      <c r="C54" s="5">
        <v>3.5</v>
      </c>
      <c r="D54" s="7">
        <v>649</v>
      </c>
      <c r="E54" s="8">
        <v>45</v>
      </c>
      <c r="F54" s="9">
        <v>62745</v>
      </c>
      <c r="G54" s="9">
        <v>27011</v>
      </c>
    </row>
    <row r="55" spans="1:7">
      <c r="A55" s="2">
        <v>52</v>
      </c>
      <c r="B55" s="2" t="s">
        <v>82</v>
      </c>
      <c r="C55" s="5">
        <v>3.4</v>
      </c>
      <c r="D55" s="7">
        <v>633</v>
      </c>
      <c r="E55" s="8">
        <v>69.7</v>
      </c>
      <c r="F55" s="9">
        <v>81152</v>
      </c>
      <c r="G55" s="9">
        <v>43820</v>
      </c>
    </row>
    <row r="56" spans="1:7">
      <c r="A56" s="2">
        <v>53</v>
      </c>
      <c r="B56" s="2" t="s">
        <v>83</v>
      </c>
      <c r="C56" s="5">
        <v>3.46</v>
      </c>
      <c r="D56" s="7">
        <v>631</v>
      </c>
      <c r="E56" s="8">
        <v>32.6</v>
      </c>
      <c r="F56" s="9">
        <v>83457</v>
      </c>
      <c r="G56" s="9">
        <v>35714</v>
      </c>
    </row>
    <row r="57" spans="1:7">
      <c r="A57" s="2">
        <v>54</v>
      </c>
      <c r="B57" s="2" t="s">
        <v>84</v>
      </c>
      <c r="C57" s="5">
        <v>3.25</v>
      </c>
      <c r="D57" s="7">
        <v>641</v>
      </c>
      <c r="E57" s="8">
        <v>37</v>
      </c>
      <c r="F57" s="9">
        <v>88693</v>
      </c>
      <c r="G57" s="9">
        <v>45808</v>
      </c>
    </row>
  </sheetData>
  <mergeCells count="1">
    <mergeCell ref="A1:G1"/>
  </mergeCell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5"/>
  <sheetViews>
    <sheetView topLeftCell="A38" workbookViewId="0">
      <selection activeCell="B63" sqref="B63:H64"/>
    </sheetView>
  </sheetViews>
  <sheetFormatPr defaultColWidth="9" defaultRowHeight="16.8" outlineLevelCol="7"/>
  <cols>
    <col min="1" max="1" width="8" customWidth="1"/>
    <col min="2" max="2" width="34" customWidth="1"/>
    <col min="3" max="4" width="11" customWidth="1"/>
    <col min="5" max="5" width="14" customWidth="1"/>
    <col min="6" max="7" width="11" customWidth="1"/>
    <col min="8" max="8" width="12" customWidth="1"/>
  </cols>
  <sheetData>
    <row r="1" ht="23.2" spans="1:8">
      <c r="A1" s="1" t="s">
        <v>85</v>
      </c>
      <c r="B1" s="1"/>
      <c r="C1" s="1"/>
      <c r="D1" s="1"/>
      <c r="E1" s="1"/>
      <c r="F1" s="1"/>
      <c r="G1" s="1"/>
      <c r="H1" s="1"/>
    </row>
    <row r="2" spans="1:8">
      <c r="A2" s="2"/>
      <c r="B2" s="2"/>
      <c r="C2" s="2"/>
      <c r="D2" s="2"/>
      <c r="E2" s="2"/>
      <c r="F2" s="2"/>
      <c r="G2" s="2"/>
      <c r="H2" s="2"/>
    </row>
    <row r="3" spans="1:8">
      <c r="A3" s="10" t="s">
        <v>86</v>
      </c>
      <c r="B3" s="10"/>
      <c r="C3" s="10"/>
      <c r="D3" s="10"/>
      <c r="E3" s="10"/>
      <c r="F3" s="10"/>
      <c r="G3" s="10"/>
      <c r="H3" s="10"/>
    </row>
    <row r="4" spans="1:8">
      <c r="A4" s="10"/>
      <c r="B4" s="10"/>
      <c r="C4" s="10"/>
      <c r="D4" s="10"/>
      <c r="E4" s="10"/>
      <c r="F4" s="10"/>
      <c r="G4" s="10"/>
      <c r="H4" s="10"/>
    </row>
    <row r="5" spans="1:8">
      <c r="A5" s="10"/>
      <c r="B5" s="10"/>
      <c r="C5" s="10"/>
      <c r="D5" s="10"/>
      <c r="E5" s="10"/>
      <c r="F5" s="10"/>
      <c r="G5" s="10"/>
      <c r="H5" s="10"/>
    </row>
    <row r="6" spans="1:8">
      <c r="A6" s="2"/>
      <c r="B6" s="2"/>
      <c r="C6" s="2"/>
      <c r="D6" s="2"/>
      <c r="E6" s="2"/>
      <c r="F6" s="2"/>
      <c r="G6" s="2"/>
      <c r="H6" s="2"/>
    </row>
    <row r="7" spans="1:8">
      <c r="A7" s="3" t="s">
        <v>87</v>
      </c>
      <c r="B7" s="3" t="s">
        <v>26</v>
      </c>
      <c r="C7" s="3" t="s">
        <v>27</v>
      </c>
      <c r="D7" s="3" t="s">
        <v>28</v>
      </c>
      <c r="E7" s="3" t="s">
        <v>29</v>
      </c>
      <c r="F7" s="3" t="s">
        <v>30</v>
      </c>
      <c r="G7" s="2"/>
      <c r="H7" s="2"/>
    </row>
    <row r="8" spans="1:8">
      <c r="A8" s="2" t="s">
        <v>88</v>
      </c>
      <c r="B8" s="11">
        <v>3.40851851851852</v>
      </c>
      <c r="C8" s="11">
        <v>681.444444444444</v>
      </c>
      <c r="D8" s="11">
        <v>30.3833333333333</v>
      </c>
      <c r="E8" s="11">
        <v>106342.240740741</v>
      </c>
      <c r="F8" s="11">
        <v>44833.7222222222</v>
      </c>
      <c r="G8" s="2"/>
      <c r="H8" s="2"/>
    </row>
    <row r="9" spans="1:8">
      <c r="A9" s="2" t="s">
        <v>89</v>
      </c>
      <c r="B9" s="11">
        <v>0.10873698146696</v>
      </c>
      <c r="C9" s="11">
        <v>25.8053013981026</v>
      </c>
      <c r="D9" s="11">
        <v>11.4712967073539</v>
      </c>
      <c r="E9" s="11">
        <v>19516.4754682115</v>
      </c>
      <c r="F9" s="11">
        <v>9710.60599706563</v>
      </c>
      <c r="G9" s="2"/>
      <c r="H9" s="2"/>
    </row>
    <row r="10" spans="1:8">
      <c r="A10" s="2"/>
      <c r="B10" s="2"/>
      <c r="C10" s="2"/>
      <c r="D10" s="2"/>
      <c r="E10" s="2"/>
      <c r="F10" s="2"/>
      <c r="G10" s="2"/>
      <c r="H10" s="2"/>
    </row>
    <row r="11" spans="1:8">
      <c r="A11" s="3" t="s">
        <v>24</v>
      </c>
      <c r="B11" s="3" t="s">
        <v>25</v>
      </c>
      <c r="C11" s="3" t="s">
        <v>90</v>
      </c>
      <c r="D11" s="3" t="s">
        <v>91</v>
      </c>
      <c r="E11" s="3" t="s">
        <v>92</v>
      </c>
      <c r="F11" s="3" t="s">
        <v>93</v>
      </c>
      <c r="G11" s="3" t="s">
        <v>94</v>
      </c>
      <c r="H11" s="3" t="s">
        <v>95</v>
      </c>
    </row>
    <row r="12" spans="1:8">
      <c r="A12" s="2">
        <v>1</v>
      </c>
      <c r="B12" s="2" t="s">
        <v>31</v>
      </c>
      <c r="C12" s="11">
        <f>('Raw Data'!C4-$B$8)/$B$9</f>
        <v>2.3127502537662</v>
      </c>
      <c r="D12" s="11">
        <f>('Raw Data'!D4-$C$8)/$C$9</f>
        <v>1.64910127957989</v>
      </c>
      <c r="E12" s="11">
        <f>('Raw Data'!E4-$D$8)/$D$9</f>
        <v>-1.6810072849891</v>
      </c>
      <c r="F12" s="11">
        <f>('Raw Data'!F4-$E$8)/$E$9</f>
        <v>1.71100357304009</v>
      </c>
      <c r="G12" s="11">
        <f>('Raw Data'!G4-$F$8)/$F$9</f>
        <v>1.62464400085279</v>
      </c>
      <c r="H12" s="2">
        <v>2</v>
      </c>
    </row>
    <row r="13" spans="1:8">
      <c r="A13" s="2">
        <v>2</v>
      </c>
      <c r="B13" s="2" t="s">
        <v>32</v>
      </c>
      <c r="C13" s="11">
        <f>('Raw Data'!C5-$B$8)/$B$9</f>
        <v>2.68061038249484</v>
      </c>
      <c r="D13" s="11">
        <f>('Raw Data'!D5-$C$8)/$C$9</f>
        <v>1.88161164275825</v>
      </c>
      <c r="E13" s="11">
        <f>('Raw Data'!E5-$D$8)/$D$9</f>
        <v>-2.03842110703518</v>
      </c>
      <c r="F13" s="11">
        <f>('Raw Data'!F5-$E$8)/$E$9</f>
        <v>1.77438591899773</v>
      </c>
      <c r="G13" s="11">
        <f>('Raw Data'!G5-$F$8)/$F$9</f>
        <v>1.06752120113928</v>
      </c>
      <c r="H13" s="2">
        <v>2</v>
      </c>
    </row>
    <row r="14" spans="1:8">
      <c r="A14" s="2">
        <v>3</v>
      </c>
      <c r="B14" s="2" t="s">
        <v>33</v>
      </c>
      <c r="C14" s="11">
        <f>('Raw Data'!C6-$B$8)/$B$9</f>
        <v>1.39309993194459</v>
      </c>
      <c r="D14" s="11">
        <f>('Raw Data'!D6-$C$8)/$C$9</f>
        <v>1.41659091640152</v>
      </c>
      <c r="E14" s="11">
        <f>('Raw Data'!E6-$D$8)/$D$9</f>
        <v>-1.00976669236597</v>
      </c>
      <c r="F14" s="11">
        <f>('Raw Data'!F6-$E$8)/$E$9</f>
        <v>1.58680081911825</v>
      </c>
      <c r="G14" s="11">
        <f>('Raw Data'!G6-$F$8)/$F$9</f>
        <v>1.38099288363982</v>
      </c>
      <c r="H14" s="2">
        <v>2</v>
      </c>
    </row>
    <row r="15" spans="1:8">
      <c r="A15" s="2">
        <v>4</v>
      </c>
      <c r="B15" s="2" t="s">
        <v>34</v>
      </c>
      <c r="C15" s="11">
        <f>('Raw Data'!C7-$B$8)/$B$9</f>
        <v>0.933274771033778</v>
      </c>
      <c r="D15" s="11">
        <f>('Raw Data'!D7-$C$8)/$C$9</f>
        <v>1.10657709883037</v>
      </c>
      <c r="E15" s="11">
        <f>('Raw Data'!E7-$D$8)/$D$9</f>
        <v>-1.48922425852535</v>
      </c>
      <c r="F15" s="11">
        <f>('Raw Data'!F7-$E$8)/$E$9</f>
        <v>1.34633731905421</v>
      </c>
      <c r="G15" s="11">
        <f>('Raw Data'!G7-$F$8)/$F$9</f>
        <v>0.830666776122445</v>
      </c>
      <c r="H15" s="2">
        <v>2</v>
      </c>
    </row>
    <row r="16" spans="1:8">
      <c r="A16" s="2">
        <v>5</v>
      </c>
      <c r="B16" s="2" t="s">
        <v>35</v>
      </c>
      <c r="C16" s="11">
        <f>('Raw Data'!C8-$B$8)/$B$9</f>
        <v>1.20916986758026</v>
      </c>
      <c r="D16" s="11">
        <f>('Raw Data'!D8-$C$8)/$C$9</f>
        <v>1.18408055322316</v>
      </c>
      <c r="E16" s="11">
        <f>('Raw Data'!E8-$D$8)/$D$9</f>
        <v>-0.809266255608407</v>
      </c>
      <c r="F16" s="11">
        <f>('Raw Data'!F8-$E$8)/$E$9</f>
        <v>1.21690821162576</v>
      </c>
      <c r="G16" s="11">
        <f>('Raw Data'!G8-$F$8)/$F$9</f>
        <v>0.967115520969099</v>
      </c>
      <c r="H16" s="2">
        <v>2</v>
      </c>
    </row>
    <row r="17" spans="1:8">
      <c r="A17" s="2">
        <v>6</v>
      </c>
      <c r="B17" s="2" t="s">
        <v>36</v>
      </c>
      <c r="C17" s="11">
        <f>('Raw Data'!C9-$B$8)/$B$9</f>
        <v>1.02523980321594</v>
      </c>
      <c r="D17" s="11">
        <f>('Raw Data'!D9-$C$8)/$C$9</f>
        <v>1.45534264359792</v>
      </c>
      <c r="E17" s="11">
        <f>('Raw Data'!E9-$D$8)/$D$9</f>
        <v>-0.739526973257952</v>
      </c>
      <c r="F17" s="11">
        <f>('Raw Data'!F9-$E$8)/$E$9</f>
        <v>1.38763575950842</v>
      </c>
      <c r="G17" s="11">
        <f>('Raw Data'!G9-$F$8)/$F$9</f>
        <v>0.969895985958427</v>
      </c>
      <c r="H17" s="2">
        <v>2</v>
      </c>
    </row>
    <row r="18" spans="1:8">
      <c r="A18" s="2">
        <v>7</v>
      </c>
      <c r="B18" s="2" t="s">
        <v>37</v>
      </c>
      <c r="C18" s="11">
        <f>('Raw Data'!C10-$B$8)/$B$9</f>
        <v>2.12882018940187</v>
      </c>
      <c r="D18" s="11">
        <f>('Raw Data'!D10-$C$8)/$C$9</f>
        <v>1.30033573481234</v>
      </c>
      <c r="E18" s="11">
        <f>('Raw Data'!E10-$D$8)/$D$9</f>
        <v>-1.58511577175722</v>
      </c>
      <c r="F18" s="11">
        <f>('Raw Data'!F10-$E$8)/$E$9</f>
        <v>1.20071676350723</v>
      </c>
      <c r="G18" s="11">
        <f>('Raw Data'!G10-$F$8)/$F$9</f>
        <v>0.881744947778249</v>
      </c>
      <c r="H18" s="2">
        <v>2</v>
      </c>
    </row>
    <row r="19" spans="1:8">
      <c r="A19" s="2">
        <v>8</v>
      </c>
      <c r="B19" s="2" t="s">
        <v>38</v>
      </c>
      <c r="C19" s="11">
        <f>('Raw Data'!C11-$B$8)/$B$9</f>
        <v>0.841309738851619</v>
      </c>
      <c r="D19" s="11">
        <f>('Raw Data'!D11-$C$8)/$C$9</f>
        <v>1.33908746200873</v>
      </c>
      <c r="E19" s="11">
        <f>('Raw Data'!E11-$D$8)/$D$9</f>
        <v>-1.26257159088637</v>
      </c>
      <c r="F19" s="11">
        <f>('Raw Data'!F11-$E$8)/$E$9</f>
        <v>1.42908791624224</v>
      </c>
      <c r="G19" s="11">
        <f>('Raw Data'!G11-$F$8)/$F$9</f>
        <v>1.39190878322755</v>
      </c>
      <c r="H19" s="2">
        <v>2</v>
      </c>
    </row>
    <row r="20" spans="1:8">
      <c r="A20" s="2">
        <v>9</v>
      </c>
      <c r="B20" s="2" t="s">
        <v>39</v>
      </c>
      <c r="C20" s="11">
        <f>('Raw Data'!C12-$B$8)/$B$9</f>
        <v>1.02523980321594</v>
      </c>
      <c r="D20" s="11">
        <f>('Raw Data'!D12-$C$8)/$C$9</f>
        <v>1.41659091640152</v>
      </c>
      <c r="E20" s="11">
        <f>('Raw Data'!E12-$D$8)/$D$9</f>
        <v>-1.08822338501023</v>
      </c>
      <c r="F20" s="11">
        <f>('Raw Data'!F12-$E$8)/$E$9</f>
        <v>1.63337685183894</v>
      </c>
      <c r="G20" s="11">
        <f>('Raw Data'!G12-$F$8)/$F$9</f>
        <v>1.20705935152963</v>
      </c>
      <c r="H20" s="2">
        <v>2</v>
      </c>
    </row>
    <row r="21" spans="1:8">
      <c r="A21" s="2">
        <v>10</v>
      </c>
      <c r="B21" s="2" t="s">
        <v>40</v>
      </c>
      <c r="C21" s="11">
        <f>('Raw Data'!C13-$B$8)/$B$9</f>
        <v>1.02523980321594</v>
      </c>
      <c r="D21" s="11">
        <f>('Raw Data'!D13-$C$8)/$C$9</f>
        <v>1.45534264359792</v>
      </c>
      <c r="E21" s="11">
        <f>('Raw Data'!E13-$D$8)/$D$9</f>
        <v>-0.983614461484545</v>
      </c>
      <c r="F21" s="11">
        <f>('Raw Data'!F13-$E$8)/$E$9</f>
        <v>0.993660934877622</v>
      </c>
      <c r="G21" s="11">
        <f>('Raw Data'!G13-$F$8)/$F$9</f>
        <v>0.933646960912372</v>
      </c>
      <c r="H21" s="2">
        <v>2</v>
      </c>
    </row>
    <row r="22" spans="1:8">
      <c r="A22" s="2">
        <v>11</v>
      </c>
      <c r="B22" s="2" t="s">
        <v>41</v>
      </c>
      <c r="C22" s="11">
        <f>('Raw Data'!C14-$B$8)/$B$9</f>
        <v>0.10558948139433</v>
      </c>
      <c r="D22" s="11">
        <f>('Raw Data'!D14-$C$8)/$C$9</f>
        <v>1.45534264359792</v>
      </c>
      <c r="E22" s="11">
        <f>('Raw Data'!E14-$D$8)/$D$9</f>
        <v>-1.46307202764392</v>
      </c>
      <c r="F22" s="11">
        <f>('Raw Data'!F14-$E$8)/$E$9</f>
        <v>1.15521674474378</v>
      </c>
      <c r="G22" s="11">
        <f>('Raw Data'!G14-$F$8)/$F$9</f>
        <v>0.591958707779392</v>
      </c>
      <c r="H22" s="2">
        <v>2</v>
      </c>
    </row>
    <row r="23" spans="1:8">
      <c r="A23" s="2">
        <v>12</v>
      </c>
      <c r="B23" s="2" t="s">
        <v>42</v>
      </c>
      <c r="C23" s="11">
        <f>('Raw Data'!C15-$B$8)/$B$9</f>
        <v>0.289519545758653</v>
      </c>
      <c r="D23" s="11">
        <f>('Raw Data'!D15-$C$8)/$C$9</f>
        <v>0.292790827706089</v>
      </c>
      <c r="E23" s="11">
        <f>('Raw Data'!E15-$D$8)/$D$9</f>
        <v>-0.338526099742834</v>
      </c>
      <c r="F23" s="11">
        <f>('Raw Data'!F15-$E$8)/$E$9</f>
        <v>1.14384174005292</v>
      </c>
      <c r="G23" s="11">
        <f>('Raw Data'!G15-$F$8)/$F$9</f>
        <v>0.753637597899579</v>
      </c>
      <c r="H23" s="2">
        <v>3</v>
      </c>
    </row>
    <row r="24" spans="1:8">
      <c r="A24" s="2">
        <v>13</v>
      </c>
      <c r="B24" s="2" t="s">
        <v>43</v>
      </c>
      <c r="C24" s="11">
        <f>('Raw Data'!C16-$B$8)/$B$9</f>
        <v>-0.0783405829699917</v>
      </c>
      <c r="D24" s="11">
        <f>('Raw Data'!D16-$C$8)/$C$9</f>
        <v>0.835315008455608</v>
      </c>
      <c r="E24" s="11">
        <f>('Raw Data'!E16-$D$8)/$D$9</f>
        <v>0.158366287004159</v>
      </c>
      <c r="F24" s="11">
        <f>('Raw Data'!F16-$E$8)/$E$9</f>
        <v>1.10034003292435</v>
      </c>
      <c r="G24" s="11">
        <f>('Raw Data'!G16-$F$8)/$F$9</f>
        <v>0.835197904253201</v>
      </c>
      <c r="H24" s="2">
        <v>3</v>
      </c>
    </row>
    <row r="25" spans="1:8">
      <c r="A25" s="2">
        <v>14</v>
      </c>
      <c r="B25" s="2" t="s">
        <v>44</v>
      </c>
      <c r="C25" s="11">
        <f>('Raw Data'!C17-$B$8)/$B$9</f>
        <v>-0.0783405829699917</v>
      </c>
      <c r="D25" s="11">
        <f>('Raw Data'!D17-$C$8)/$C$9</f>
        <v>0.757811554062819</v>
      </c>
      <c r="E25" s="11">
        <f>('Raw Data'!E17-$D$8)/$D$9</f>
        <v>-0.504156895325165</v>
      </c>
      <c r="F25" s="11">
        <f>('Raw Data'!F17-$E$8)/$E$9</f>
        <v>1.08896502823349</v>
      </c>
      <c r="G25" s="11">
        <f>('Raw Data'!G17-$F$8)/$F$9</f>
        <v>0.737984609811509</v>
      </c>
      <c r="H25" s="2">
        <v>3</v>
      </c>
    </row>
    <row r="26" spans="1:8">
      <c r="A26" s="2">
        <v>15</v>
      </c>
      <c r="B26" s="2" t="s">
        <v>45</v>
      </c>
      <c r="C26" s="11">
        <f>('Raw Data'!C18-$B$8)/$B$9</f>
        <v>0.841309738851619</v>
      </c>
      <c r="D26" s="11">
        <f>('Raw Data'!D18-$C$8)/$C$9</f>
        <v>0.874066735652002</v>
      </c>
      <c r="E26" s="11">
        <f>('Raw Data'!E18-$D$8)/$D$9</f>
        <v>-0.155460483572889</v>
      </c>
      <c r="F26" s="11">
        <f>('Raw Data'!F18-$E$8)/$E$9</f>
        <v>0.654152911987298</v>
      </c>
      <c r="G26" s="11">
        <f>('Raw Data'!G18-$F$8)/$F$9</f>
        <v>0.797713116989668</v>
      </c>
      <c r="H26" s="2">
        <v>2</v>
      </c>
    </row>
    <row r="27" spans="1:8">
      <c r="A27" s="2">
        <v>16</v>
      </c>
      <c r="B27" s="2" t="s">
        <v>46</v>
      </c>
      <c r="C27" s="11">
        <f>('Raw Data'!C19-$B$8)/$B$9</f>
        <v>-1.08995593697376</v>
      </c>
      <c r="D27" s="11">
        <f>('Raw Data'!D19-$C$8)/$C$9</f>
        <v>0.370294282098877</v>
      </c>
      <c r="E27" s="11">
        <f>('Raw Data'!E19-$D$8)/$D$9</f>
        <v>-0.286221637979993</v>
      </c>
      <c r="F27" s="11">
        <f>('Raw Data'!F19-$E$8)/$E$9</f>
        <v>0.819141718764667</v>
      </c>
      <c r="G27" s="11">
        <f>('Raw Data'!G19-$F$8)/$F$9</f>
        <v>0.861560831559423</v>
      </c>
      <c r="H27" s="2">
        <v>3</v>
      </c>
    </row>
    <row r="28" spans="1:8">
      <c r="A28" s="2">
        <v>17</v>
      </c>
      <c r="B28" s="2" t="s">
        <v>47</v>
      </c>
      <c r="C28" s="11">
        <f>('Raw Data'!C20-$B$8)/$B$9</f>
        <v>0.197554513576494</v>
      </c>
      <c r="D28" s="11">
        <f>('Raw Data'!D20-$C$8)/$C$9</f>
        <v>0.409046009295272</v>
      </c>
      <c r="E28" s="11">
        <f>('Raw Data'!E20-$D$8)/$D$9</f>
        <v>-0.443135023268517</v>
      </c>
      <c r="F28" s="11">
        <f>('Raw Data'!F20-$E$8)/$E$9</f>
        <v>0.618337018839044</v>
      </c>
      <c r="G28" s="11">
        <f>('Raw Data'!G20-$F$8)/$F$9</f>
        <v>0.30917512034625</v>
      </c>
      <c r="H28" s="2">
        <v>3</v>
      </c>
    </row>
    <row r="29" spans="1:8">
      <c r="A29" s="2">
        <v>18</v>
      </c>
      <c r="B29" s="2" t="s">
        <v>48</v>
      </c>
      <c r="C29" s="11">
        <f>('Raw Data'!C21-$B$8)/$B$9</f>
        <v>-0.538165743880795</v>
      </c>
      <c r="D29" s="11">
        <f>('Raw Data'!D21-$C$8)/$C$9</f>
        <v>0.176535646116906</v>
      </c>
      <c r="E29" s="11">
        <f>('Raw Data'!E21-$D$8)/$D$9</f>
        <v>-0.565178767381814</v>
      </c>
      <c r="F29" s="11">
        <f>('Raw Data'!F21-$E$8)/$E$9</f>
        <v>0.579395561338795</v>
      </c>
      <c r="G29" s="11">
        <f>('Raw Data'!G21-$F$8)/$F$9</f>
        <v>1.02632912722331</v>
      </c>
      <c r="H29" s="2">
        <v>3</v>
      </c>
    </row>
    <row r="30" spans="1:8">
      <c r="A30" s="2">
        <v>19</v>
      </c>
      <c r="B30" s="2" t="s">
        <v>49</v>
      </c>
      <c r="C30" s="11">
        <f>('Raw Data'!C22-$B$8)/$B$9</f>
        <v>-0.997990904791602</v>
      </c>
      <c r="D30" s="11">
        <f>('Raw Data'!D22-$C$8)/$C$9</f>
        <v>-0.0172229898650646</v>
      </c>
      <c r="E30" s="11">
        <f>('Raw Data'!E22-$D$8)/$D$9</f>
        <v>0.411171185524559</v>
      </c>
      <c r="F30" s="11">
        <f>('Raw Data'!F22-$E$8)/$E$9</f>
        <v>0.753607344892538</v>
      </c>
      <c r="G30" s="11">
        <f>('Raw Data'!G22-$F$8)/$F$9</f>
        <v>-0.0757648103985005</v>
      </c>
      <c r="H30" s="2">
        <v>3</v>
      </c>
    </row>
    <row r="31" spans="1:8">
      <c r="A31" s="2">
        <v>20</v>
      </c>
      <c r="B31" s="2" t="s">
        <v>50</v>
      </c>
      <c r="C31" s="11">
        <f>('Raw Data'!C23-$B$8)/$B$9</f>
        <v>-0.906025872609439</v>
      </c>
      <c r="D31" s="11">
        <f>('Raw Data'!D23-$C$8)/$C$9</f>
        <v>0.292790827706089</v>
      </c>
      <c r="E31" s="11">
        <f>('Raw Data'!E23-$D$8)/$D$9</f>
        <v>0.637823853163539</v>
      </c>
      <c r="F31" s="11">
        <f>('Raw Data'!F23-$E$8)/$E$9</f>
        <v>-0.227409951554509</v>
      </c>
      <c r="G31" s="11">
        <f>('Raw Data'!G23-$F$8)/$F$9</f>
        <v>0.59515109350788</v>
      </c>
      <c r="H31" s="2">
        <v>3</v>
      </c>
    </row>
    <row r="32" spans="1:8">
      <c r="A32" s="2">
        <v>21</v>
      </c>
      <c r="B32" s="2" t="s">
        <v>51</v>
      </c>
      <c r="C32" s="11">
        <f>('Raw Data'!C24-$B$8)/$B$9</f>
        <v>-0.997990904791602</v>
      </c>
      <c r="D32" s="11">
        <f>('Raw Data'!D24-$C$8)/$C$9</f>
        <v>0.215287373313301</v>
      </c>
      <c r="E32" s="11">
        <f>('Raw Data'!E24-$D$8)/$D$9</f>
        <v>-0.2949390482738</v>
      </c>
      <c r="F32" s="11">
        <f>('Raw Data'!F24-$E$8)/$E$9</f>
        <v>0.167897080832881</v>
      </c>
      <c r="G32" s="11">
        <f>('Raw Data'!G24-$F$8)/$F$9</f>
        <v>0.715740889896885</v>
      </c>
      <c r="H32" s="2">
        <v>3</v>
      </c>
    </row>
    <row r="33" spans="1:8">
      <c r="A33" s="2">
        <v>22</v>
      </c>
      <c r="B33" s="2" t="s">
        <v>52</v>
      </c>
      <c r="C33" s="11">
        <f>('Raw Data'!C25-$B$8)/$B$9</f>
        <v>-0.81406084042728</v>
      </c>
      <c r="D33" s="11">
        <f>('Raw Data'!D25-$C$8)/$C$9</f>
        <v>0.564052918080848</v>
      </c>
      <c r="E33" s="11">
        <f>('Raw Data'!E25-$D$8)/$D$9</f>
        <v>-0.199047535041924</v>
      </c>
      <c r="F33" s="11">
        <f>('Raw Data'!F25-$E$8)/$E$9</f>
        <v>-0.358068789219816</v>
      </c>
      <c r="G33" s="11">
        <f>('Raw Data'!G25-$F$8)/$F$9</f>
        <v>0.220509181242122</v>
      </c>
      <c r="H33" s="2">
        <v>3</v>
      </c>
    </row>
    <row r="34" spans="1:8">
      <c r="A34" s="2">
        <v>23</v>
      </c>
      <c r="B34" s="2" t="s">
        <v>53</v>
      </c>
      <c r="C34" s="11">
        <f>('Raw Data'!C26-$B$8)/$B$9</f>
        <v>-0.81406084042728</v>
      </c>
      <c r="D34" s="11">
        <f>('Raw Data'!D26-$C$8)/$C$9</f>
        <v>-0.443491989025401</v>
      </c>
      <c r="E34" s="11">
        <f>('Raw Data'!E26-$D$8)/$D$9</f>
        <v>0.663976084044959</v>
      </c>
      <c r="F34" s="11">
        <f>('Raw Data'!F26-$E$8)/$E$9</f>
        <v>-0.00754443295771157</v>
      </c>
      <c r="G34" s="11">
        <f>('Raw Data'!G26-$F$8)/$F$9</f>
        <v>0.0532693611432791</v>
      </c>
      <c r="H34" s="2">
        <v>5</v>
      </c>
    </row>
    <row r="35" spans="1:8">
      <c r="A35" s="2">
        <v>24</v>
      </c>
      <c r="B35" s="2" t="s">
        <v>54</v>
      </c>
      <c r="C35" s="11">
        <f>('Raw Data'!C27-$B$8)/$B$9</f>
        <v>-0.906025872609439</v>
      </c>
      <c r="D35" s="11">
        <f>('Raw Data'!D27-$C$8)/$C$9</f>
        <v>0.176535646116906</v>
      </c>
      <c r="E35" s="11">
        <f>('Raw Data'!E27-$D$8)/$D$9</f>
        <v>1.63160862665753</v>
      </c>
      <c r="F35" s="11">
        <f>('Raw Data'!F27-$E$8)/$E$9</f>
        <v>0.275600954076989</v>
      </c>
      <c r="G35" s="11">
        <f>('Raw Data'!G27-$F$8)/$F$9</f>
        <v>0.456333804411057</v>
      </c>
      <c r="H35" s="2">
        <v>3</v>
      </c>
    </row>
    <row r="36" spans="1:8">
      <c r="A36" s="2">
        <v>25</v>
      </c>
      <c r="B36" s="2" t="s">
        <v>55</v>
      </c>
      <c r="C36" s="11">
        <f>('Raw Data'!C28-$B$8)/$B$9</f>
        <v>-0.0783405829699917</v>
      </c>
      <c r="D36" s="11">
        <f>('Raw Data'!D28-$C$8)/$C$9</f>
        <v>-0.288485080239824</v>
      </c>
      <c r="E36" s="11">
        <f>('Raw Data'!E28-$D$8)/$D$9</f>
        <v>-0.321091279155221</v>
      </c>
      <c r="F36" s="11">
        <f>('Raw Data'!F28-$E$8)/$E$9</f>
        <v>-0.750455212294687</v>
      </c>
      <c r="G36" s="11">
        <f>('Raw Data'!G28-$F$8)/$F$9</f>
        <v>-0.106452905465899</v>
      </c>
      <c r="H36" s="2">
        <v>5</v>
      </c>
    </row>
    <row r="37" spans="1:8">
      <c r="A37" s="2">
        <v>26</v>
      </c>
      <c r="B37" s="2" t="s">
        <v>56</v>
      </c>
      <c r="C37" s="11">
        <f>('Raw Data'!C29-$B$8)/$B$9</f>
        <v>-0.0783405829699917</v>
      </c>
      <c r="D37" s="11">
        <f>('Raw Data'!D29-$C$8)/$C$9</f>
        <v>-0.327236807436218</v>
      </c>
      <c r="E37" s="11">
        <f>('Raw Data'!E29-$D$8)/$D$9</f>
        <v>-0.451852433562324</v>
      </c>
      <c r="F37" s="11">
        <f>('Raw Data'!F29-$E$8)/$E$9</f>
        <v>0.0939083115824092</v>
      </c>
      <c r="G37" s="11">
        <f>('Raw Data'!G29-$F$8)/$F$9</f>
        <v>0.169739950140688</v>
      </c>
      <c r="H37" s="2">
        <v>3</v>
      </c>
    </row>
    <row r="38" spans="1:8">
      <c r="A38" s="2">
        <v>27</v>
      </c>
      <c r="B38" s="2" t="s">
        <v>57</v>
      </c>
      <c r="C38" s="11">
        <f>('Raw Data'!C30-$B$8)/$B$9</f>
        <v>-0.722095808245117</v>
      </c>
      <c r="D38" s="11">
        <f>('Raw Data'!D30-$C$8)/$C$9</f>
        <v>0.409046009295272</v>
      </c>
      <c r="E38" s="11">
        <f>('Raw Data'!E30-$D$8)/$D$9</f>
        <v>0.559367160519276</v>
      </c>
      <c r="F38" s="11">
        <f>('Raw Data'!F30-$E$8)/$E$9</f>
        <v>-0.0809183370897585</v>
      </c>
      <c r="G38" s="11">
        <f>('Raw Data'!G30-$F$8)/$F$9</f>
        <v>-0.238267541997007</v>
      </c>
      <c r="H38" s="2">
        <v>3</v>
      </c>
    </row>
    <row r="39" spans="1:8">
      <c r="A39" s="2">
        <v>28</v>
      </c>
      <c r="B39" s="2" t="s">
        <v>58</v>
      </c>
      <c r="C39" s="11">
        <f>('Raw Data'!C31-$B$8)/$B$9</f>
        <v>-0.722095808245117</v>
      </c>
      <c r="D39" s="11">
        <f>('Raw Data'!D31-$C$8)/$C$9</f>
        <v>-0.0559747170614588</v>
      </c>
      <c r="E39" s="11">
        <f>('Raw Data'!E31-$D$8)/$D$9</f>
        <v>-0.007264508578172</v>
      </c>
      <c r="F39" s="11">
        <f>('Raw Data'!F31-$E$8)/$E$9</f>
        <v>-0.0517122439645722</v>
      </c>
      <c r="G39" s="11">
        <f>('Raw Data'!G31-$F$8)/$F$9</f>
        <v>-1.86154419484064</v>
      </c>
      <c r="H39" s="2">
        <v>5</v>
      </c>
    </row>
    <row r="40" spans="1:8">
      <c r="A40" s="2">
        <v>29</v>
      </c>
      <c r="B40" s="2" t="s">
        <v>59</v>
      </c>
      <c r="C40" s="11">
        <f>('Raw Data'!C32-$B$8)/$B$9</f>
        <v>-0.0783405829699917</v>
      </c>
      <c r="D40" s="11">
        <f>('Raw Data'!D32-$C$8)/$C$9</f>
        <v>0.525301190884454</v>
      </c>
      <c r="E40" s="11">
        <f>('Raw Data'!E32-$D$8)/$D$9</f>
        <v>-0.120590842397662</v>
      </c>
      <c r="F40" s="11">
        <f>('Raw Data'!F32-$E$8)/$E$9</f>
        <v>-0.186931331258198</v>
      </c>
      <c r="G40" s="11">
        <f>('Raw Data'!G32-$F$8)/$F$9</f>
        <v>-0.054962813070935</v>
      </c>
      <c r="H40" s="2">
        <v>3</v>
      </c>
    </row>
    <row r="41" spans="1:8">
      <c r="A41" s="2">
        <v>30</v>
      </c>
      <c r="B41" s="2" t="s">
        <v>60</v>
      </c>
      <c r="C41" s="11">
        <f>('Raw Data'!C33-$B$8)/$B$9</f>
        <v>-0.446200711698636</v>
      </c>
      <c r="D41" s="11">
        <f>('Raw Data'!D33-$C$8)/$C$9</f>
        <v>-0.288485080239824</v>
      </c>
      <c r="E41" s="11">
        <f>('Raw Data'!E33-$D$8)/$D$9</f>
        <v>0.158366287004159</v>
      </c>
      <c r="F41" s="11">
        <f>('Raw Data'!F33-$E$8)/$E$9</f>
        <v>-0.568096465921813</v>
      </c>
      <c r="G41" s="11">
        <f>('Raw Data'!G33-$F$8)/$F$9</f>
        <v>-0.771189998284883</v>
      </c>
      <c r="H41" s="2">
        <v>5</v>
      </c>
    </row>
    <row r="42" spans="1:8">
      <c r="A42" s="2">
        <v>31</v>
      </c>
      <c r="B42" s="2" t="s">
        <v>61</v>
      </c>
      <c r="C42" s="11">
        <f>('Raw Data'!C34-$B$8)/$B$9</f>
        <v>-0.997990904791602</v>
      </c>
      <c r="D42" s="11">
        <f>('Raw Data'!D34-$C$8)/$C$9</f>
        <v>0.176535646116906</v>
      </c>
      <c r="E42" s="11">
        <f>('Raw Data'!E34-$D$8)/$D$9</f>
        <v>0.916780982565359</v>
      </c>
      <c r="F42" s="11">
        <f>('Raw Data'!F34-$E$8)/$E$9</f>
        <v>0.205301375537067</v>
      </c>
      <c r="G42" s="11">
        <f>('Raw Data'!G34-$F$8)/$F$9</f>
        <v>0.384350655242897</v>
      </c>
      <c r="H42" s="2">
        <v>3</v>
      </c>
    </row>
    <row r="43" spans="1:8">
      <c r="A43" s="2">
        <v>32</v>
      </c>
      <c r="B43" s="2" t="s">
        <v>62</v>
      </c>
      <c r="C43" s="11">
        <f>('Raw Data'!C35-$B$8)/$B$9</f>
        <v>-0.906025872609439</v>
      </c>
      <c r="D43" s="11">
        <f>('Raw Data'!D35-$C$8)/$C$9</f>
        <v>-0.288485080239824</v>
      </c>
      <c r="E43" s="11">
        <f>('Raw Data'!E35-$D$8)/$D$9</f>
        <v>-0.382113151211869</v>
      </c>
      <c r="F43" s="11">
        <f>('Raw Data'!F35-$E$8)/$E$9</f>
        <v>-0.459419056240199</v>
      </c>
      <c r="G43" s="11">
        <f>('Raw Data'!G35-$F$8)/$F$9</f>
        <v>-0.640302183416885</v>
      </c>
      <c r="H43" s="2">
        <v>5</v>
      </c>
    </row>
    <row r="44" spans="1:8">
      <c r="A44" s="2">
        <v>33</v>
      </c>
      <c r="B44" s="2" t="s">
        <v>63</v>
      </c>
      <c r="C44" s="11">
        <f>('Raw Data'!C36-$B$8)/$B$9</f>
        <v>0.841309738851619</v>
      </c>
      <c r="D44" s="11">
        <f>('Raw Data'!D36-$C$8)/$C$9</f>
        <v>-1.33478171454247</v>
      </c>
      <c r="E44" s="11">
        <f>('Raw Data'!E36-$D$8)/$D$9</f>
        <v>-0.260069407098572</v>
      </c>
      <c r="F44" s="11">
        <f>('Raw Data'!F36-$E$8)/$E$9</f>
        <v>-0.464389215947468</v>
      </c>
      <c r="G44" s="11">
        <f>('Raw Data'!G36-$F$8)/$F$9</f>
        <v>-1.22615645468678</v>
      </c>
      <c r="H44" s="2">
        <v>1</v>
      </c>
    </row>
    <row r="45" spans="1:8">
      <c r="A45" s="2">
        <v>34</v>
      </c>
      <c r="B45" s="2" t="s">
        <v>64</v>
      </c>
      <c r="C45" s="11">
        <f>('Raw Data'!C37-$B$8)/$B$9</f>
        <v>1.30113489976242</v>
      </c>
      <c r="D45" s="11">
        <f>('Raw Data'!D37-$C$8)/$C$9</f>
        <v>-0.443491989025401</v>
      </c>
      <c r="E45" s="11">
        <f>('Raw Data'!E37-$D$8)/$D$9</f>
        <v>1.91928316635315</v>
      </c>
      <c r="F45" s="11">
        <f>('Raw Data'!F37-$E$8)/$E$9</f>
        <v>-0.152345168346793</v>
      </c>
      <c r="G45" s="11">
        <f>('Raw Data'!G37-$F$8)/$F$9</f>
        <v>-3.5253950404915</v>
      </c>
      <c r="H45" s="2">
        <v>1</v>
      </c>
    </row>
    <row r="46" spans="1:8">
      <c r="A46" s="2">
        <v>35</v>
      </c>
      <c r="B46" s="2" t="s">
        <v>65</v>
      </c>
      <c r="C46" s="11">
        <f>('Raw Data'!C38-$B$8)/$B$9</f>
        <v>-0.0783405829699917</v>
      </c>
      <c r="D46" s="11">
        <f>('Raw Data'!D38-$C$8)/$C$9</f>
        <v>-0.24973335304343</v>
      </c>
      <c r="E46" s="11">
        <f>('Raw Data'!E38-$D$8)/$D$9</f>
        <v>1.14343365020434</v>
      </c>
      <c r="F46" s="11">
        <f>('Raw Data'!F38-$E$8)/$E$9</f>
        <v>-0.428983232878163</v>
      </c>
      <c r="G46" s="11">
        <f>('Raw Data'!G38-$F$8)/$F$9</f>
        <v>-0.578205131988558</v>
      </c>
      <c r="H46" s="2">
        <v>5</v>
      </c>
    </row>
    <row r="47" spans="1:8">
      <c r="A47" s="2">
        <v>36</v>
      </c>
      <c r="B47" s="2" t="s">
        <v>66</v>
      </c>
      <c r="C47" s="11">
        <f>('Raw Data'!C39-$B$8)/$B$9</f>
        <v>-0.354235679516473</v>
      </c>
      <c r="D47" s="11">
        <f>('Raw Data'!D39-$C$8)/$C$9</f>
        <v>0.331542554902483</v>
      </c>
      <c r="E47" s="11">
        <f>('Raw Data'!E39-$D$8)/$D$9</f>
        <v>-0.521591715912779</v>
      </c>
      <c r="F47" s="11">
        <f>('Raw Data'!F39-$E$8)/$E$9</f>
        <v>-0.491084609839085</v>
      </c>
      <c r="G47" s="11">
        <f>('Raw Data'!G39-$F$8)/$F$9</f>
        <v>0.277251263061372</v>
      </c>
      <c r="H47" s="2">
        <v>3</v>
      </c>
    </row>
    <row r="48" spans="1:8">
      <c r="A48" s="2">
        <v>37</v>
      </c>
      <c r="B48" s="2" t="s">
        <v>67</v>
      </c>
      <c r="C48" s="11">
        <f>('Raw Data'!C40-$B$8)/$B$9</f>
        <v>-0.170305615152151</v>
      </c>
      <c r="D48" s="11">
        <f>('Raw Data'!D40-$C$8)/$C$9</f>
        <v>-0.98601616977492</v>
      </c>
      <c r="E48" s="11">
        <f>('Raw Data'!E40-$D$8)/$D$9</f>
        <v>0.0276051325970555</v>
      </c>
      <c r="F48" s="11">
        <f>('Raw Data'!F40-$E$8)/$E$9</f>
        <v>-0.412945501039245</v>
      </c>
      <c r="G48" s="11">
        <f>('Raw Data'!G40-$F$8)/$F$9</f>
        <v>-0.795390341710516</v>
      </c>
      <c r="H48" s="2">
        <v>5</v>
      </c>
    </row>
    <row r="49" spans="1:8">
      <c r="A49" s="2">
        <v>38</v>
      </c>
      <c r="B49" s="2" t="s">
        <v>68</v>
      </c>
      <c r="C49" s="11">
        <f>('Raw Data'!C41-$B$8)/$B$9</f>
        <v>-0.81406084042728</v>
      </c>
      <c r="D49" s="11">
        <f>('Raw Data'!D41-$C$8)/$C$9</f>
        <v>0.099032191724118</v>
      </c>
      <c r="E49" s="11">
        <f>('Raw Data'!E41-$D$8)/$D$9</f>
        <v>0.00145290171563471</v>
      </c>
      <c r="F49" s="11">
        <f>('Raw Data'!F41-$E$8)/$E$9</f>
        <v>-0.610163487774055</v>
      </c>
      <c r="G49" s="11">
        <f>('Raw Data'!G41-$F$8)/$F$9</f>
        <v>-0.357106675244583</v>
      </c>
      <c r="H49" s="2">
        <v>5</v>
      </c>
    </row>
    <row r="50" spans="1:8">
      <c r="A50" s="2">
        <v>39</v>
      </c>
      <c r="B50" s="2" t="s">
        <v>69</v>
      </c>
      <c r="C50" s="11">
        <f>('Raw Data'!C42-$B$8)/$B$9</f>
        <v>-0.0783405829699917</v>
      </c>
      <c r="D50" s="11">
        <f>('Raw Data'!D42-$C$8)/$C$9</f>
        <v>-1.21852653295328</v>
      </c>
      <c r="E50" s="11">
        <f>('Raw Data'!E42-$D$8)/$D$9</f>
        <v>-0.199047535041924</v>
      </c>
      <c r="F50" s="11">
        <f>('Raw Data'!F42-$E$8)/$E$9</f>
        <v>-1.04661524433605</v>
      </c>
      <c r="G50" s="11">
        <f>('Raw Data'!G42-$F$8)/$F$9</f>
        <v>-1.17157695674812</v>
      </c>
      <c r="H50" s="2">
        <v>5</v>
      </c>
    </row>
    <row r="51" spans="1:8">
      <c r="A51" s="2">
        <v>40</v>
      </c>
      <c r="B51" s="2" t="s">
        <v>70</v>
      </c>
      <c r="C51" s="11">
        <f>('Raw Data'!C43-$B$8)/$B$9</f>
        <v>0.473449610122975</v>
      </c>
      <c r="D51" s="11">
        <f>('Raw Data'!D43-$C$8)/$C$9</f>
        <v>-0.24973335304343</v>
      </c>
      <c r="E51" s="11">
        <f>('Raw Data'!E43-$D$8)/$D$9</f>
        <v>0.498345288462628</v>
      </c>
      <c r="F51" s="11">
        <f>('Raw Data'!F43-$E$8)/$E$9</f>
        <v>-1.29251005294617</v>
      </c>
      <c r="G51" s="11">
        <f>('Raw Data'!G43-$F$8)/$F$9</f>
        <v>0.211446924980608</v>
      </c>
      <c r="H51" s="2">
        <v>5</v>
      </c>
    </row>
    <row r="52" spans="1:8">
      <c r="A52" s="2">
        <v>41</v>
      </c>
      <c r="B52" s="2" t="s">
        <v>71</v>
      </c>
      <c r="C52" s="11">
        <f>('Raw Data'!C44-$B$8)/$B$9</f>
        <v>1.20916986758026</v>
      </c>
      <c r="D52" s="11">
        <f>('Raw Data'!D44-$C$8)/$C$9</f>
        <v>-0.753505806596554</v>
      </c>
      <c r="E52" s="11">
        <f>('Raw Data'!E44-$D$8)/$D$9</f>
        <v>-0.399547971799483</v>
      </c>
      <c r="F52" s="11">
        <f>('Raw Data'!F44-$E$8)/$E$9</f>
        <v>-1.54076184451025</v>
      </c>
      <c r="G52" s="11">
        <f>('Raw Data'!G44-$F$8)/$F$9</f>
        <v>-1.99644823691544</v>
      </c>
      <c r="H52" s="2">
        <v>1</v>
      </c>
    </row>
    <row r="53" spans="1:8">
      <c r="A53" s="2">
        <v>42</v>
      </c>
      <c r="B53" s="2" t="s">
        <v>72</v>
      </c>
      <c r="C53" s="11">
        <f>('Raw Data'!C45-$B$8)/$B$9</f>
        <v>-0.81406084042728</v>
      </c>
      <c r="D53" s="11">
        <f>('Raw Data'!D45-$C$8)/$C$9</f>
        <v>-1.7998024408992</v>
      </c>
      <c r="E53" s="11">
        <f>('Raw Data'!E45-$D$8)/$D$9</f>
        <v>0.393736364936945</v>
      </c>
      <c r="F53" s="11">
        <f>('Raw Data'!F45-$E$8)/$E$9</f>
        <v>-0.851703001795333</v>
      </c>
      <c r="G53" s="11">
        <f>('Raw Data'!G45-$F$8)/$F$9</f>
        <v>-0.366889792799627</v>
      </c>
      <c r="H53" s="2">
        <v>5</v>
      </c>
    </row>
    <row r="54" spans="1:8">
      <c r="A54" s="2">
        <v>43</v>
      </c>
      <c r="B54" s="2" t="s">
        <v>73</v>
      </c>
      <c r="C54" s="11">
        <f>('Raw Data'!C46-$B$8)/$B$9</f>
        <v>-0.997990904791602</v>
      </c>
      <c r="D54" s="11">
        <f>('Raw Data'!D46-$C$8)/$C$9</f>
        <v>-0.443491989025401</v>
      </c>
      <c r="E54" s="11">
        <f>('Raw Data'!E46-$D$8)/$D$9</f>
        <v>2.29413180898685</v>
      </c>
      <c r="F54" s="11">
        <f>('Raw Data'!F46-$E$8)/$E$9</f>
        <v>-1.53430576076679</v>
      </c>
      <c r="G54" s="11">
        <f>('Raw Data'!G46-$F$8)/$F$9</f>
        <v>0.525433508405098</v>
      </c>
      <c r="H54" s="2">
        <v>4</v>
      </c>
    </row>
    <row r="55" spans="1:8">
      <c r="A55" s="2">
        <v>44</v>
      </c>
      <c r="B55" s="2" t="s">
        <v>74</v>
      </c>
      <c r="C55" s="11">
        <f>('Raw Data'!C47-$B$8)/$B$9</f>
        <v>-1.54978109788456</v>
      </c>
      <c r="D55" s="11">
        <f>('Raw Data'!D47-$C$8)/$C$9</f>
        <v>-1.68354725931002</v>
      </c>
      <c r="E55" s="11">
        <f>('Raw Data'!E47-$D$8)/$D$9</f>
        <v>0.507062698756435</v>
      </c>
      <c r="F55" s="11">
        <f>('Raw Data'!F47-$E$8)/$E$9</f>
        <v>-0.590077893905506</v>
      </c>
      <c r="G55" s="11">
        <f>('Raw Data'!G47-$F$8)/$F$9</f>
        <v>-0.545663393594941</v>
      </c>
      <c r="H55" s="2">
        <v>5</v>
      </c>
    </row>
    <row r="56" spans="1:8">
      <c r="A56" s="2">
        <v>45</v>
      </c>
      <c r="B56" s="2" t="s">
        <v>75</v>
      </c>
      <c r="C56" s="11">
        <f>('Raw Data'!C48-$B$8)/$B$9</f>
        <v>-0.538165743880795</v>
      </c>
      <c r="D56" s="11">
        <f>('Raw Data'!D48-$C$8)/$C$9</f>
        <v>-1.21852653295328</v>
      </c>
      <c r="E56" s="11">
        <f>('Raw Data'!E48-$D$8)/$D$9</f>
        <v>0.106061825241318</v>
      </c>
      <c r="F56" s="11">
        <f>('Raw Data'!F48-$E$8)/$E$9</f>
        <v>-0.675646622886315</v>
      </c>
      <c r="G56" s="11">
        <f>('Raw Data'!G48-$F$8)/$F$9</f>
        <v>-1.00238051313827</v>
      </c>
      <c r="H56" s="2">
        <v>5</v>
      </c>
    </row>
    <row r="57" spans="1:8">
      <c r="A57" s="2">
        <v>46</v>
      </c>
      <c r="B57" s="2" t="s">
        <v>76</v>
      </c>
      <c r="C57" s="11">
        <f>('Raw Data'!C49-$B$8)/$B$9</f>
        <v>0.933274771033778</v>
      </c>
      <c r="D57" s="11">
        <f>('Raw Data'!D49-$C$8)/$C$9</f>
        <v>-0.133478171454247</v>
      </c>
      <c r="E57" s="11">
        <f>('Raw Data'!E49-$D$8)/$D$9</f>
        <v>-0.556461357088007</v>
      </c>
      <c r="F57" s="11">
        <f>('Raw Data'!F49-$E$8)/$E$9</f>
        <v>-1.42547463480557</v>
      </c>
      <c r="G57" s="11">
        <f>('Raw Data'!G49-$F$8)/$F$9</f>
        <v>-1.4918453314448</v>
      </c>
      <c r="H57" s="2">
        <v>1</v>
      </c>
    </row>
    <row r="58" spans="1:8">
      <c r="A58" s="2">
        <v>47</v>
      </c>
      <c r="B58" s="2" t="s">
        <v>77</v>
      </c>
      <c r="C58" s="11">
        <f>('Raw Data'!C50-$B$8)/$B$9</f>
        <v>-0.906025872609439</v>
      </c>
      <c r="D58" s="11">
        <f>('Raw Data'!D50-$C$8)/$C$9</f>
        <v>-0.792257533792949</v>
      </c>
      <c r="E58" s="11">
        <f>('Raw Data'!E50-$D$8)/$D$9</f>
        <v>0.960368034034394</v>
      </c>
      <c r="F58" s="11">
        <f>('Raw Data'!F50-$E$8)/$E$9</f>
        <v>-0.340647610864441</v>
      </c>
      <c r="G58" s="11">
        <f>('Raw Data'!G50-$F$8)/$F$9</f>
        <v>0.269218808647758</v>
      </c>
      <c r="H58" s="2">
        <v>5</v>
      </c>
    </row>
    <row r="59" spans="1:8">
      <c r="A59" s="2">
        <v>48</v>
      </c>
      <c r="B59" s="2" t="s">
        <v>78</v>
      </c>
      <c r="C59" s="11">
        <f>('Raw Data'!C51-$B$8)/$B$9</f>
        <v>-1.91764122661321</v>
      </c>
      <c r="D59" s="11">
        <f>('Raw Data'!D51-$C$8)/$C$9</f>
        <v>-1.17977480575689</v>
      </c>
      <c r="E59" s="11">
        <f>('Raw Data'!E51-$D$8)/$D$9</f>
        <v>0.94293321344678</v>
      </c>
      <c r="F59" s="11">
        <f>('Raw Data'!F51-$E$8)/$E$9</f>
        <v>-0.760293054189487</v>
      </c>
      <c r="G59" s="11">
        <f>('Raw Data'!G51-$F$8)/$F$9</f>
        <v>-0.537527958996537</v>
      </c>
      <c r="H59" s="2">
        <v>5</v>
      </c>
    </row>
    <row r="60" spans="1:8">
      <c r="A60" s="2">
        <v>49</v>
      </c>
      <c r="B60" s="2" t="s">
        <v>79</v>
      </c>
      <c r="C60" s="11">
        <f>('Raw Data'!C52-$B$8)/$B$9</f>
        <v>-0.81406084042728</v>
      </c>
      <c r="D60" s="11">
        <f>('Raw Data'!D52-$C$8)/$C$9</f>
        <v>-0.71475407940016</v>
      </c>
      <c r="E60" s="11">
        <f>('Raw Data'!E52-$D$8)/$D$9</f>
        <v>0.149648876710352</v>
      </c>
      <c r="F60" s="11">
        <f>('Raw Data'!F52-$E$8)/$E$9</f>
        <v>-1.39334793236787</v>
      </c>
      <c r="G60" s="11">
        <f>('Raw Data'!G52-$F$8)/$F$9</f>
        <v>0.111659125919168</v>
      </c>
      <c r="H60" s="2">
        <v>5</v>
      </c>
    </row>
    <row r="61" spans="1:8">
      <c r="A61" s="2">
        <v>50</v>
      </c>
      <c r="B61" s="2" t="s">
        <v>80</v>
      </c>
      <c r="C61" s="11">
        <f>('Raw Data'!C53-$B$8)/$B$9</f>
        <v>-0.262270647334314</v>
      </c>
      <c r="D61" s="11">
        <f>('Raw Data'!D53-$C$8)/$C$9</f>
        <v>-0.598498897810978</v>
      </c>
      <c r="E61" s="11">
        <f>('Raw Data'!E53-$D$8)/$D$9</f>
        <v>0.602954211988311</v>
      </c>
      <c r="F61" s="11">
        <f>('Raw Data'!F53-$E$8)/$E$9</f>
        <v>-0.632247393277486</v>
      </c>
      <c r="G61" s="11">
        <f>('Raw Data'!G53-$F$8)/$F$9</f>
        <v>-1.03718781559727</v>
      </c>
      <c r="H61" s="2">
        <v>5</v>
      </c>
    </row>
    <row r="62" spans="1:8">
      <c r="A62" s="2">
        <v>51</v>
      </c>
      <c r="B62" s="2" t="s">
        <v>81</v>
      </c>
      <c r="C62" s="11">
        <f>('Raw Data'!C54-$B$8)/$B$9</f>
        <v>0.841309738851619</v>
      </c>
      <c r="D62" s="11">
        <f>('Raw Data'!D54-$C$8)/$C$9</f>
        <v>-1.25727826014968</v>
      </c>
      <c r="E62" s="11">
        <f>('Raw Data'!E54-$D$8)/$D$9</f>
        <v>1.27419480461144</v>
      </c>
      <c r="F62" s="11">
        <f>('Raw Data'!F54-$E$8)/$E$9</f>
        <v>-2.23386854925481</v>
      </c>
      <c r="G62" s="11">
        <f>('Raw Data'!G54-$F$8)/$F$9</f>
        <v>-1.835387227904</v>
      </c>
      <c r="H62" s="2">
        <v>1</v>
      </c>
    </row>
    <row r="63" spans="1:8">
      <c r="A63" s="2">
        <v>52</v>
      </c>
      <c r="B63" s="2" t="s">
        <v>82</v>
      </c>
      <c r="C63" s="11">
        <f>('Raw Data'!C55-$B$8)/$B$9</f>
        <v>-0.0783405829699917</v>
      </c>
      <c r="D63" s="11">
        <f>('Raw Data'!D55-$C$8)/$C$9</f>
        <v>-1.87730589529199</v>
      </c>
      <c r="E63" s="11">
        <f>('Raw Data'!E55-$D$8)/$D$9</f>
        <v>3.42739514718175</v>
      </c>
      <c r="F63" s="11">
        <f>('Raw Data'!F55-$E$8)/$E$9</f>
        <v>-1.29071669635076</v>
      </c>
      <c r="G63" s="11">
        <f>('Raw Data'!G55-$F$8)/$F$9</f>
        <v>-0.1043933017701</v>
      </c>
      <c r="H63" s="2">
        <v>4</v>
      </c>
    </row>
    <row r="64" spans="1:8">
      <c r="A64" s="2">
        <v>53</v>
      </c>
      <c r="B64" s="2" t="s">
        <v>83</v>
      </c>
      <c r="C64" s="11">
        <f>('Raw Data'!C56-$B$8)/$B$9</f>
        <v>0.473449610122975</v>
      </c>
      <c r="D64" s="11">
        <f>('Raw Data'!D56-$C$8)/$C$9</f>
        <v>-1.95480934968477</v>
      </c>
      <c r="E64" s="11">
        <f>('Raw Data'!E56-$D$8)/$D$9</f>
        <v>0.193235928179387</v>
      </c>
      <c r="F64" s="11">
        <f>('Raw Data'!F56-$E$8)/$E$9</f>
        <v>-1.1726113548533</v>
      </c>
      <c r="G64" s="11">
        <f>('Raw Data'!G56-$F$8)/$F$9</f>
        <v>-0.939150679677256</v>
      </c>
      <c r="H64" s="2">
        <v>1</v>
      </c>
    </row>
    <row r="65" spans="1:8">
      <c r="A65" s="2">
        <v>54</v>
      </c>
      <c r="B65" s="2" t="s">
        <v>84</v>
      </c>
      <c r="C65" s="11">
        <f>('Raw Data'!C57-$B$8)/$B$9</f>
        <v>-1.45781606570241</v>
      </c>
      <c r="D65" s="11">
        <f>('Raw Data'!D57-$C$8)/$C$9</f>
        <v>-1.56729207772083</v>
      </c>
      <c r="E65" s="11">
        <f>('Raw Data'!E57-$D$8)/$D$9</f>
        <v>0.57680198110689</v>
      </c>
      <c r="F65" s="11">
        <f>('Raw Data'!F57-$E$8)/$E$9</f>
        <v>-0.904325208180537</v>
      </c>
      <c r="G65" s="11">
        <f>('Raw Data'!G57-$F$8)/$F$9</f>
        <v>0.100331305592276</v>
      </c>
      <c r="H65" s="2">
        <v>5</v>
      </c>
    </row>
  </sheetData>
  <mergeCells count="2">
    <mergeCell ref="A1:H1"/>
    <mergeCell ref="A3:H5"/>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8"/>
  <sheetViews>
    <sheetView workbookViewId="0">
      <selection activeCell="A7" sqref="A7"/>
    </sheetView>
  </sheetViews>
  <sheetFormatPr defaultColWidth="9" defaultRowHeight="16.8"/>
  <cols>
    <col min="1" max="1" width="8" customWidth="1"/>
    <col min="2" max="2" width="34" customWidth="1"/>
    <col min="3" max="3" width="14" customWidth="1"/>
    <col min="4" max="8" width="12" customWidth="1"/>
    <col min="9" max="9" width="14" customWidth="1"/>
    <col min="10" max="10" width="11" customWidth="1"/>
  </cols>
  <sheetData>
    <row r="1" ht="23.2" spans="1:11">
      <c r="A1" s="1" t="s">
        <v>96</v>
      </c>
      <c r="B1" s="1"/>
      <c r="C1" s="1"/>
      <c r="D1" s="1"/>
      <c r="E1" s="1"/>
      <c r="F1" s="1"/>
      <c r="G1" s="1"/>
      <c r="H1" s="1"/>
      <c r="I1" s="1"/>
      <c r="J1" s="1"/>
      <c r="K1" s="1"/>
    </row>
    <row r="2" spans="1:11">
      <c r="A2" s="2"/>
      <c r="B2" s="2"/>
      <c r="C2" s="2"/>
      <c r="D2" s="2"/>
      <c r="E2" s="2"/>
      <c r="F2" s="2"/>
      <c r="G2" s="2"/>
      <c r="H2" s="2"/>
      <c r="I2" s="2"/>
      <c r="J2" s="2"/>
      <c r="K2" s="2"/>
    </row>
    <row r="3" spans="1:11">
      <c r="A3" s="10" t="s">
        <v>97</v>
      </c>
      <c r="B3" s="10"/>
      <c r="C3" s="10"/>
      <c r="D3" s="10"/>
      <c r="E3" s="10"/>
      <c r="F3" s="10"/>
      <c r="G3" s="10"/>
      <c r="H3" s="10"/>
      <c r="I3" s="10"/>
      <c r="J3" s="10"/>
      <c r="K3" s="10"/>
    </row>
    <row r="4" spans="1:11">
      <c r="A4" s="10"/>
      <c r="B4" s="10"/>
      <c r="C4" s="10"/>
      <c r="D4" s="10"/>
      <c r="E4" s="10"/>
      <c r="F4" s="10"/>
      <c r="G4" s="10"/>
      <c r="H4" s="10"/>
      <c r="I4" s="10"/>
      <c r="J4" s="10"/>
      <c r="K4" s="10"/>
    </row>
    <row r="5" spans="1:11">
      <c r="A5" s="10"/>
      <c r="B5" s="10"/>
      <c r="C5" s="10"/>
      <c r="D5" s="10"/>
      <c r="E5" s="10"/>
      <c r="F5" s="10"/>
      <c r="G5" s="10"/>
      <c r="H5" s="10"/>
      <c r="I5" s="10"/>
      <c r="J5" s="10"/>
      <c r="K5" s="10"/>
    </row>
    <row r="6" spans="1:11">
      <c r="A6" s="10"/>
      <c r="B6" s="10"/>
      <c r="C6" s="10"/>
      <c r="D6" s="10"/>
      <c r="E6" s="10"/>
      <c r="F6" s="10"/>
      <c r="G6" s="10"/>
      <c r="H6" s="10"/>
      <c r="I6" s="10"/>
      <c r="J6" s="10"/>
      <c r="K6" s="10"/>
    </row>
    <row r="7" spans="1:11">
      <c r="A7" s="2"/>
      <c r="B7" s="2"/>
      <c r="C7" s="2"/>
      <c r="D7" s="2"/>
      <c r="E7" s="2"/>
      <c r="F7" s="2"/>
      <c r="G7" s="2"/>
      <c r="H7" s="2"/>
      <c r="I7" s="2"/>
      <c r="J7" s="2"/>
      <c r="K7" s="2"/>
    </row>
    <row r="8" spans="1:11">
      <c r="A8" s="3" t="s">
        <v>98</v>
      </c>
      <c r="B8" s="3" t="s">
        <v>99</v>
      </c>
      <c r="C8" s="3" t="s">
        <v>26</v>
      </c>
      <c r="D8" s="3" t="s">
        <v>27</v>
      </c>
      <c r="E8" s="3" t="s">
        <v>28</v>
      </c>
      <c r="F8" s="3" t="s">
        <v>29</v>
      </c>
      <c r="G8" s="3" t="s">
        <v>30</v>
      </c>
      <c r="H8" s="2"/>
      <c r="I8" s="2"/>
      <c r="J8" s="2"/>
      <c r="K8" s="2"/>
    </row>
    <row r="9" spans="1:11">
      <c r="A9" s="2">
        <v>1</v>
      </c>
      <c r="B9" s="2">
        <v>6</v>
      </c>
      <c r="C9" s="5">
        <v>3.51</v>
      </c>
      <c r="D9" s="7">
        <v>656.166666666667</v>
      </c>
      <c r="E9" s="8">
        <v>34.5333333333333</v>
      </c>
      <c r="F9" s="9">
        <v>83607.3333333333</v>
      </c>
      <c r="G9" s="9">
        <v>27007.6666666667</v>
      </c>
      <c r="H9" s="2"/>
      <c r="I9" s="2"/>
      <c r="J9" s="2"/>
      <c r="K9" s="2"/>
    </row>
    <row r="10" spans="1:11">
      <c r="A10" s="2">
        <v>2</v>
      </c>
      <c r="B10" s="2">
        <v>12</v>
      </c>
      <c r="C10" s="5">
        <v>3.54916666666667</v>
      </c>
      <c r="D10" s="7">
        <v>717</v>
      </c>
      <c r="E10" s="8">
        <v>16.7083333333333</v>
      </c>
      <c r="F10" s="9">
        <v>132509.416666667</v>
      </c>
      <c r="G10" s="9">
        <v>55066.1666666667</v>
      </c>
      <c r="H10" s="2"/>
      <c r="I10" s="2"/>
      <c r="J10" s="2"/>
      <c r="K10" s="2"/>
    </row>
    <row r="11" spans="1:11">
      <c r="A11" s="2">
        <v>3</v>
      </c>
      <c r="B11" s="2">
        <v>16</v>
      </c>
      <c r="C11" s="5">
        <v>3.353125</v>
      </c>
      <c r="D11" s="7">
        <v>689.8125</v>
      </c>
      <c r="E11" s="8">
        <v>30.80625</v>
      </c>
      <c r="F11" s="9">
        <v>113053.375</v>
      </c>
      <c r="G11" s="9">
        <v>49066.3125</v>
      </c>
      <c r="H11" s="2"/>
      <c r="I11" s="2"/>
      <c r="J11" s="2"/>
      <c r="K11" s="2"/>
    </row>
    <row r="12" spans="1:11">
      <c r="A12" s="2">
        <v>4</v>
      </c>
      <c r="B12" s="2">
        <v>2</v>
      </c>
      <c r="C12" s="5">
        <v>3.35</v>
      </c>
      <c r="D12" s="7">
        <v>651.5</v>
      </c>
      <c r="E12" s="8">
        <v>63.2</v>
      </c>
      <c r="F12" s="9">
        <v>78775</v>
      </c>
      <c r="G12" s="9">
        <v>46878</v>
      </c>
      <c r="H12" s="2"/>
      <c r="I12" s="2"/>
      <c r="J12" s="2"/>
      <c r="K12" s="2"/>
    </row>
    <row r="13" spans="1:11">
      <c r="A13" s="2">
        <v>5</v>
      </c>
      <c r="B13" s="2">
        <v>18</v>
      </c>
      <c r="C13" s="5">
        <v>3.33666666666667</v>
      </c>
      <c r="D13" s="7">
        <v>662.055555555556</v>
      </c>
      <c r="E13" s="8">
        <v>34.0944444444444</v>
      </c>
      <c r="F13" s="9">
        <v>93573.3333333333</v>
      </c>
      <c r="G13" s="9">
        <v>39964.6666666667</v>
      </c>
      <c r="H13" s="2"/>
      <c r="I13" s="2"/>
      <c r="J13" s="2"/>
      <c r="K13" s="2"/>
    </row>
    <row r="14" spans="1:11">
      <c r="A14" s="2"/>
      <c r="B14" s="2"/>
      <c r="C14" s="2"/>
      <c r="D14" s="2"/>
      <c r="E14" s="2"/>
      <c r="F14" s="2"/>
      <c r="G14" s="2"/>
      <c r="H14" s="2"/>
      <c r="I14" s="2"/>
      <c r="J14" s="2"/>
      <c r="K14" s="2"/>
    </row>
    <row r="15" spans="1:11">
      <c r="A15" s="2"/>
      <c r="B15" s="2"/>
      <c r="C15" s="2"/>
      <c r="D15" s="2"/>
      <c r="E15" s="2"/>
      <c r="F15" s="2"/>
      <c r="G15" s="2"/>
      <c r="H15" s="2"/>
      <c r="I15" s="2"/>
      <c r="J15" s="2"/>
      <c r="K15" s="2"/>
    </row>
    <row r="16" spans="1:11">
      <c r="A16" s="3" t="s">
        <v>98</v>
      </c>
      <c r="B16" s="3" t="s">
        <v>90</v>
      </c>
      <c r="C16" s="3" t="s">
        <v>91</v>
      </c>
      <c r="D16" s="3" t="s">
        <v>92</v>
      </c>
      <c r="E16" s="3" t="s">
        <v>93</v>
      </c>
      <c r="F16" s="3" t="s">
        <v>94</v>
      </c>
      <c r="G16" s="2"/>
      <c r="H16" s="2"/>
      <c r="I16" s="2"/>
      <c r="J16" s="2"/>
      <c r="K16" s="2"/>
    </row>
    <row r="17" spans="1:11">
      <c r="A17" s="2">
        <v>1</v>
      </c>
      <c r="B17" s="11">
        <v>0.933274771033779</v>
      </c>
      <c r="C17" s="11">
        <v>-0.97955754857552</v>
      </c>
      <c r="D17" s="11">
        <v>0.361772527192987</v>
      </c>
      <c r="E17" s="11">
        <v>-1.16490846128637</v>
      </c>
      <c r="F17" s="11">
        <v>-1.83573049518663</v>
      </c>
      <c r="G17" s="2"/>
      <c r="H17" s="2"/>
      <c r="I17" s="2"/>
      <c r="J17" s="2"/>
      <c r="K17" s="2"/>
    </row>
    <row r="18" spans="1:11">
      <c r="A18" s="2">
        <v>2</v>
      </c>
      <c r="B18" s="11">
        <v>1.29347114708058</v>
      </c>
      <c r="C18" s="11">
        <v>1.37783918920513</v>
      </c>
      <c r="D18" s="11">
        <v>-1.19210585767809</v>
      </c>
      <c r="E18" s="11">
        <v>1.3407736437118</v>
      </c>
      <c r="F18" s="11">
        <v>1.05373901974156</v>
      </c>
      <c r="G18" s="2"/>
      <c r="H18" s="2"/>
      <c r="I18" s="2"/>
      <c r="J18" s="2"/>
      <c r="K18" s="2"/>
    </row>
    <row r="19" spans="1:11">
      <c r="A19" s="2">
        <v>3</v>
      </c>
      <c r="B19" s="11">
        <v>-0.509426671323871</v>
      </c>
      <c r="C19" s="11">
        <v>0.324276606053159</v>
      </c>
      <c r="D19" s="11">
        <v>0.0368673810342254</v>
      </c>
      <c r="E19" s="11">
        <v>0.343870196757112</v>
      </c>
      <c r="F19" s="11">
        <v>0.435872928945608</v>
      </c>
      <c r="G19" s="2"/>
      <c r="H19" s="2"/>
      <c r="I19" s="2"/>
      <c r="J19" s="2"/>
      <c r="K19" s="2"/>
    </row>
    <row r="20" spans="1:11">
      <c r="A20" s="2">
        <v>4</v>
      </c>
      <c r="B20" s="11">
        <v>-0.538165743880797</v>
      </c>
      <c r="C20" s="11">
        <v>-1.16039894215869</v>
      </c>
      <c r="D20" s="11">
        <v>2.8607634780843</v>
      </c>
      <c r="E20" s="11">
        <v>-1.41251122855878</v>
      </c>
      <c r="F20" s="11">
        <v>0.210520103317499</v>
      </c>
      <c r="G20" s="2"/>
      <c r="H20" s="2"/>
      <c r="I20" s="2"/>
      <c r="J20" s="2"/>
      <c r="K20" s="2"/>
    </row>
    <row r="21" spans="1:11">
      <c r="A21" s="2">
        <v>5</v>
      </c>
      <c r="B21" s="11">
        <v>-0.660785786790344</v>
      </c>
      <c r="C21" s="11">
        <v>-0.751352932863421</v>
      </c>
      <c r="D21" s="11">
        <v>0.323512782014612</v>
      </c>
      <c r="E21" s="11">
        <v>-0.654262980434424</v>
      </c>
      <c r="F21" s="11">
        <v>-0.501416240863536</v>
      </c>
      <c r="G21" s="2"/>
      <c r="H21" s="2"/>
      <c r="I21" s="2"/>
      <c r="J21" s="2"/>
      <c r="K21" s="2"/>
    </row>
    <row r="22" spans="1:11">
      <c r="A22" s="2"/>
      <c r="B22" s="2"/>
      <c r="C22" s="2"/>
      <c r="D22" s="2"/>
      <c r="E22" s="2"/>
      <c r="F22" s="2"/>
      <c r="G22" s="2"/>
      <c r="H22" s="2"/>
      <c r="I22" s="2"/>
      <c r="J22" s="2"/>
      <c r="K22" s="2"/>
    </row>
    <row r="23" spans="1:11">
      <c r="A23" s="2"/>
      <c r="B23" s="2"/>
      <c r="C23" s="2"/>
      <c r="D23" s="2"/>
      <c r="E23" s="2"/>
      <c r="F23" s="2"/>
      <c r="G23" s="2"/>
      <c r="H23" s="2"/>
      <c r="I23" s="2"/>
      <c r="J23" s="2"/>
      <c r="K23" s="2"/>
    </row>
    <row r="24" spans="1:11">
      <c r="A24" s="3" t="s">
        <v>24</v>
      </c>
      <c r="B24" s="3" t="s">
        <v>25</v>
      </c>
      <c r="C24" s="3" t="s">
        <v>100</v>
      </c>
      <c r="D24" s="3" t="s">
        <v>101</v>
      </c>
      <c r="E24" s="3" t="s">
        <v>102</v>
      </c>
      <c r="F24" s="3" t="s">
        <v>103</v>
      </c>
      <c r="G24" s="3" t="s">
        <v>104</v>
      </c>
      <c r="H24" s="3" t="s">
        <v>105</v>
      </c>
      <c r="I24" s="3" t="s">
        <v>106</v>
      </c>
      <c r="J24" s="3" t="s">
        <v>107</v>
      </c>
      <c r="K24" s="2"/>
    </row>
    <row r="25" spans="1:11">
      <c r="A25" s="2">
        <v>1</v>
      </c>
      <c r="B25" s="2" t="s">
        <v>31</v>
      </c>
      <c r="C25" s="2">
        <v>2</v>
      </c>
      <c r="D25" s="11">
        <f>SQRT(('Standardized Data'!C12-$B$17)^2+('Standardized Data'!D12-$C$17)^2+('Standardized Data'!E12-$D$17)^2+('Standardized Data'!F12-$E$17)^2+('Standardized Data'!G12-$F$17)^2)</f>
        <v>5.76461714993994</v>
      </c>
      <c r="E25" s="11">
        <f>SQRT(('Standardized Data'!C12-$B$18)^2+('Standardized Data'!D12-$C$18)^2+('Standardized Data'!E12-$D$18)^2+('Standardized Data'!F12-$E$18)^2+('Standardized Data'!G12-$F$18)^2)</f>
        <v>1.34704874546362</v>
      </c>
      <c r="F25" s="11">
        <f>SQRT(('Standardized Data'!C12-$B$19)^2+('Standardized Data'!D12-$C$19)^2+('Standardized Data'!E12-$D$19)^2+('Standardized Data'!F12-$E$19)^2+('Standardized Data'!G12-$F$19)^2)</f>
        <v>3.99414154859477</v>
      </c>
      <c r="G25" s="11">
        <f>SQRT(('Standardized Data'!C12-$B$20)^2+('Standardized Data'!D12-$C$20)^2+('Standardized Data'!E12-$D$20)^2+('Standardized Data'!F12-$E$20)^2+('Standardized Data'!G12-$F$20)^2)</f>
        <v>6.95735483494155</v>
      </c>
      <c r="H25" s="11">
        <f>SQRT(('Standardized Data'!C12-$B$21)^2+('Standardized Data'!D12-$C$21)^2+('Standardized Data'!E12-$D$21)^2+('Standardized Data'!F12-$E$21)^2+('Standardized Data'!G12-$F$21)^2)</f>
        <v>5.36067306687678</v>
      </c>
      <c r="I25" s="2">
        <f t="shared" ref="I25:I78" si="0">MATCH(MIN(D25:H25),D25:H25,0)</f>
        <v>2</v>
      </c>
      <c r="J25" s="2" t="str">
        <f t="shared" ref="J25:J78" si="1">IF(C25=I25,"Yes","No")</f>
        <v>Yes</v>
      </c>
      <c r="K25" s="2"/>
    </row>
    <row r="26" spans="1:11">
      <c r="A26" s="2">
        <v>2</v>
      </c>
      <c r="B26" s="2" t="s">
        <v>32</v>
      </c>
      <c r="C26" s="2">
        <v>2</v>
      </c>
      <c r="D26" s="11">
        <f>SQRT(('Standardized Data'!C13-$B$17)^2+('Standardized Data'!D13-$C$17)^2+('Standardized Data'!E13-$D$17)^2+('Standardized Data'!F13-$E$17)^2+('Standardized Data'!G13-$F$17)^2)</f>
        <v>5.8368418025929</v>
      </c>
      <c r="E26" s="11">
        <f>SQRT(('Standardized Data'!C13-$B$18)^2+('Standardized Data'!D13-$C$18)^2+('Standardized Data'!E13-$D$18)^2+('Standardized Data'!F13-$E$18)^2+('Standardized Data'!G13-$F$18)^2)</f>
        <v>1.75567679214646</v>
      </c>
      <c r="F26" s="11">
        <f>SQRT(('Standardized Data'!C13-$B$19)^2+('Standardized Data'!D13-$C$19)^2+('Standardized Data'!E13-$D$19)^2+('Standardized Data'!F13-$E$19)^2+('Standardized Data'!G13-$F$19)^2)</f>
        <v>4.3992960688435</v>
      </c>
      <c r="G26" s="11">
        <f>SQRT(('Standardized Data'!C13-$B$20)^2+('Standardized Data'!D13-$C$20)^2+('Standardized Data'!E13-$D$20)^2+('Standardized Data'!F13-$E$20)^2+('Standardized Data'!G13-$F$20)^2)</f>
        <v>7.38289388114961</v>
      </c>
      <c r="H26" s="11">
        <f>SQRT(('Standardized Data'!C13-$B$21)^2+('Standardized Data'!D13-$C$21)^2+('Standardized Data'!E13-$D$21)^2+('Standardized Data'!F13-$E$21)^2+('Standardized Data'!G13-$F$21)^2)</f>
        <v>5.6600408732151</v>
      </c>
      <c r="I26" s="2">
        <f t="shared" si="0"/>
        <v>2</v>
      </c>
      <c r="J26" s="2" t="str">
        <f t="shared" si="1"/>
        <v>Yes</v>
      </c>
      <c r="K26" s="2"/>
    </row>
    <row r="27" spans="1:11">
      <c r="A27" s="2">
        <v>3</v>
      </c>
      <c r="B27" s="2" t="s">
        <v>33</v>
      </c>
      <c r="C27" s="2">
        <v>2</v>
      </c>
      <c r="D27" s="11">
        <f>SQRT(('Standardized Data'!C14-$B$17)^2+('Standardized Data'!D14-$C$17)^2+('Standardized Data'!E14-$D$17)^2+('Standardized Data'!F14-$E$17)^2+('Standardized Data'!G14-$F$17)^2)</f>
        <v>5.07477090471682</v>
      </c>
      <c r="E27" s="11">
        <f>SQRT(('Standardized Data'!C14-$B$18)^2+('Standardized Data'!D14-$C$18)^2+('Standardized Data'!E14-$D$18)^2+('Standardized Data'!F14-$E$18)^2+('Standardized Data'!G14-$F$18)^2)</f>
        <v>0.460759834204026</v>
      </c>
      <c r="F27" s="11">
        <f>SQRT(('Standardized Data'!C14-$B$19)^2+('Standardized Data'!D14-$C$19)^2+('Standardized Data'!E14-$D$19)^2+('Standardized Data'!F14-$E$19)^2+('Standardized Data'!G14-$F$19)^2)</f>
        <v>2.88900141452069</v>
      </c>
      <c r="G27" s="11">
        <f>SQRT(('Standardized Data'!C14-$B$20)^2+('Standardized Data'!D14-$C$20)^2+('Standardized Data'!E14-$D$20)^2+('Standardized Data'!F14-$E$20)^2+('Standardized Data'!G14-$F$20)^2)</f>
        <v>5.97641589340344</v>
      </c>
      <c r="H27" s="11">
        <f>SQRT(('Standardized Data'!C14-$B$21)^2+('Standardized Data'!D14-$C$21)^2+('Standardized Data'!E14-$D$21)^2+('Standardized Data'!F14-$E$21)^2+('Standardized Data'!G14-$F$21)^2)</f>
        <v>4.38883723800194</v>
      </c>
      <c r="I27" s="2">
        <f t="shared" si="0"/>
        <v>2</v>
      </c>
      <c r="J27" s="2" t="str">
        <f t="shared" si="1"/>
        <v>Yes</v>
      </c>
      <c r="K27" s="2"/>
    </row>
    <row r="28" spans="1:11">
      <c r="A28" s="2">
        <v>4</v>
      </c>
      <c r="B28" s="2" t="s">
        <v>34</v>
      </c>
      <c r="C28" s="2">
        <v>2</v>
      </c>
      <c r="D28" s="11">
        <f>SQRT(('Standardized Data'!C15-$B$17)^2+('Standardized Data'!D15-$C$17)^2+('Standardized Data'!E15-$D$17)^2+('Standardized Data'!F15-$E$17)^2+('Standardized Data'!G15-$F$17)^2)</f>
        <v>4.60371335397522</v>
      </c>
      <c r="E28" s="11">
        <f>SQRT(('Standardized Data'!C15-$B$18)^2+('Standardized Data'!D15-$C$18)^2+('Standardized Data'!E15-$D$18)^2+('Standardized Data'!F15-$E$18)^2+('Standardized Data'!G15-$F$18)^2)</f>
        <v>0.584291087960736</v>
      </c>
      <c r="F28" s="11">
        <f>SQRT(('Standardized Data'!C15-$B$19)^2+('Standardized Data'!D15-$C$19)^2+('Standardized Data'!E15-$D$19)^2+('Standardized Data'!F15-$E$19)^2+('Standardized Data'!G15-$F$19)^2)</f>
        <v>2.48659198868034</v>
      </c>
      <c r="G28" s="11">
        <f>SQRT(('Standardized Data'!C15-$B$20)^2+('Standardized Data'!D15-$C$20)^2+('Standardized Data'!E15-$D$20)^2+('Standardized Data'!F15-$E$20)^2+('Standardized Data'!G15-$F$20)^2)</f>
        <v>5.85000325405569</v>
      </c>
      <c r="H28" s="11">
        <f>SQRT(('Standardized Data'!C15-$B$21)^2+('Standardized Data'!D15-$C$21)^2+('Standardized Data'!E15-$D$21)^2+('Standardized Data'!F15-$E$21)^2+('Standardized Data'!G15-$F$21)^2)</f>
        <v>3.88017981094721</v>
      </c>
      <c r="I28" s="2">
        <f t="shared" si="0"/>
        <v>2</v>
      </c>
      <c r="J28" s="2" t="str">
        <f t="shared" si="1"/>
        <v>Yes</v>
      </c>
      <c r="K28" s="2"/>
    </row>
    <row r="29" spans="1:11">
      <c r="A29" s="2">
        <v>5</v>
      </c>
      <c r="B29" s="2" t="s">
        <v>35</v>
      </c>
      <c r="C29" s="2">
        <v>2</v>
      </c>
      <c r="D29" s="11">
        <f>SQRT(('Standardized Data'!C16-$B$17)^2+('Standardized Data'!D16-$C$17)^2+('Standardized Data'!E16-$D$17)^2+('Standardized Data'!F16-$E$17)^2+('Standardized Data'!G16-$F$17)^2)</f>
        <v>4.43370908205766</v>
      </c>
      <c r="E29" s="11">
        <f>SQRT(('Standardized Data'!C16-$B$18)^2+('Standardized Data'!D16-$C$18)^2+('Standardized Data'!E16-$D$18)^2+('Standardized Data'!F16-$E$18)^2+('Standardized Data'!G16-$F$18)^2)</f>
        <v>0.462667863008989</v>
      </c>
      <c r="F29" s="11">
        <f>SQRT(('Standardized Data'!C16-$B$19)^2+('Standardized Data'!D16-$C$19)^2+('Standardized Data'!E16-$D$19)^2+('Standardized Data'!F16-$E$19)^2+('Standardized Data'!G16-$F$19)^2)</f>
        <v>2.33520729040188</v>
      </c>
      <c r="G29" s="11">
        <f>SQRT(('Standardized Data'!C16-$B$20)^2+('Standardized Data'!D16-$C$20)^2+('Standardized Data'!E16-$D$20)^2+('Standardized Data'!F16-$E$20)^2+('Standardized Data'!G16-$F$20)^2)</f>
        <v>5.4318659140268</v>
      </c>
      <c r="H29" s="11">
        <f>SQRT(('Standardized Data'!C16-$B$21)^2+('Standardized Data'!D16-$C$21)^2+('Standardized Data'!E16-$D$21)^2+('Standardized Data'!F16-$E$21)^2+('Standardized Data'!G16-$F$21)^2)</f>
        <v>3.76612432640814</v>
      </c>
      <c r="I29" s="2">
        <f t="shared" si="0"/>
        <v>2</v>
      </c>
      <c r="J29" s="2" t="str">
        <f t="shared" si="1"/>
        <v>Yes</v>
      </c>
      <c r="K29" s="2"/>
    </row>
    <row r="30" spans="1:11">
      <c r="A30" s="2">
        <v>6</v>
      </c>
      <c r="B30" s="2" t="s">
        <v>36</v>
      </c>
      <c r="C30" s="2">
        <v>2</v>
      </c>
      <c r="D30" s="11">
        <f>SQRT(('Standardized Data'!C17-$B$17)^2+('Standardized Data'!D17-$C$17)^2+('Standardized Data'!E17-$D$17)^2+('Standardized Data'!F17-$E$17)^2+('Standardized Data'!G17-$F$17)^2)</f>
        <v>4.64080586250915</v>
      </c>
      <c r="E30" s="11">
        <f>SQRT(('Standardized Data'!C17-$B$18)^2+('Standardized Data'!D17-$C$18)^2+('Standardized Data'!E17-$D$18)^2+('Standardized Data'!F17-$E$18)^2+('Standardized Data'!G17-$F$18)^2)</f>
        <v>0.540377829030873</v>
      </c>
      <c r="F30" s="11">
        <f>SQRT(('Standardized Data'!C17-$B$19)^2+('Standardized Data'!D17-$C$19)^2+('Standardized Data'!E17-$D$19)^2+('Standardized Data'!F17-$E$19)^2+('Standardized Data'!G17-$F$19)^2)</f>
        <v>2.36895059850291</v>
      </c>
      <c r="G30" s="11">
        <f>SQRT(('Standardized Data'!C17-$B$20)^2+('Standardized Data'!D17-$C$20)^2+('Standardized Data'!E17-$D$20)^2+('Standardized Data'!F17-$E$20)^2+('Standardized Data'!G17-$F$20)^2)</f>
        <v>5.53768066685811</v>
      </c>
      <c r="H30" s="11">
        <f>SQRT(('Standardized Data'!C17-$B$21)^2+('Standardized Data'!D17-$C$21)^2+('Standardized Data'!E17-$D$21)^2+('Standardized Data'!F17-$E$21)^2+('Standardized Data'!G17-$F$21)^2)</f>
        <v>3.89568367704515</v>
      </c>
      <c r="I30" s="2">
        <f t="shared" si="0"/>
        <v>2</v>
      </c>
      <c r="J30" s="2" t="str">
        <f t="shared" si="1"/>
        <v>Yes</v>
      </c>
      <c r="K30" s="2"/>
    </row>
    <row r="31" spans="1:11">
      <c r="A31" s="2">
        <v>7</v>
      </c>
      <c r="B31" s="2" t="s">
        <v>37</v>
      </c>
      <c r="C31" s="2">
        <v>2</v>
      </c>
      <c r="D31" s="11">
        <f>SQRT(('Standardized Data'!C18-$B$17)^2+('Standardized Data'!D18-$C$17)^2+('Standardized Data'!E18-$D$17)^2+('Standardized Data'!F18-$E$17)^2+('Standardized Data'!G18-$F$17)^2)</f>
        <v>4.8371966847446</v>
      </c>
      <c r="E31" s="11">
        <f>SQRT(('Standardized Data'!C18-$B$18)^2+('Standardized Data'!D18-$C$18)^2+('Standardized Data'!E18-$D$18)^2+('Standardized Data'!F18-$E$18)^2+('Standardized Data'!G18-$F$18)^2)</f>
        <v>0.952611930954869</v>
      </c>
      <c r="F31" s="11">
        <f>SQRT(('Standardized Data'!C18-$B$19)^2+('Standardized Data'!D18-$C$19)^2+('Standardized Data'!E18-$D$19)^2+('Standardized Data'!F18-$E$19)^2+('Standardized Data'!G18-$F$19)^2)</f>
        <v>3.3877507530856</v>
      </c>
      <c r="G31" s="11">
        <f>SQRT(('Standardized Data'!C18-$B$20)^2+('Standardized Data'!D18-$C$20)^2+('Standardized Data'!E18-$D$20)^2+('Standardized Data'!F18-$E$20)^2+('Standardized Data'!G18-$F$20)^2)</f>
        <v>6.34140163948677</v>
      </c>
      <c r="H31" s="11">
        <f>SQRT(('Standardized Data'!C18-$B$21)^2+('Standardized Data'!D18-$C$21)^2+('Standardized Data'!E18-$D$21)^2+('Standardized Data'!F18-$E$21)^2+('Standardized Data'!G18-$F$21)^2)</f>
        <v>4.58129627637729</v>
      </c>
      <c r="I31" s="2">
        <f t="shared" si="0"/>
        <v>2</v>
      </c>
      <c r="J31" s="2" t="str">
        <f t="shared" si="1"/>
        <v>Yes</v>
      </c>
      <c r="K31" s="2"/>
    </row>
    <row r="32" spans="1:11">
      <c r="A32" s="2">
        <v>8</v>
      </c>
      <c r="B32" s="2" t="s">
        <v>38</v>
      </c>
      <c r="C32" s="2">
        <v>2</v>
      </c>
      <c r="D32" s="11">
        <f>SQRT(('Standardized Data'!C19-$B$17)^2+('Standardized Data'!D19-$C$17)^2+('Standardized Data'!E19-$D$17)^2+('Standardized Data'!F19-$E$17)^2+('Standardized Data'!G19-$F$17)^2)</f>
        <v>5.01692521215775</v>
      </c>
      <c r="E32" s="11">
        <f>SQRT(('Standardized Data'!C19-$B$18)^2+('Standardized Data'!D19-$C$18)^2+('Standardized Data'!E19-$D$18)^2+('Standardized Data'!F19-$E$18)^2+('Standardized Data'!G19-$F$18)^2)</f>
        <v>0.577126723239906</v>
      </c>
      <c r="F32" s="11">
        <f>SQRT(('Standardized Data'!C19-$B$19)^2+('Standardized Data'!D19-$C$19)^2+('Standardized Data'!E19-$D$19)^2+('Standardized Data'!F19-$E$19)^2+('Standardized Data'!G19-$F$19)^2)</f>
        <v>2.57576660787467</v>
      </c>
      <c r="G32" s="11">
        <f>SQRT(('Standardized Data'!C19-$B$20)^2+('Standardized Data'!D19-$C$20)^2+('Standardized Data'!E19-$D$20)^2+('Standardized Data'!F19-$E$20)^2+('Standardized Data'!G19-$F$20)^2)</f>
        <v>5.88410077206657</v>
      </c>
      <c r="H32" s="11">
        <f>SQRT(('Standardized Data'!C19-$B$21)^2+('Standardized Data'!D19-$C$21)^2+('Standardized Data'!E19-$D$21)^2+('Standardized Data'!F19-$E$21)^2+('Standardized Data'!G19-$F$21)^2)</f>
        <v>4.13121365414094</v>
      </c>
      <c r="I32" s="2">
        <f t="shared" si="0"/>
        <v>2</v>
      </c>
      <c r="J32" s="2" t="str">
        <f t="shared" si="1"/>
        <v>Yes</v>
      </c>
      <c r="K32" s="2"/>
    </row>
    <row r="33" spans="1:11">
      <c r="A33" s="2">
        <v>9</v>
      </c>
      <c r="B33" s="2" t="s">
        <v>39</v>
      </c>
      <c r="C33" s="2">
        <v>2</v>
      </c>
      <c r="D33" s="11">
        <f>SQRT(('Standardized Data'!C20-$B$17)^2+('Standardized Data'!D20-$C$17)^2+('Standardized Data'!E20-$D$17)^2+('Standardized Data'!F20-$E$17)^2+('Standardized Data'!G20-$F$17)^2)</f>
        <v>4.99414095953393</v>
      </c>
      <c r="E33" s="11">
        <f>SQRT(('Standardized Data'!C20-$B$18)^2+('Standardized Data'!D20-$C$18)^2+('Standardized Data'!E20-$D$18)^2+('Standardized Data'!F20-$E$18)^2+('Standardized Data'!G20-$F$18)^2)</f>
        <v>0.439732964269932</v>
      </c>
      <c r="F33" s="11">
        <f>SQRT(('Standardized Data'!C20-$B$19)^2+('Standardized Data'!D20-$C$19)^2+('Standardized Data'!E20-$D$19)^2+('Standardized Data'!F20-$E$19)^2+('Standardized Data'!G20-$F$19)^2)</f>
        <v>2.65927375130599</v>
      </c>
      <c r="G33" s="11">
        <f>SQRT(('Standardized Data'!C20-$B$20)^2+('Standardized Data'!D20-$C$20)^2+('Standardized Data'!E20-$D$20)^2+('Standardized Data'!F20-$E$20)^2+('Standardized Data'!G20-$F$20)^2)</f>
        <v>5.91186396597928</v>
      </c>
      <c r="H33" s="11">
        <f>SQRT(('Standardized Data'!C20-$B$21)^2+('Standardized Data'!D20-$C$21)^2+('Standardized Data'!E20-$D$21)^2+('Standardized Data'!F20-$E$21)^2+('Standardized Data'!G20-$F$21)^2)</f>
        <v>4.20569217620769</v>
      </c>
      <c r="I33" s="2">
        <f t="shared" si="0"/>
        <v>2</v>
      </c>
      <c r="J33" s="2" t="str">
        <f t="shared" si="1"/>
        <v>Yes</v>
      </c>
      <c r="K33" s="2"/>
    </row>
    <row r="34" spans="1:11">
      <c r="A34" s="2">
        <v>10</v>
      </c>
      <c r="B34" s="2" t="s">
        <v>40</v>
      </c>
      <c r="C34" s="2">
        <v>2</v>
      </c>
      <c r="D34" s="11">
        <f>SQRT(('Standardized Data'!C21-$B$17)^2+('Standardized Data'!D21-$C$17)^2+('Standardized Data'!E21-$D$17)^2+('Standardized Data'!F21-$E$17)^2+('Standardized Data'!G21-$F$17)^2)</f>
        <v>4.48064013224656</v>
      </c>
      <c r="E34" s="11">
        <f>SQRT(('Standardized Data'!C21-$B$18)^2+('Standardized Data'!D21-$C$18)^2+('Standardized Data'!E21-$D$18)^2+('Standardized Data'!F21-$E$18)^2+('Standardized Data'!G21-$F$18)^2)</f>
        <v>0.506293232019757</v>
      </c>
      <c r="F34" s="11">
        <f>SQRT(('Standardized Data'!C21-$B$19)^2+('Standardized Data'!D21-$C$19)^2+('Standardized Data'!E21-$D$19)^2+('Standardized Data'!F21-$E$19)^2+('Standardized Data'!G21-$F$19)^2)</f>
        <v>2.31212061764126</v>
      </c>
      <c r="G34" s="11">
        <f>SQRT(('Standardized Data'!C21-$B$20)^2+('Standardized Data'!D21-$C$20)^2+('Standardized Data'!E21-$D$20)^2+('Standardized Data'!F21-$E$20)^2+('Standardized Data'!G21-$F$20)^2)</f>
        <v>5.5116385605974</v>
      </c>
      <c r="H34" s="11">
        <f>SQRT(('Standardized Data'!C21-$B$21)^2+('Standardized Data'!D21-$C$21)^2+('Standardized Data'!E21-$D$21)^2+('Standardized Data'!F21-$E$21)^2+('Standardized Data'!G21-$F$21)^2)</f>
        <v>3.76773524969264</v>
      </c>
      <c r="I34" s="2">
        <f t="shared" si="0"/>
        <v>2</v>
      </c>
      <c r="J34" s="2" t="str">
        <f t="shared" si="1"/>
        <v>Yes</v>
      </c>
      <c r="K34" s="2"/>
    </row>
    <row r="35" spans="1:11">
      <c r="A35" s="2">
        <v>11</v>
      </c>
      <c r="B35" s="2" t="s">
        <v>41</v>
      </c>
      <c r="C35" s="2">
        <v>2</v>
      </c>
      <c r="D35" s="11">
        <f>SQRT(('Standardized Data'!C22-$B$17)^2+('Standardized Data'!D22-$C$17)^2+('Standardized Data'!E22-$D$17)^2+('Standardized Data'!F22-$E$17)^2+('Standardized Data'!G22-$F$17)^2)</f>
        <v>4.60657306158319</v>
      </c>
      <c r="E35" s="11">
        <f>SQRT(('Standardized Data'!C22-$B$18)^2+('Standardized Data'!D22-$C$18)^2+('Standardized Data'!E22-$D$18)^2+('Standardized Data'!F22-$E$18)^2+('Standardized Data'!G22-$F$18)^2)</f>
        <v>1.31839475182997</v>
      </c>
      <c r="F35" s="11">
        <f>SQRT(('Standardized Data'!C22-$B$19)^2+('Standardized Data'!D22-$C$19)^2+('Standardized Data'!E22-$D$19)^2+('Standardized Data'!F22-$E$19)^2+('Standardized Data'!G22-$F$19)^2)</f>
        <v>2.14243307255589</v>
      </c>
      <c r="G35" s="11">
        <f>SQRT(('Standardized Data'!C22-$B$20)^2+('Standardized Data'!D22-$C$20)^2+('Standardized Data'!E22-$D$20)^2+('Standardized Data'!F22-$E$20)^2+('Standardized Data'!G22-$F$20)^2)</f>
        <v>5.71758696199506</v>
      </c>
      <c r="H35" s="11">
        <f>SQRT(('Standardized Data'!C22-$B$21)^2+('Standardized Data'!D22-$C$21)^2+('Standardized Data'!E22-$D$21)^2+('Standardized Data'!F22-$E$21)^2+('Standardized Data'!G22-$F$21)^2)</f>
        <v>3.62193420082595</v>
      </c>
      <c r="I35" s="2">
        <f t="shared" si="0"/>
        <v>2</v>
      </c>
      <c r="J35" s="2" t="str">
        <f t="shared" si="1"/>
        <v>Yes</v>
      </c>
      <c r="K35" s="2"/>
    </row>
    <row r="36" spans="1:11">
      <c r="A36" s="2">
        <v>12</v>
      </c>
      <c r="B36" s="2" t="s">
        <v>42</v>
      </c>
      <c r="C36" s="2">
        <v>3</v>
      </c>
      <c r="D36" s="11">
        <f>SQRT(('Standardized Data'!C23-$B$17)^2+('Standardized Data'!D23-$C$17)^2+('Standardized Data'!E23-$D$17)^2+('Standardized Data'!F23-$E$17)^2+('Standardized Data'!G23-$F$17)^2)</f>
        <v>3.81560794124092</v>
      </c>
      <c r="E36" s="11">
        <f>SQRT(('Standardized Data'!C23-$B$18)^2+('Standardized Data'!D23-$C$18)^2+('Standardized Data'!E23-$D$18)^2+('Standardized Data'!F23-$E$18)^2+('Standardized Data'!G23-$F$18)^2)</f>
        <v>1.7443308762433</v>
      </c>
      <c r="F36" s="11">
        <f>SQRT(('Standardized Data'!C23-$B$19)^2+('Standardized Data'!D23-$C$19)^2+('Standardized Data'!E23-$D$19)^2+('Standardized Data'!F23-$E$19)^2+('Standardized Data'!G23-$F$19)^2)</f>
        <v>1.23335134181506</v>
      </c>
      <c r="G36" s="11">
        <f>SQRT(('Standardized Data'!C23-$B$20)^2+('Standardized Data'!D23-$C$20)^2+('Standardized Data'!E23-$D$20)^2+('Standardized Data'!F23-$E$20)^2+('Standardized Data'!G23-$F$20)^2)</f>
        <v>4.45670218454963</v>
      </c>
      <c r="H36" s="11">
        <f>SQRT(('Standardized Data'!C23-$B$21)^2+('Standardized Data'!D23-$C$21)^2+('Standardized Data'!E23-$D$21)^2+('Standardized Data'!F23-$E$21)^2+('Standardized Data'!G23-$F$21)^2)</f>
        <v>2.69071600560127</v>
      </c>
      <c r="I36" s="2">
        <f t="shared" si="0"/>
        <v>3</v>
      </c>
      <c r="J36" s="2" t="str">
        <f t="shared" si="1"/>
        <v>Yes</v>
      </c>
      <c r="K36" s="2"/>
    </row>
    <row r="37" spans="1:11">
      <c r="A37" s="2">
        <v>13</v>
      </c>
      <c r="B37" s="2" t="s">
        <v>43</v>
      </c>
      <c r="C37" s="2">
        <v>3</v>
      </c>
      <c r="D37" s="11">
        <f>SQRT(('Standardized Data'!C24-$B$17)^2+('Standardized Data'!D24-$C$17)^2+('Standardized Data'!E24-$D$17)^2+('Standardized Data'!F24-$E$17)^2+('Standardized Data'!G24-$F$17)^2)</f>
        <v>4.07721858338829</v>
      </c>
      <c r="E37" s="11">
        <f>SQRT(('Standardized Data'!C24-$B$18)^2+('Standardized Data'!D24-$C$18)^2+('Standardized Data'!E24-$D$18)^2+('Standardized Data'!F24-$E$18)^2+('Standardized Data'!G24-$F$18)^2)</f>
        <v>2.02621407144461</v>
      </c>
      <c r="F37" s="11">
        <f>SQRT(('Standardized Data'!C24-$B$19)^2+('Standardized Data'!D24-$C$19)^2+('Standardized Data'!E24-$D$19)^2+('Standardized Data'!F24-$E$19)^2+('Standardized Data'!G24-$F$19)^2)</f>
        <v>1.09245800715153</v>
      </c>
      <c r="G37" s="11">
        <f>SQRT(('Standardized Data'!C24-$B$20)^2+('Standardized Data'!D24-$C$20)^2+('Standardized Data'!E24-$D$20)^2+('Standardized Data'!F24-$E$20)^2+('Standardized Data'!G24-$F$20)^2)</f>
        <v>4.26636938707377</v>
      </c>
      <c r="H37" s="11">
        <f>SQRT(('Standardized Data'!C24-$B$21)^2+('Standardized Data'!D24-$C$21)^2+('Standardized Data'!E24-$D$21)^2+('Standardized Data'!F24-$E$21)^2+('Standardized Data'!G24-$F$21)^2)</f>
        <v>2.78373850131276</v>
      </c>
      <c r="I37" s="2">
        <f t="shared" si="0"/>
        <v>3</v>
      </c>
      <c r="J37" s="2" t="str">
        <f t="shared" si="1"/>
        <v>Yes</v>
      </c>
      <c r="K37" s="2"/>
    </row>
    <row r="38" spans="1:11">
      <c r="A38" s="2">
        <v>14</v>
      </c>
      <c r="B38" s="2" t="s">
        <v>44</v>
      </c>
      <c r="C38" s="2">
        <v>3</v>
      </c>
      <c r="D38" s="11">
        <f>SQRT(('Standardized Data'!C25-$B$17)^2+('Standardized Data'!D25-$C$17)^2+('Standardized Data'!E25-$D$17)^2+('Standardized Data'!F25-$E$17)^2+('Standardized Data'!G25-$F$17)^2)</f>
        <v>4.06147829447569</v>
      </c>
      <c r="E38" s="11">
        <f>SQRT(('Standardized Data'!C25-$B$18)^2+('Standardized Data'!D25-$C$18)^2+('Standardized Data'!E25-$D$18)^2+('Standardized Data'!F25-$E$18)^2+('Standardized Data'!G25-$F$18)^2)</f>
        <v>1.70372647219744</v>
      </c>
      <c r="F38" s="11">
        <f>SQRT(('Standardized Data'!C25-$B$19)^2+('Standardized Data'!D25-$C$19)^2+('Standardized Data'!E25-$D$19)^2+('Standardized Data'!F25-$E$19)^2+('Standardized Data'!G25-$F$19)^2)</f>
        <v>1.14583280191162</v>
      </c>
      <c r="G38" s="11">
        <f>SQRT(('Standardized Data'!C25-$B$20)^2+('Standardized Data'!D25-$C$20)^2+('Standardized Data'!E25-$D$20)^2+('Standardized Data'!F25-$E$20)^2+('Standardized Data'!G25-$F$20)^2)</f>
        <v>4.66361041197842</v>
      </c>
      <c r="H38" s="11">
        <f>SQRT(('Standardized Data'!C25-$B$21)^2+('Standardized Data'!D25-$C$21)^2+('Standardized Data'!E25-$D$21)^2+('Standardized Data'!F25-$E$21)^2+('Standardized Data'!G25-$F$21)^2)</f>
        <v>2.8065664641513</v>
      </c>
      <c r="I38" s="2">
        <f t="shared" si="0"/>
        <v>3</v>
      </c>
      <c r="J38" s="2" t="str">
        <f t="shared" si="1"/>
        <v>Yes</v>
      </c>
      <c r="K38" s="2"/>
    </row>
    <row r="39" spans="1:11">
      <c r="A39" s="2">
        <v>15</v>
      </c>
      <c r="B39" s="2" t="s">
        <v>45</v>
      </c>
      <c r="C39" s="2">
        <v>2</v>
      </c>
      <c r="D39" s="11">
        <f>SQRT(('Standardized Data'!C26-$B$17)^2+('Standardized Data'!D26-$C$17)^2+('Standardized Data'!E26-$D$17)^2+('Standardized Data'!F26-$E$17)^2+('Standardized Data'!G26-$F$17)^2)</f>
        <v>3.7357623157659</v>
      </c>
      <c r="E39" s="11">
        <f>SQRT(('Standardized Data'!C26-$B$18)^2+('Standardized Data'!D26-$C$18)^2+('Standardized Data'!E26-$D$18)^2+('Standardized Data'!F26-$E$18)^2+('Standardized Data'!G26-$F$18)^2)</f>
        <v>1.43870342594228</v>
      </c>
      <c r="F39" s="11">
        <f>SQRT(('Standardized Data'!C26-$B$19)^2+('Standardized Data'!D26-$C$19)^2+('Standardized Data'!E26-$D$19)^2+('Standardized Data'!F26-$E$19)^2+('Standardized Data'!G26-$F$19)^2)</f>
        <v>1.54627026387265</v>
      </c>
      <c r="G39" s="11">
        <f>SQRT(('Standardized Data'!C26-$B$20)^2+('Standardized Data'!D26-$C$20)^2+('Standardized Data'!E26-$D$20)^2+('Standardized Data'!F26-$E$20)^2+('Standardized Data'!G26-$F$20)^2)</f>
        <v>4.44471669441923</v>
      </c>
      <c r="H39" s="11">
        <f>SQRT(('Standardized Data'!C26-$B$21)^2+('Standardized Data'!D26-$C$21)^2+('Standardized Data'!E26-$D$21)^2+('Standardized Data'!F26-$E$21)^2+('Standardized Data'!G26-$F$21)^2)</f>
        <v>2.92016860678896</v>
      </c>
      <c r="I39" s="2">
        <f t="shared" si="0"/>
        <v>2</v>
      </c>
      <c r="J39" s="2" t="str">
        <f t="shared" si="1"/>
        <v>Yes</v>
      </c>
      <c r="K39" s="2"/>
    </row>
    <row r="40" spans="1:11">
      <c r="A40" s="2">
        <v>16</v>
      </c>
      <c r="B40" s="2" t="s">
        <v>46</v>
      </c>
      <c r="C40" s="2">
        <v>3</v>
      </c>
      <c r="D40" s="11">
        <f>SQRT(('Standardized Data'!C27-$B$17)^2+('Standardized Data'!D27-$C$17)^2+('Standardized Data'!E27-$D$17)^2+('Standardized Data'!F27-$E$17)^2+('Standardized Data'!G27-$F$17)^2)</f>
        <v>4.18894909482056</v>
      </c>
      <c r="E40" s="11">
        <f>SQRT(('Standardized Data'!C27-$B$18)^2+('Standardized Data'!D27-$C$18)^2+('Standardized Data'!E27-$D$18)^2+('Standardized Data'!F27-$E$18)^2+('Standardized Data'!G27-$F$18)^2)</f>
        <v>2.79741486831585</v>
      </c>
      <c r="F40" s="11">
        <f>SQRT(('Standardized Data'!C27-$B$19)^2+('Standardized Data'!D27-$C$19)^2+('Standardized Data'!E27-$D$19)^2+('Standardized Data'!F27-$E$19)^2+('Standardized Data'!G27-$F$19)^2)</f>
        <v>0.922286061401421</v>
      </c>
      <c r="G40" s="11">
        <f>SQRT(('Standardized Data'!C27-$B$20)^2+('Standardized Data'!D27-$C$20)^2+('Standardized Data'!E27-$D$20)^2+('Standardized Data'!F27-$E$20)^2+('Standardized Data'!G27-$F$20)^2)</f>
        <v>4.23735039757618</v>
      </c>
      <c r="H40" s="11">
        <f>SQRT(('Standardized Data'!C27-$B$21)^2+('Standardized Data'!D27-$C$21)^2+('Standardized Data'!E27-$D$21)^2+('Standardized Data'!F27-$E$21)^2+('Standardized Data'!G27-$F$21)^2)</f>
        <v>2.41716434342804</v>
      </c>
      <c r="I40" s="2">
        <f t="shared" si="0"/>
        <v>3</v>
      </c>
      <c r="J40" s="2" t="str">
        <f t="shared" si="1"/>
        <v>Yes</v>
      </c>
      <c r="K40" s="2"/>
    </row>
    <row r="41" spans="1:11">
      <c r="A41" s="2">
        <v>17</v>
      </c>
      <c r="B41" s="2" t="s">
        <v>47</v>
      </c>
      <c r="C41" s="2">
        <v>3</v>
      </c>
      <c r="D41" s="11">
        <f>SQRT(('Standardized Data'!C28-$B$17)^2+('Standardized Data'!D28-$C$17)^2+('Standardized Data'!E28-$D$17)^2+('Standardized Data'!F28-$E$17)^2+('Standardized Data'!G28-$F$17)^2)</f>
        <v>3.30120657410083</v>
      </c>
      <c r="E41" s="11">
        <f>SQRT(('Standardized Data'!C28-$B$18)^2+('Standardized Data'!D28-$C$18)^2+('Standardized Data'!E28-$D$18)^2+('Standardized Data'!F28-$E$18)^2+('Standardized Data'!G28-$F$18)^2)</f>
        <v>1.94340960197979</v>
      </c>
      <c r="F41" s="11">
        <f>SQRT(('Standardized Data'!C28-$B$19)^2+('Standardized Data'!D28-$C$19)^2+('Standardized Data'!E28-$D$19)^2+('Standardized Data'!F28-$E$19)^2+('Standardized Data'!G28-$F$19)^2)</f>
        <v>0.910381747836145</v>
      </c>
      <c r="G41" s="11">
        <f>SQRT(('Standardized Data'!C28-$B$20)^2+('Standardized Data'!D28-$C$20)^2+('Standardized Data'!E28-$D$20)^2+('Standardized Data'!F28-$E$20)^2+('Standardized Data'!G28-$F$20)^2)</f>
        <v>4.24903100441295</v>
      </c>
      <c r="H41" s="11">
        <f>SQRT(('Standardized Data'!C28-$B$21)^2+('Standardized Data'!D28-$C$21)^2+('Standardized Data'!E28-$D$21)^2+('Standardized Data'!F28-$E$21)^2+('Standardized Data'!G28-$F$21)^2)</f>
        <v>2.22431826557286</v>
      </c>
      <c r="I41" s="2">
        <f t="shared" si="0"/>
        <v>3</v>
      </c>
      <c r="J41" s="2" t="str">
        <f t="shared" si="1"/>
        <v>Yes</v>
      </c>
      <c r="K41" s="2"/>
    </row>
    <row r="42" spans="1:11">
      <c r="A42" s="2">
        <v>18</v>
      </c>
      <c r="B42" s="2" t="s">
        <v>48</v>
      </c>
      <c r="C42" s="2">
        <v>3</v>
      </c>
      <c r="D42" s="11">
        <f>SQRT(('Standardized Data'!C29-$B$17)^2+('Standardized Data'!D29-$C$17)^2+('Standardized Data'!E29-$D$17)^2+('Standardized Data'!F29-$E$17)^2+('Standardized Data'!G29-$F$17)^2)</f>
        <v>3.94903901877859</v>
      </c>
      <c r="E42" s="11">
        <f>SQRT(('Standardized Data'!C29-$B$18)^2+('Standardized Data'!D29-$C$18)^2+('Standardized Data'!E29-$D$18)^2+('Standardized Data'!F29-$E$18)^2+('Standardized Data'!G29-$F$18)^2)</f>
        <v>2.40239658800127</v>
      </c>
      <c r="F42" s="11">
        <f>SQRT(('Standardized Data'!C29-$B$19)^2+('Standardized Data'!D29-$C$19)^2+('Standardized Data'!E29-$D$19)^2+('Standardized Data'!F29-$E$19)^2+('Standardized Data'!G29-$F$19)^2)</f>
        <v>0.888382580762812</v>
      </c>
      <c r="G42" s="11">
        <f>SQRT(('Standardized Data'!C29-$B$20)^2+('Standardized Data'!D29-$C$20)^2+('Standardized Data'!E29-$D$20)^2+('Standardized Data'!F29-$E$20)^2+('Standardized Data'!G29-$F$20)^2)</f>
        <v>4.26118661709661</v>
      </c>
      <c r="H42" s="11">
        <f>SQRT(('Standardized Data'!C29-$B$21)^2+('Standardized Data'!D29-$C$21)^2+('Standardized Data'!E29-$D$21)^2+('Standardized Data'!F29-$E$21)^2+('Standardized Data'!G29-$F$21)^2)</f>
        <v>2.34983081673867</v>
      </c>
      <c r="I42" s="2">
        <f t="shared" si="0"/>
        <v>3</v>
      </c>
      <c r="J42" s="2" t="str">
        <f t="shared" si="1"/>
        <v>Yes</v>
      </c>
      <c r="K42" s="2"/>
    </row>
    <row r="43" spans="1:11">
      <c r="A43" s="2">
        <v>19</v>
      </c>
      <c r="B43" s="2" t="s">
        <v>49</v>
      </c>
      <c r="C43" s="2">
        <v>3</v>
      </c>
      <c r="D43" s="11">
        <f>SQRT(('Standardized Data'!C30-$B$17)^2+('Standardized Data'!D30-$C$17)^2+('Standardized Data'!E30-$D$17)^2+('Standardized Data'!F30-$E$17)^2+('Standardized Data'!G30-$F$17)^2)</f>
        <v>3.38178906071102</v>
      </c>
      <c r="E43" s="11">
        <f>SQRT(('Standardized Data'!C30-$B$18)^2+('Standardized Data'!D30-$C$18)^2+('Standardized Data'!E30-$D$18)^2+('Standardized Data'!F30-$E$18)^2+('Standardized Data'!G30-$F$18)^2)</f>
        <v>3.37461660943479</v>
      </c>
      <c r="F43" s="11">
        <f>SQRT(('Standardized Data'!C30-$B$19)^2+('Standardized Data'!D30-$C$19)^2+('Standardized Data'!E30-$D$19)^2+('Standardized Data'!F30-$E$19)^2+('Standardized Data'!G30-$F$19)^2)</f>
        <v>0.961809767664824</v>
      </c>
      <c r="G43" s="11">
        <f>SQRT(('Standardized Data'!C30-$B$20)^2+('Standardized Data'!D30-$C$20)^2+('Standardized Data'!E30-$D$20)^2+('Standardized Data'!F30-$E$20)^2+('Standardized Data'!G30-$F$20)^2)</f>
        <v>3.50611202934951</v>
      </c>
      <c r="H43" s="11">
        <f>SQRT(('Standardized Data'!C30-$B$21)^2+('Standardized Data'!D30-$C$21)^2+('Standardized Data'!E30-$D$21)^2+('Standardized Data'!F30-$E$21)^2+('Standardized Data'!G30-$F$21)^2)</f>
        <v>1.68036188177193</v>
      </c>
      <c r="I43" s="2">
        <f t="shared" si="0"/>
        <v>3</v>
      </c>
      <c r="J43" s="2" t="str">
        <f t="shared" si="1"/>
        <v>Yes</v>
      </c>
      <c r="K43" s="2"/>
    </row>
    <row r="44" spans="1:11">
      <c r="A44" s="2">
        <v>20</v>
      </c>
      <c r="B44" s="2" t="s">
        <v>50</v>
      </c>
      <c r="C44" s="2">
        <v>3</v>
      </c>
      <c r="D44" s="11">
        <f>SQRT(('Standardized Data'!C31-$B$17)^2+('Standardized Data'!D31-$C$17)^2+('Standardized Data'!E31-$D$17)^2+('Standardized Data'!F31-$E$17)^2+('Standardized Data'!G31-$F$17)^2)</f>
        <v>3.44473371059452</v>
      </c>
      <c r="E44" s="11">
        <f>SQRT(('Standardized Data'!C31-$B$18)^2+('Standardized Data'!D31-$C$18)^2+('Standardized Data'!E31-$D$18)^2+('Standardized Data'!F31-$E$18)^2+('Standardized Data'!G31-$F$18)^2)</f>
        <v>3.46889932220404</v>
      </c>
      <c r="F44" s="11">
        <f>SQRT(('Standardized Data'!C31-$B$19)^2+('Standardized Data'!D31-$C$19)^2+('Standardized Data'!E31-$D$19)^2+('Standardized Data'!F31-$E$19)^2+('Standardized Data'!G31-$F$19)^2)</f>
        <v>0.933360328947966</v>
      </c>
      <c r="G44" s="11">
        <f>SQRT(('Standardized Data'!C31-$B$20)^2+('Standardized Data'!D31-$C$20)^2+('Standardized Data'!E31-$D$20)^2+('Standardized Data'!F31-$E$20)^2+('Standardized Data'!G31-$F$20)^2)</f>
        <v>2.95650946099666</v>
      </c>
      <c r="H44" s="11">
        <f>SQRT(('Standardized Data'!C31-$B$21)^2+('Standardized Data'!D31-$C$21)^2+('Standardized Data'!E31-$D$21)^2+('Standardized Data'!F31-$E$21)^2+('Standardized Data'!G31-$F$21)^2)</f>
        <v>1.62290904518706</v>
      </c>
      <c r="I44" s="2">
        <f t="shared" si="0"/>
        <v>3</v>
      </c>
      <c r="J44" s="2" t="str">
        <f t="shared" si="1"/>
        <v>Yes</v>
      </c>
      <c r="K44" s="2"/>
    </row>
    <row r="45" spans="1:11">
      <c r="A45" s="2">
        <v>21</v>
      </c>
      <c r="B45" s="2" t="s">
        <v>51</v>
      </c>
      <c r="C45" s="2">
        <v>3</v>
      </c>
      <c r="D45" s="11">
        <f>SQRT(('Standardized Data'!C32-$B$17)^2+('Standardized Data'!D32-$C$17)^2+('Standardized Data'!E32-$D$17)^2+('Standardized Data'!F32-$E$17)^2+('Standardized Data'!G32-$F$17)^2)</f>
        <v>3.72492797693333</v>
      </c>
      <c r="E45" s="11">
        <f>SQRT(('Standardized Data'!C32-$B$18)^2+('Standardized Data'!D32-$C$18)^2+('Standardized Data'!E32-$D$18)^2+('Standardized Data'!F32-$E$18)^2+('Standardized Data'!G32-$F$18)^2)</f>
        <v>2.98280329744177</v>
      </c>
      <c r="F45" s="11">
        <f>SQRT(('Standardized Data'!C32-$B$19)^2+('Standardized Data'!D32-$C$19)^2+('Standardized Data'!E32-$D$19)^2+('Standardized Data'!F32-$E$19)^2+('Standardized Data'!G32-$F$19)^2)</f>
        <v>0.685537586644514</v>
      </c>
      <c r="G45" s="11">
        <f>SQRT(('Standardized Data'!C32-$B$20)^2+('Standardized Data'!D32-$C$20)^2+('Standardized Data'!E32-$D$20)^2+('Standardized Data'!F32-$E$20)^2+('Standardized Data'!G32-$F$20)^2)</f>
        <v>3.84907117622324</v>
      </c>
      <c r="H45" s="11">
        <f>SQRT(('Standardized Data'!C32-$B$21)^2+('Standardized Data'!D32-$C$21)^2+('Standardized Data'!E32-$D$21)^2+('Standardized Data'!F32-$E$21)^2+('Standardized Data'!G32-$F$21)^2)</f>
        <v>1.89420222965309</v>
      </c>
      <c r="I45" s="2">
        <f t="shared" si="0"/>
        <v>3</v>
      </c>
      <c r="J45" s="2" t="str">
        <f t="shared" si="1"/>
        <v>Yes</v>
      </c>
      <c r="K45" s="2"/>
    </row>
    <row r="46" spans="1:11">
      <c r="A46" s="2">
        <v>22</v>
      </c>
      <c r="B46" s="2" t="s">
        <v>52</v>
      </c>
      <c r="C46" s="2">
        <v>3</v>
      </c>
      <c r="D46" s="11">
        <f>SQRT(('Standardized Data'!C33-$B$17)^2+('Standardized Data'!D33-$C$17)^2+('Standardized Data'!E33-$D$17)^2+('Standardized Data'!F33-$E$17)^2+('Standardized Data'!G33-$F$17)^2)</f>
        <v>3.26029845526396</v>
      </c>
      <c r="E46" s="11">
        <f>SQRT(('Standardized Data'!C33-$B$18)^2+('Standardized Data'!D33-$C$18)^2+('Standardized Data'!E33-$D$18)^2+('Standardized Data'!F33-$E$18)^2+('Standardized Data'!G33-$F$18)^2)</f>
        <v>3.10973336176768</v>
      </c>
      <c r="F46" s="11">
        <f>SQRT(('Standardized Data'!C33-$B$19)^2+('Standardized Data'!D33-$C$19)^2+('Standardized Data'!E33-$D$19)^2+('Standardized Data'!F33-$E$19)^2+('Standardized Data'!G33-$F$19)^2)</f>
        <v>0.863163013735731</v>
      </c>
      <c r="G46" s="11">
        <f>SQRT(('Standardized Data'!C33-$B$20)^2+('Standardized Data'!D33-$C$20)^2+('Standardized Data'!E33-$D$20)^2+('Standardized Data'!F33-$E$20)^2+('Standardized Data'!G33-$F$20)^2)</f>
        <v>3.6775323789448</v>
      </c>
      <c r="H46" s="11">
        <f>SQRT(('Standardized Data'!C33-$B$21)^2+('Standardized Data'!D33-$C$21)^2+('Standardized Data'!E33-$D$21)^2+('Standardized Data'!F33-$E$21)^2+('Standardized Data'!G33-$F$21)^2)</f>
        <v>1.62350312402525</v>
      </c>
      <c r="I46" s="2">
        <f t="shared" si="0"/>
        <v>3</v>
      </c>
      <c r="J46" s="2" t="str">
        <f t="shared" si="1"/>
        <v>Yes</v>
      </c>
      <c r="K46" s="2"/>
    </row>
    <row r="47" spans="1:11">
      <c r="A47" s="2">
        <v>23</v>
      </c>
      <c r="B47" s="2" t="s">
        <v>53</v>
      </c>
      <c r="C47" s="2">
        <v>5</v>
      </c>
      <c r="D47" s="11">
        <f>SQRT(('Standardized Data'!C34-$B$17)^2+('Standardized Data'!D34-$C$17)^2+('Standardized Data'!E34-$D$17)^2+('Standardized Data'!F34-$E$17)^2+('Standardized Data'!G34-$F$17)^2)</f>
        <v>2.88785161742658</v>
      </c>
      <c r="E47" s="11">
        <f>SQRT(('Standardized Data'!C34-$B$18)^2+('Standardized Data'!D34-$C$18)^2+('Standardized Data'!E34-$D$18)^2+('Standardized Data'!F34-$E$18)^2+('Standardized Data'!G34-$F$18)^2)</f>
        <v>3.74471356544174</v>
      </c>
      <c r="F47" s="11">
        <f>SQRT(('Standardized Data'!C34-$B$19)^2+('Standardized Data'!D34-$C$19)^2+('Standardized Data'!E34-$D$19)^2+('Standardized Data'!F34-$E$19)^2+('Standardized Data'!G34-$F$19)^2)</f>
        <v>1.15991967395967</v>
      </c>
      <c r="G47" s="11">
        <f>SQRT(('Standardized Data'!C34-$B$20)^2+('Standardized Data'!D34-$C$20)^2+('Standardized Data'!E34-$D$20)^2+('Standardized Data'!F34-$E$20)^2+('Standardized Data'!G34-$F$20)^2)</f>
        <v>2.7229777874627</v>
      </c>
      <c r="H47" s="11">
        <f>SQRT(('Standardized Data'!C34-$B$21)^2+('Standardized Data'!D34-$C$21)^2+('Standardized Data'!E34-$D$21)^2+('Standardized Data'!F34-$E$21)^2+('Standardized Data'!G34-$F$21)^2)</f>
        <v>0.979850937419413</v>
      </c>
      <c r="I47" s="2">
        <f t="shared" si="0"/>
        <v>5</v>
      </c>
      <c r="J47" s="2" t="str">
        <f t="shared" si="1"/>
        <v>Yes</v>
      </c>
      <c r="K47" s="2"/>
    </row>
    <row r="48" spans="1:11">
      <c r="A48" s="2">
        <v>24</v>
      </c>
      <c r="B48" s="2" t="s">
        <v>54</v>
      </c>
      <c r="C48" s="2">
        <v>3</v>
      </c>
      <c r="D48" s="11">
        <f>SQRT(('Standardized Data'!C35-$B$17)^2+('Standardized Data'!D35-$C$17)^2+('Standardized Data'!E35-$D$17)^2+('Standardized Data'!F35-$E$17)^2+('Standardized Data'!G35-$F$17)^2)</f>
        <v>3.6960368208751</v>
      </c>
      <c r="E48" s="11">
        <f>SQRT(('Standardized Data'!C35-$B$18)^2+('Standardized Data'!D35-$C$18)^2+('Standardized Data'!E35-$D$18)^2+('Standardized Data'!F35-$E$18)^2+('Standardized Data'!G35-$F$18)^2)</f>
        <v>3.96809358273671</v>
      </c>
      <c r="F48" s="11">
        <f>SQRT(('Standardized Data'!C35-$B$19)^2+('Standardized Data'!D35-$C$19)^2+('Standardized Data'!E35-$D$19)^2+('Standardized Data'!F35-$E$19)^2+('Standardized Data'!G35-$F$19)^2)</f>
        <v>1.65148336204647</v>
      </c>
      <c r="G48" s="11">
        <f>SQRT(('Standardized Data'!C35-$B$20)^2+('Standardized Data'!D35-$C$20)^2+('Standardized Data'!E35-$D$20)^2+('Standardized Data'!F35-$E$20)^2+('Standardized Data'!G35-$F$20)^2)</f>
        <v>2.51866709456222</v>
      </c>
      <c r="H48" s="11">
        <f>SQRT(('Standardized Data'!C35-$B$21)^2+('Standardized Data'!D35-$C$21)^2+('Standardized Data'!E35-$D$21)^2+('Standardized Data'!F35-$E$21)^2+('Standardized Data'!G35-$F$21)^2)</f>
        <v>2.10099184657991</v>
      </c>
      <c r="I48" s="2">
        <f t="shared" si="0"/>
        <v>3</v>
      </c>
      <c r="J48" s="2" t="str">
        <f t="shared" si="1"/>
        <v>Yes</v>
      </c>
      <c r="K48" s="2"/>
    </row>
    <row r="49" spans="1:11">
      <c r="A49" s="2">
        <v>25</v>
      </c>
      <c r="B49" s="2" t="s">
        <v>55</v>
      </c>
      <c r="C49" s="2">
        <v>5</v>
      </c>
      <c r="D49" s="11">
        <f>SQRT(('Standardized Data'!C36-$B$17)^2+('Standardized Data'!D36-$C$17)^2+('Standardized Data'!E36-$D$17)^2+('Standardized Data'!F36-$E$17)^2+('Standardized Data'!G36-$F$17)^2)</f>
        <v>2.26482278266496</v>
      </c>
      <c r="E49" s="11">
        <f>SQRT(('Standardized Data'!C36-$B$18)^2+('Standardized Data'!D36-$C$18)^2+('Standardized Data'!E36-$D$18)^2+('Standardized Data'!F36-$E$18)^2+('Standardized Data'!G36-$F$18)^2)</f>
        <v>3.33713257470478</v>
      </c>
      <c r="F49" s="11">
        <f>SQRT(('Standardized Data'!C36-$B$19)^2+('Standardized Data'!D36-$C$19)^2+('Standardized Data'!E36-$D$19)^2+('Standardized Data'!F36-$E$19)^2+('Standardized Data'!G36-$F$19)^2)</f>
        <v>1.47685879952418</v>
      </c>
      <c r="G49" s="11">
        <f>SQRT(('Standardized Data'!C36-$B$20)^2+('Standardized Data'!D36-$C$20)^2+('Standardized Data'!E36-$D$20)^2+('Standardized Data'!F36-$E$20)^2+('Standardized Data'!G36-$F$20)^2)</f>
        <v>3.41096213909644</v>
      </c>
      <c r="H49" s="11">
        <f>SQRT(('Standardized Data'!C36-$B$21)^2+('Standardized Data'!D36-$C$21)^2+('Standardized Data'!E36-$D$21)^2+('Standardized Data'!F36-$E$21)^2+('Standardized Data'!G36-$F$21)^2)</f>
        <v>1.06501288344369</v>
      </c>
      <c r="I49" s="2">
        <f t="shared" si="0"/>
        <v>5</v>
      </c>
      <c r="J49" s="2" t="str">
        <f t="shared" si="1"/>
        <v>Yes</v>
      </c>
      <c r="K49" s="2"/>
    </row>
    <row r="50" spans="1:11">
      <c r="A50" s="2">
        <v>26</v>
      </c>
      <c r="B50" s="2" t="s">
        <v>56</v>
      </c>
      <c r="C50" s="2">
        <v>3</v>
      </c>
      <c r="D50" s="11">
        <f>SQRT(('Standardized Data'!C37-$B$17)^2+('Standardized Data'!D37-$C$17)^2+('Standardized Data'!E37-$D$17)^2+('Standardized Data'!F37-$E$17)^2+('Standardized Data'!G37-$F$17)^2)</f>
        <v>2.77802176472358</v>
      </c>
      <c r="E50" s="11">
        <f>SQRT(('Standardized Data'!C37-$B$18)^2+('Standardized Data'!D37-$C$18)^2+('Standardized Data'!E37-$D$18)^2+('Standardized Data'!F37-$E$18)^2+('Standardized Data'!G37-$F$18)^2)</f>
        <v>2.77006393797386</v>
      </c>
      <c r="F50" s="11">
        <f>SQRT(('Standardized Data'!C37-$B$19)^2+('Standardized Data'!D37-$C$19)^2+('Standardized Data'!E37-$D$19)^2+('Standardized Data'!F37-$E$19)^2+('Standardized Data'!G37-$F$19)^2)</f>
        <v>0.991191054820304</v>
      </c>
      <c r="G50" s="11">
        <f>SQRT(('Standardized Data'!C37-$B$20)^2+('Standardized Data'!D37-$C$20)^2+('Standardized Data'!E37-$D$20)^2+('Standardized Data'!F37-$E$20)^2+('Standardized Data'!G37-$F$20)^2)</f>
        <v>3.76164662764176</v>
      </c>
      <c r="H50" s="11">
        <f>SQRT(('Standardized Data'!C37-$B$21)^2+('Standardized Data'!D37-$C$21)^2+('Standardized Data'!E37-$D$21)^2+('Standardized Data'!F37-$E$21)^2+('Standardized Data'!G37-$F$21)^2)</f>
        <v>1.45962975981884</v>
      </c>
      <c r="I50" s="2">
        <f t="shared" si="0"/>
        <v>3</v>
      </c>
      <c r="J50" s="2" t="str">
        <f t="shared" si="1"/>
        <v>Yes</v>
      </c>
      <c r="K50" s="2"/>
    </row>
    <row r="51" spans="1:11">
      <c r="A51" s="2">
        <v>27</v>
      </c>
      <c r="B51" s="2" t="s">
        <v>57</v>
      </c>
      <c r="C51" s="2">
        <v>3</v>
      </c>
      <c r="D51" s="11">
        <f>SQRT(('Standardized Data'!C38-$B$17)^2+('Standardized Data'!D38-$C$17)^2+('Standardized Data'!E38-$D$17)^2+('Standardized Data'!F38-$E$17)^2+('Standardized Data'!G38-$F$17)^2)</f>
        <v>2.90421034206581</v>
      </c>
      <c r="E51" s="11">
        <f>SQRT(('Standardized Data'!C38-$B$18)^2+('Standardized Data'!D38-$C$18)^2+('Standardized Data'!E38-$D$18)^2+('Standardized Data'!F38-$E$18)^2+('Standardized Data'!G38-$F$18)^2)</f>
        <v>3.42917149675619</v>
      </c>
      <c r="F51" s="11">
        <f>SQRT(('Standardized Data'!C38-$B$19)^2+('Standardized Data'!D38-$C$19)^2+('Standardized Data'!E38-$D$19)^2+('Standardized Data'!F38-$E$19)^2+('Standardized Data'!G38-$F$19)^2)</f>
        <v>0.979964645350679</v>
      </c>
      <c r="G51" s="11">
        <f>SQRT(('Standardized Data'!C38-$B$20)^2+('Standardized Data'!D38-$C$20)^2+('Standardized Data'!E38-$D$20)^2+('Standardized Data'!F38-$E$20)^2+('Standardized Data'!G38-$F$20)^2)</f>
        <v>3.12537401184578</v>
      </c>
      <c r="H51" s="11">
        <f>SQRT(('Standardized Data'!C38-$B$21)^2+('Standardized Data'!D38-$C$21)^2+('Standardized Data'!E38-$D$21)^2+('Standardized Data'!F38-$E$21)^2+('Standardized Data'!G38-$F$21)^2)</f>
        <v>1.343087200937</v>
      </c>
      <c r="I51" s="2">
        <f t="shared" si="0"/>
        <v>3</v>
      </c>
      <c r="J51" s="2" t="str">
        <f t="shared" si="1"/>
        <v>Yes</v>
      </c>
      <c r="K51" s="2"/>
    </row>
    <row r="52" spans="1:11">
      <c r="A52" s="2">
        <v>28</v>
      </c>
      <c r="B52" s="2" t="s">
        <v>58</v>
      </c>
      <c r="C52" s="2">
        <v>5</v>
      </c>
      <c r="D52" s="11">
        <f>SQRT(('Standardized Data'!C39-$B$17)^2+('Standardized Data'!D39-$C$17)^2+('Standardized Data'!E39-$D$17)^2+('Standardized Data'!F39-$E$17)^2+('Standardized Data'!G39-$F$17)^2)</f>
        <v>2.22919660427918</v>
      </c>
      <c r="E52" s="11">
        <f>SQRT(('Standardized Data'!C39-$B$18)^2+('Standardized Data'!D39-$C$18)^2+('Standardized Data'!E39-$D$18)^2+('Standardized Data'!F39-$E$18)^2+('Standardized Data'!G39-$F$18)^2)</f>
        <v>4.23793282867294</v>
      </c>
      <c r="F52" s="11">
        <f>SQRT(('Standardized Data'!C39-$B$19)^2+('Standardized Data'!D39-$C$19)^2+('Standardized Data'!E39-$D$19)^2+('Standardized Data'!F39-$E$19)^2+('Standardized Data'!G39-$F$19)^2)</f>
        <v>2.3719986851353</v>
      </c>
      <c r="G52" s="11">
        <f>SQRT(('Standardized Data'!C39-$B$20)^2+('Standardized Data'!D39-$C$20)^2+('Standardized Data'!E39-$D$20)^2+('Standardized Data'!F39-$E$20)^2+('Standardized Data'!G39-$F$20)^2)</f>
        <v>3.95277016812413</v>
      </c>
      <c r="H52" s="11">
        <f>SQRT(('Standardized Data'!C39-$B$21)^2+('Standardized Data'!D39-$C$21)^2+('Standardized Data'!E39-$D$21)^2+('Standardized Data'!F39-$E$21)^2+('Standardized Data'!G39-$F$21)^2)</f>
        <v>1.6762275617961</v>
      </c>
      <c r="I52" s="2">
        <f t="shared" si="0"/>
        <v>5</v>
      </c>
      <c r="J52" s="2" t="str">
        <f t="shared" si="1"/>
        <v>Yes</v>
      </c>
      <c r="K52" s="2"/>
    </row>
    <row r="53" spans="1:11">
      <c r="A53" s="2">
        <v>29</v>
      </c>
      <c r="B53" s="2" t="s">
        <v>59</v>
      </c>
      <c r="C53" s="2">
        <v>3</v>
      </c>
      <c r="D53" s="11">
        <f>SQRT(('Standardized Data'!C40-$B$17)^2+('Standardized Data'!D40-$C$17)^2+('Standardized Data'!E40-$D$17)^2+('Standardized Data'!F40-$E$17)^2+('Standardized Data'!G40-$F$17)^2)</f>
        <v>2.76554021396072</v>
      </c>
      <c r="E53" s="11">
        <f>SQRT(('Standardized Data'!C40-$B$18)^2+('Standardized Data'!D40-$C$18)^2+('Standardized Data'!E40-$D$18)^2+('Standardized Data'!F40-$E$18)^2+('Standardized Data'!G40-$F$18)^2)</f>
        <v>2.70553786406442</v>
      </c>
      <c r="F53" s="11">
        <f>SQRT(('Standardized Data'!C40-$B$19)^2+('Standardized Data'!D40-$C$19)^2+('Standardized Data'!E40-$D$19)^2+('Standardized Data'!F40-$E$19)^2+('Standardized Data'!G40-$F$19)^2)</f>
        <v>0.879607400599544</v>
      </c>
      <c r="G53" s="11">
        <f>SQRT(('Standardized Data'!C40-$B$20)^2+('Standardized Data'!D40-$C$20)^2+('Standardized Data'!E40-$D$20)^2+('Standardized Data'!F40-$E$20)^2+('Standardized Data'!G40-$F$20)^2)</f>
        <v>3.67614267472934</v>
      </c>
      <c r="H53" s="11">
        <f>SQRT(('Standardized Data'!C40-$B$21)^2+('Standardized Data'!D40-$C$21)^2+('Standardized Data'!E40-$D$21)^2+('Standardized Data'!F40-$E$21)^2+('Standardized Data'!G40-$F$21)^2)</f>
        <v>1.60749361736258</v>
      </c>
      <c r="I53" s="2">
        <f t="shared" si="0"/>
        <v>3</v>
      </c>
      <c r="J53" s="2" t="str">
        <f t="shared" si="1"/>
        <v>Yes</v>
      </c>
      <c r="K53" s="2"/>
    </row>
    <row r="54" spans="1:11">
      <c r="A54" s="2">
        <v>30</v>
      </c>
      <c r="B54" s="2" t="s">
        <v>60</v>
      </c>
      <c r="C54" s="2">
        <v>5</v>
      </c>
      <c r="D54" s="11">
        <f>SQRT(('Standardized Data'!C41-$B$17)^2+('Standardized Data'!D41-$C$17)^2+('Standardized Data'!E41-$D$17)^2+('Standardized Data'!F41-$E$17)^2+('Standardized Data'!G41-$F$17)^2)</f>
        <v>1.97771051720266</v>
      </c>
      <c r="E54" s="11">
        <f>SQRT(('Standardized Data'!C41-$B$18)^2+('Standardized Data'!D41-$C$18)^2+('Standardized Data'!E41-$D$18)^2+('Standardized Data'!F41-$E$18)^2+('Standardized Data'!G41-$F$18)^2)</f>
        <v>3.82112820735183</v>
      </c>
      <c r="F54" s="11">
        <f>SQRT(('Standardized Data'!C41-$B$19)^2+('Standardized Data'!D41-$C$19)^2+('Standardized Data'!E41-$D$19)^2+('Standardized Data'!F41-$E$19)^2+('Standardized Data'!G41-$F$19)^2)</f>
        <v>1.63796229945717</v>
      </c>
      <c r="G54" s="11">
        <f>SQRT(('Standardized Data'!C41-$B$20)^2+('Standardized Data'!D41-$C$20)^2+('Standardized Data'!E41-$D$20)^2+('Standardized Data'!F41-$E$20)^2+('Standardized Data'!G41-$F$20)^2)</f>
        <v>3.1222480591804</v>
      </c>
      <c r="H54" s="11">
        <f>SQRT(('Standardized Data'!C41-$B$21)^2+('Standardized Data'!D41-$C$21)^2+('Standardized Data'!E41-$D$21)^2+('Standardized Data'!F41-$E$21)^2+('Standardized Data'!G41-$F$21)^2)</f>
        <v>0.606439870618032</v>
      </c>
      <c r="I54" s="2">
        <f t="shared" si="0"/>
        <v>5</v>
      </c>
      <c r="J54" s="2" t="str">
        <f t="shared" si="1"/>
        <v>Yes</v>
      </c>
      <c r="K54" s="2"/>
    </row>
    <row r="55" spans="1:11">
      <c r="A55" s="2">
        <v>31</v>
      </c>
      <c r="B55" s="2" t="s">
        <v>61</v>
      </c>
      <c r="C55" s="2">
        <v>3</v>
      </c>
      <c r="D55" s="11">
        <f>SQRT(('Standardized Data'!C42-$B$17)^2+('Standardized Data'!D42-$C$17)^2+('Standardized Data'!E42-$D$17)^2+('Standardized Data'!F42-$E$17)^2+('Standardized Data'!G42-$F$17)^2)</f>
        <v>3.49007281906702</v>
      </c>
      <c r="E55" s="11">
        <f>SQRT(('Standardized Data'!C42-$B$18)^2+('Standardized Data'!D42-$C$18)^2+('Standardized Data'!E42-$D$18)^2+('Standardized Data'!F42-$E$18)^2+('Standardized Data'!G42-$F$18)^2)</f>
        <v>3.5886920036524</v>
      </c>
      <c r="F55" s="11">
        <f>SQRT(('Standardized Data'!C42-$B$19)^2+('Standardized Data'!D42-$C$19)^2+('Standardized Data'!E42-$D$19)^2+('Standardized Data'!F42-$E$19)^2+('Standardized Data'!G42-$F$19)^2)</f>
        <v>1.02792325128294</v>
      </c>
      <c r="G55" s="11">
        <f>SQRT(('Standardized Data'!C42-$B$20)^2+('Standardized Data'!D42-$C$20)^2+('Standardized Data'!E42-$D$20)^2+('Standardized Data'!F42-$E$20)^2+('Standardized Data'!G42-$F$20)^2)</f>
        <v>2.9026601415895</v>
      </c>
      <c r="H55" s="11">
        <f>SQRT(('Standardized Data'!C42-$B$21)^2+('Standardized Data'!D42-$C$21)^2+('Standardized Data'!E42-$D$21)^2+('Standardized Data'!F42-$E$21)^2+('Standardized Data'!G42-$F$21)^2)</f>
        <v>1.68821963638853</v>
      </c>
      <c r="I55" s="2">
        <f t="shared" si="0"/>
        <v>3</v>
      </c>
      <c r="J55" s="2" t="str">
        <f t="shared" si="1"/>
        <v>Yes</v>
      </c>
      <c r="K55" s="2"/>
    </row>
    <row r="56" spans="1:11">
      <c r="A56" s="2">
        <v>32</v>
      </c>
      <c r="B56" s="2" t="s">
        <v>62</v>
      </c>
      <c r="C56" s="2">
        <v>5</v>
      </c>
      <c r="D56" s="11">
        <f>SQRT(('Standardized Data'!C43-$B$17)^2+('Standardized Data'!D43-$C$17)^2+('Standardized Data'!E43-$D$17)^2+('Standardized Data'!F43-$E$17)^2+('Standardized Data'!G43-$F$17)^2)</f>
        <v>2.5180822198544</v>
      </c>
      <c r="E56" s="11">
        <f>SQRT(('Standardized Data'!C43-$B$18)^2+('Standardized Data'!D43-$C$18)^2+('Standardized Data'!E43-$D$18)^2+('Standardized Data'!F43-$E$18)^2+('Standardized Data'!G43-$F$18)^2)</f>
        <v>3.79222642389058</v>
      </c>
      <c r="F56" s="11">
        <f>SQRT(('Standardized Data'!C43-$B$19)^2+('Standardized Data'!D43-$C$19)^2+('Standardized Data'!E43-$D$19)^2+('Standardized Data'!F43-$E$19)^2+('Standardized Data'!G43-$F$19)^2)</f>
        <v>1.58484667823092</v>
      </c>
      <c r="G56" s="11">
        <f>SQRT(('Standardized Data'!C43-$B$20)^2+('Standardized Data'!D43-$C$20)^2+('Standardized Data'!E43-$D$20)^2+('Standardized Data'!F43-$E$20)^2+('Standardized Data'!G43-$F$20)^2)</f>
        <v>3.61165985971668</v>
      </c>
      <c r="H56" s="11">
        <f>SQRT(('Standardized Data'!C43-$B$21)^2+('Standardized Data'!D43-$C$21)^2+('Standardized Data'!E43-$D$21)^2+('Standardized Data'!F43-$E$21)^2+('Standardized Data'!G43-$F$21)^2)</f>
        <v>0.910796775445004</v>
      </c>
      <c r="I56" s="2">
        <f t="shared" si="0"/>
        <v>5</v>
      </c>
      <c r="J56" s="2" t="str">
        <f t="shared" si="1"/>
        <v>Yes</v>
      </c>
      <c r="K56" s="2"/>
    </row>
    <row r="57" spans="1:11">
      <c r="A57" s="2">
        <v>33</v>
      </c>
      <c r="B57" s="2" t="s">
        <v>63</v>
      </c>
      <c r="C57" s="2">
        <v>1</v>
      </c>
      <c r="D57" s="11">
        <f>SQRT(('Standardized Data'!C44-$B$17)^2+('Standardized Data'!D44-$C$17)^2+('Standardized Data'!E44-$D$17)^2+('Standardized Data'!F44-$E$17)^2+('Standardized Data'!G44-$F$17)^2)</f>
        <v>1.17628095726154</v>
      </c>
      <c r="E57" s="11">
        <f>SQRT(('Standardized Data'!C44-$B$18)^2+('Standardized Data'!D44-$C$18)^2+('Standardized Data'!E44-$D$18)^2+('Standardized Data'!F44-$E$18)^2+('Standardized Data'!G44-$F$18)^2)</f>
        <v>4.10950001532558</v>
      </c>
      <c r="F57" s="11">
        <f>SQRT(('Standardized Data'!C44-$B$19)^2+('Standardized Data'!D44-$C$19)^2+('Standardized Data'!E44-$D$19)^2+('Standardized Data'!F44-$E$19)^2+('Standardized Data'!G44-$F$19)^2)</f>
        <v>2.84266772017783</v>
      </c>
      <c r="G57" s="11">
        <f>SQRT(('Standardized Data'!C44-$B$20)^2+('Standardized Data'!D44-$C$20)^2+('Standardized Data'!E44-$D$20)^2+('Standardized Data'!F44-$E$20)^2+('Standardized Data'!G44-$F$20)^2)</f>
        <v>3.82569402058242</v>
      </c>
      <c r="H57" s="11">
        <f>SQRT(('Standardized Data'!C44-$B$21)^2+('Standardized Data'!D44-$C$21)^2+('Standardized Data'!E44-$D$21)^2+('Standardized Data'!F44-$E$21)^2+('Standardized Data'!G44-$F$21)^2)</f>
        <v>1.87044077876533</v>
      </c>
      <c r="I57" s="2">
        <f t="shared" si="0"/>
        <v>1</v>
      </c>
      <c r="J57" s="2" t="str">
        <f t="shared" si="1"/>
        <v>Yes</v>
      </c>
      <c r="K57" s="2"/>
    </row>
    <row r="58" spans="1:11">
      <c r="A58" s="2">
        <v>34</v>
      </c>
      <c r="B58" s="2" t="s">
        <v>64</v>
      </c>
      <c r="C58" s="2">
        <v>1</v>
      </c>
      <c r="D58" s="11">
        <f>SQRT(('Standardized Data'!C45-$B$17)^2+('Standardized Data'!D45-$C$17)^2+('Standardized Data'!E45-$D$17)^2+('Standardized Data'!F45-$E$17)^2+('Standardized Data'!G45-$F$17)^2)</f>
        <v>2.59398871381702</v>
      </c>
      <c r="E58" s="11">
        <f>SQRT(('Standardized Data'!C45-$B$18)^2+('Standardized Data'!D45-$C$18)^2+('Standardized Data'!E45-$D$18)^2+('Standardized Data'!F45-$E$18)^2+('Standardized Data'!G45-$F$18)^2)</f>
        <v>6.01630452863481</v>
      </c>
      <c r="F58" s="11">
        <f>SQRT(('Standardized Data'!C45-$B$19)^2+('Standardized Data'!D45-$C$19)^2+('Standardized Data'!E45-$D$19)^2+('Standardized Data'!F45-$E$19)^2+('Standardized Data'!G45-$F$19)^2)</f>
        <v>4.83207663653577</v>
      </c>
      <c r="G58" s="11">
        <f>SQRT(('Standardized Data'!C45-$B$20)^2+('Standardized Data'!D45-$C$20)^2+('Standardized Data'!E45-$D$20)^2+('Standardized Data'!F45-$E$20)^2+('Standardized Data'!G45-$F$20)^2)</f>
        <v>4.50870802731628</v>
      </c>
      <c r="H58" s="11">
        <f>SQRT(('Standardized Data'!C45-$B$21)^2+('Standardized Data'!D45-$C$21)^2+('Standardized Data'!E45-$D$21)^2+('Standardized Data'!F45-$E$21)^2+('Standardized Data'!G45-$F$21)^2)</f>
        <v>3.9858203084543</v>
      </c>
      <c r="I58" s="2">
        <f t="shared" si="0"/>
        <v>1</v>
      </c>
      <c r="J58" s="2" t="str">
        <f t="shared" si="1"/>
        <v>Yes</v>
      </c>
      <c r="K58" s="2"/>
    </row>
    <row r="59" spans="1:11">
      <c r="A59" s="2">
        <v>35</v>
      </c>
      <c r="B59" s="2" t="s">
        <v>65</v>
      </c>
      <c r="C59" s="2">
        <v>5</v>
      </c>
      <c r="D59" s="11">
        <f>SQRT(('Standardized Data'!C46-$B$17)^2+('Standardized Data'!D46-$C$17)^2+('Standardized Data'!E46-$D$17)^2+('Standardized Data'!F46-$E$17)^2+('Standardized Data'!G46-$F$17)^2)</f>
        <v>2.07122163781709</v>
      </c>
      <c r="E59" s="11">
        <f>SQRT(('Standardized Data'!C46-$B$18)^2+('Standardized Data'!D46-$C$18)^2+('Standardized Data'!E46-$D$18)^2+('Standardized Data'!F46-$E$18)^2+('Standardized Data'!G46-$F$18)^2)</f>
        <v>3.97251629480221</v>
      </c>
      <c r="F59" s="11">
        <f>SQRT(('Standardized Data'!C46-$B$19)^2+('Standardized Data'!D46-$C$19)^2+('Standardized Data'!E46-$D$19)^2+('Standardized Data'!F46-$E$19)^2+('Standardized Data'!G46-$F$19)^2)</f>
        <v>1.83452127110764</v>
      </c>
      <c r="G59" s="11">
        <f>SQRT(('Standardized Data'!C46-$B$20)^2+('Standardized Data'!D46-$C$20)^2+('Standardized Data'!E46-$D$20)^2+('Standardized Data'!F46-$E$20)^2+('Standardized Data'!G46-$F$20)^2)</f>
        <v>2.36207272255272</v>
      </c>
      <c r="H59" s="11">
        <f>SQRT(('Standardized Data'!C46-$B$21)^2+('Standardized Data'!D46-$C$21)^2+('Standardized Data'!E46-$D$21)^2+('Standardized Data'!F46-$E$21)^2+('Standardized Data'!G46-$F$21)^2)</f>
        <v>1.14881780403349</v>
      </c>
      <c r="I59" s="2">
        <f t="shared" si="0"/>
        <v>5</v>
      </c>
      <c r="J59" s="2" t="str">
        <f t="shared" si="1"/>
        <v>Yes</v>
      </c>
      <c r="K59" s="2"/>
    </row>
    <row r="60" spans="1:11">
      <c r="A60" s="2">
        <v>36</v>
      </c>
      <c r="B60" s="2" t="s">
        <v>66</v>
      </c>
      <c r="C60" s="2">
        <v>3</v>
      </c>
      <c r="D60" s="11">
        <f>SQRT(('Standardized Data'!C47-$B$17)^2+('Standardized Data'!D47-$C$17)^2+('Standardized Data'!E47-$D$17)^2+('Standardized Data'!F47-$E$17)^2+('Standardized Data'!G47-$F$17)^2)</f>
        <v>3.01259514722474</v>
      </c>
      <c r="E60" s="11">
        <f>SQRT(('Standardized Data'!C47-$B$18)^2+('Standardized Data'!D47-$C$18)^2+('Standardized Data'!E47-$D$18)^2+('Standardized Data'!F47-$E$18)^2+('Standardized Data'!G47-$F$18)^2)</f>
        <v>2.86668825390058</v>
      </c>
      <c r="F60" s="11">
        <f>SQRT(('Standardized Data'!C47-$B$19)^2+('Standardized Data'!D47-$C$19)^2+('Standardized Data'!E47-$D$19)^2+('Standardized Data'!F47-$E$19)^2+('Standardized Data'!G47-$F$19)^2)</f>
        <v>1.02874873650454</v>
      </c>
      <c r="G60" s="11">
        <f>SQRT(('Standardized Data'!C47-$B$20)^2+('Standardized Data'!D47-$C$20)^2+('Standardized Data'!E47-$D$20)^2+('Standardized Data'!F47-$E$20)^2+('Standardized Data'!G47-$F$20)^2)</f>
        <v>3.81490844175259</v>
      </c>
      <c r="H60" s="11">
        <f>SQRT(('Standardized Data'!C47-$B$21)^2+('Standardized Data'!D47-$C$21)^2+('Standardized Data'!E47-$D$21)^2+('Standardized Data'!F47-$E$21)^2+('Standardized Data'!G47-$F$21)^2)</f>
        <v>1.61672121295209</v>
      </c>
      <c r="I60" s="2">
        <f t="shared" si="0"/>
        <v>3</v>
      </c>
      <c r="J60" s="2" t="str">
        <f t="shared" si="1"/>
        <v>Yes</v>
      </c>
      <c r="K60" s="2"/>
    </row>
    <row r="61" spans="1:11">
      <c r="A61" s="2">
        <v>37</v>
      </c>
      <c r="B61" s="2" t="s">
        <v>67</v>
      </c>
      <c r="C61" s="2">
        <v>5</v>
      </c>
      <c r="D61" s="11">
        <f>SQRT(('Standardized Data'!C48-$B$17)^2+('Standardized Data'!D48-$C$17)^2+('Standardized Data'!E48-$D$17)^2+('Standardized Data'!F48-$E$17)^2+('Standardized Data'!G48-$F$17)^2)</f>
        <v>1.72550142239624</v>
      </c>
      <c r="E61" s="11">
        <f>SQRT(('Standardized Data'!C48-$B$18)^2+('Standardized Data'!D48-$C$18)^2+('Standardized Data'!E48-$D$18)^2+('Standardized Data'!F48-$E$18)^2+('Standardized Data'!G48-$F$18)^2)</f>
        <v>3.96395758071144</v>
      </c>
      <c r="F61" s="11">
        <f>SQRT(('Standardized Data'!C48-$B$19)^2+('Standardized Data'!D48-$C$19)^2+('Standardized Data'!E48-$D$19)^2+('Standardized Data'!F48-$E$19)^2+('Standardized Data'!G48-$F$19)^2)</f>
        <v>1.98008466497526</v>
      </c>
      <c r="G61" s="11">
        <f>SQRT(('Standardized Data'!C48-$B$20)^2+('Standardized Data'!D48-$C$20)^2+('Standardized Data'!E48-$D$20)^2+('Standardized Data'!F48-$E$20)^2+('Standardized Data'!G48-$F$20)^2)</f>
        <v>3.19429242607258</v>
      </c>
      <c r="H61" s="11">
        <f>SQRT(('Standardized Data'!C48-$B$21)^2+('Standardized Data'!D48-$C$21)^2+('Standardized Data'!E48-$D$21)^2+('Standardized Data'!F48-$E$21)^2+('Standardized Data'!G48-$F$21)^2)</f>
        <v>0.726535524487461</v>
      </c>
      <c r="I61" s="2">
        <f t="shared" si="0"/>
        <v>5</v>
      </c>
      <c r="J61" s="2" t="str">
        <f t="shared" si="1"/>
        <v>Yes</v>
      </c>
      <c r="K61" s="2"/>
    </row>
    <row r="62" spans="1:11">
      <c r="A62" s="2">
        <v>38</v>
      </c>
      <c r="B62" s="2" t="s">
        <v>68</v>
      </c>
      <c r="C62" s="2">
        <v>5</v>
      </c>
      <c r="D62" s="11">
        <f>SQRT(('Standardized Data'!C49-$B$17)^2+('Standardized Data'!D49-$C$17)^2+('Standardized Data'!E49-$D$17)^2+('Standardized Data'!F49-$E$17)^2+('Standardized Data'!G49-$F$17)^2)</f>
        <v>2.61542313708527</v>
      </c>
      <c r="E62" s="11">
        <f>SQRT(('Standardized Data'!C49-$B$18)^2+('Standardized Data'!D49-$C$18)^2+('Standardized Data'!E49-$D$18)^2+('Standardized Data'!F49-$E$18)^2+('Standardized Data'!G49-$F$18)^2)</f>
        <v>3.6466782409985</v>
      </c>
      <c r="F62" s="11">
        <f>SQRT(('Standardized Data'!C49-$B$19)^2+('Standardized Data'!D49-$C$19)^2+('Standardized Data'!E49-$D$19)^2+('Standardized Data'!F49-$E$19)^2+('Standardized Data'!G49-$F$19)^2)</f>
        <v>1.29760862065529</v>
      </c>
      <c r="G62" s="11">
        <f>SQRT(('Standardized Data'!C49-$B$20)^2+('Standardized Data'!D49-$C$20)^2+('Standardized Data'!E49-$D$20)^2+('Standardized Data'!F49-$E$20)^2+('Standardized Data'!G49-$F$20)^2)</f>
        <v>3.28692925301238</v>
      </c>
      <c r="H62" s="11">
        <f>SQRT(('Standardized Data'!C49-$B$21)^2+('Standardized Data'!D49-$C$21)^2+('Standardized Data'!E49-$D$21)^2+('Standardized Data'!F49-$E$21)^2+('Standardized Data'!G49-$F$21)^2)</f>
        <v>0.934419972318333</v>
      </c>
      <c r="I62" s="2">
        <f t="shared" si="0"/>
        <v>5</v>
      </c>
      <c r="J62" s="2" t="str">
        <f t="shared" si="1"/>
        <v>Yes</v>
      </c>
      <c r="K62" s="2"/>
    </row>
    <row r="63" spans="1:11">
      <c r="A63" s="2">
        <v>39</v>
      </c>
      <c r="B63" s="2" t="s">
        <v>69</v>
      </c>
      <c r="C63" s="2">
        <v>5</v>
      </c>
      <c r="D63" s="11">
        <f>SQRT(('Standardized Data'!C50-$B$17)^2+('Standardized Data'!D50-$C$17)^2+('Standardized Data'!E50-$D$17)^2+('Standardized Data'!F50-$E$17)^2+('Standardized Data'!G50-$F$17)^2)</f>
        <v>1.36017798465963</v>
      </c>
      <c r="E63" s="11">
        <f>SQRT(('Standardized Data'!C50-$B$18)^2+('Standardized Data'!D50-$C$18)^2+('Standardized Data'!E50-$D$18)^2+('Standardized Data'!F50-$E$18)^2+('Standardized Data'!G50-$F$18)^2)</f>
        <v>4.50120029726017</v>
      </c>
      <c r="F63" s="11">
        <f>SQRT(('Standardized Data'!C50-$B$19)^2+('Standardized Data'!D50-$C$19)^2+('Standardized Data'!E50-$D$19)^2+('Standardized Data'!F50-$E$19)^2+('Standardized Data'!G50-$F$19)^2)</f>
        <v>2.67190521647689</v>
      </c>
      <c r="G63" s="11">
        <f>SQRT(('Standardized Data'!C50-$B$20)^2+('Standardized Data'!D50-$C$20)^2+('Standardized Data'!E50-$D$20)^2+('Standardized Data'!F50-$E$20)^2+('Standardized Data'!G50-$F$20)^2)</f>
        <v>3.40900771283655</v>
      </c>
      <c r="H63" s="11">
        <f>SQRT(('Standardized Data'!C50-$B$21)^2+('Standardized Data'!D50-$C$21)^2+('Standardized Data'!E50-$D$21)^2+('Standardized Data'!F50-$E$21)^2+('Standardized Data'!G50-$F$21)^2)</f>
        <v>1.19733811312434</v>
      </c>
      <c r="I63" s="2">
        <f t="shared" si="0"/>
        <v>5</v>
      </c>
      <c r="J63" s="2" t="str">
        <f t="shared" si="1"/>
        <v>Yes</v>
      </c>
      <c r="K63" s="2"/>
    </row>
    <row r="64" spans="1:11">
      <c r="A64" s="2">
        <v>40</v>
      </c>
      <c r="B64" s="2" t="s">
        <v>70</v>
      </c>
      <c r="C64" s="2">
        <v>5</v>
      </c>
      <c r="D64" s="11">
        <f>SQRT(('Standardized Data'!C51-$B$17)^2+('Standardized Data'!D51-$C$17)^2+('Standardized Data'!E51-$D$17)^2+('Standardized Data'!F51-$E$17)^2+('Standardized Data'!G51-$F$17)^2)</f>
        <v>2.22933896255106</v>
      </c>
      <c r="E64" s="11">
        <f>SQRT(('Standardized Data'!C51-$B$18)^2+('Standardized Data'!D51-$C$18)^2+('Standardized Data'!E51-$D$18)^2+('Standardized Data'!F51-$E$18)^2+('Standardized Data'!G51-$F$18)^2)</f>
        <v>3.71788808045988</v>
      </c>
      <c r="F64" s="11">
        <f>SQRT(('Standardized Data'!C51-$B$19)^2+('Standardized Data'!D51-$C$19)^2+('Standardized Data'!E51-$D$19)^2+('Standardized Data'!F51-$E$19)^2+('Standardized Data'!G51-$F$19)^2)</f>
        <v>2.05830085985796</v>
      </c>
      <c r="G64" s="11">
        <f>SQRT(('Standardized Data'!C51-$B$20)^2+('Standardized Data'!D51-$C$20)^2+('Standardized Data'!E51-$D$20)^2+('Standardized Data'!F51-$E$20)^2+('Standardized Data'!G51-$F$20)^2)</f>
        <v>2.72912042304054</v>
      </c>
      <c r="H64" s="11">
        <f>SQRT(('Standardized Data'!C51-$B$21)^2+('Standardized Data'!D51-$C$21)^2+('Standardized Data'!E51-$D$21)^2+('Standardized Data'!F51-$E$21)^2+('Standardized Data'!G51-$F$21)^2)</f>
        <v>1.57613824348245</v>
      </c>
      <c r="I64" s="2">
        <f t="shared" si="0"/>
        <v>5</v>
      </c>
      <c r="J64" s="2" t="str">
        <f t="shared" si="1"/>
        <v>Yes</v>
      </c>
      <c r="K64" s="2"/>
    </row>
    <row r="65" spans="1:11">
      <c r="A65" s="2">
        <v>41</v>
      </c>
      <c r="B65" s="2" t="s">
        <v>71</v>
      </c>
      <c r="C65" s="2">
        <v>1</v>
      </c>
      <c r="D65" s="11">
        <f>SQRT(('Standardized Data'!C52-$B$17)^2+('Standardized Data'!D52-$C$17)^2+('Standardized Data'!E52-$D$17)^2+('Standardized Data'!F52-$E$17)^2+('Standardized Data'!G52-$F$17)^2)</f>
        <v>0.934838143596802</v>
      </c>
      <c r="E65" s="11">
        <f>SQRT(('Standardized Data'!C52-$B$18)^2+('Standardized Data'!D52-$C$18)^2+('Standardized Data'!E52-$D$18)^2+('Standardized Data'!F52-$E$18)^2+('Standardized Data'!G52-$F$18)^2)</f>
        <v>4.77334005386988</v>
      </c>
      <c r="F65" s="11">
        <f>SQRT(('Standardized Data'!C52-$B$19)^2+('Standardized Data'!D52-$C$19)^2+('Standardized Data'!E52-$D$19)^2+('Standardized Data'!F52-$E$19)^2+('Standardized Data'!G52-$F$19)^2)</f>
        <v>3.711289740455</v>
      </c>
      <c r="G65" s="11">
        <f>SQRT(('Standardized Data'!C52-$B$20)^2+('Standardized Data'!D52-$C$20)^2+('Standardized Data'!E52-$D$20)^2+('Standardized Data'!F52-$E$20)^2+('Standardized Data'!G52-$F$20)^2)</f>
        <v>4.32845607444194</v>
      </c>
      <c r="H65" s="11">
        <f>SQRT(('Standardized Data'!C52-$B$21)^2+('Standardized Data'!D52-$C$21)^2+('Standardized Data'!E52-$D$21)^2+('Standardized Data'!F52-$E$21)^2+('Standardized Data'!G52-$F$21)^2)</f>
        <v>2.65340470775018</v>
      </c>
      <c r="I65" s="2">
        <f t="shared" si="0"/>
        <v>1</v>
      </c>
      <c r="J65" s="2" t="str">
        <f t="shared" si="1"/>
        <v>Yes</v>
      </c>
      <c r="K65" s="2"/>
    </row>
    <row r="66" spans="1:11">
      <c r="A66" s="2">
        <v>42</v>
      </c>
      <c r="B66" s="2" t="s">
        <v>72</v>
      </c>
      <c r="C66" s="2">
        <v>5</v>
      </c>
      <c r="D66" s="11">
        <f>SQRT(('Standardized Data'!C53-$B$17)^2+('Standardized Data'!D53-$C$17)^2+('Standardized Data'!E53-$D$17)^2+('Standardized Data'!F53-$E$17)^2+('Standardized Data'!G53-$F$17)^2)</f>
        <v>2.44593454087188</v>
      </c>
      <c r="E66" s="11">
        <f>SQRT(('Standardized Data'!C53-$B$18)^2+('Standardized Data'!D53-$C$18)^2+('Standardized Data'!E53-$D$18)^2+('Standardized Data'!F53-$E$18)^2+('Standardized Data'!G53-$F$18)^2)</f>
        <v>4.88662798122446</v>
      </c>
      <c r="F66" s="11">
        <f>SQRT(('Standardized Data'!C53-$B$19)^2+('Standardized Data'!D53-$C$19)^2+('Standardized Data'!E53-$D$19)^2+('Standardized Data'!F53-$E$19)^2+('Standardized Data'!G53-$F$19)^2)</f>
        <v>2.6087722221152</v>
      </c>
      <c r="G66" s="11">
        <f>SQRT(('Standardized Data'!C53-$B$20)^2+('Standardized Data'!D53-$C$20)^2+('Standardized Data'!E53-$D$20)^2+('Standardized Data'!F53-$E$20)^2+('Standardized Data'!G53-$F$20)^2)</f>
        <v>2.68683564269266</v>
      </c>
      <c r="H66" s="11">
        <f>SQRT(('Standardized Data'!C53-$B$21)^2+('Standardized Data'!D53-$C$21)^2+('Standardized Data'!E53-$D$21)^2+('Standardized Data'!F53-$E$21)^2+('Standardized Data'!G53-$F$21)^2)</f>
        <v>1.08846262766804</v>
      </c>
      <c r="I66" s="2">
        <f t="shared" si="0"/>
        <v>5</v>
      </c>
      <c r="J66" s="2" t="str">
        <f t="shared" si="1"/>
        <v>Yes</v>
      </c>
      <c r="K66" s="2"/>
    </row>
    <row r="67" spans="1:11">
      <c r="A67" s="2">
        <v>43</v>
      </c>
      <c r="B67" s="2" t="s">
        <v>73</v>
      </c>
      <c r="C67" s="2">
        <v>4</v>
      </c>
      <c r="D67" s="11">
        <f>SQRT(('Standardized Data'!C54-$B$17)^2+('Standardized Data'!D54-$C$17)^2+('Standardized Data'!E54-$D$17)^2+('Standardized Data'!F54-$E$17)^2+('Standardized Data'!G54-$F$17)^2)</f>
        <v>3.66915734268956</v>
      </c>
      <c r="E67" s="11">
        <f>SQRT(('Standardized Data'!C54-$B$18)^2+('Standardized Data'!D54-$C$18)^2+('Standardized Data'!E54-$D$18)^2+('Standardized Data'!F54-$E$18)^2+('Standardized Data'!G54-$F$18)^2)</f>
        <v>5.40990637255431</v>
      </c>
      <c r="F67" s="11">
        <f>SQRT(('Standardized Data'!C54-$B$19)^2+('Standardized Data'!D54-$C$19)^2+('Standardized Data'!E54-$D$19)^2+('Standardized Data'!F54-$E$19)^2+('Standardized Data'!G54-$F$19)^2)</f>
        <v>3.07554423611937</v>
      </c>
      <c r="G67" s="11">
        <f>SQRT(('Standardized Data'!C54-$B$20)^2+('Standardized Data'!D54-$C$20)^2+('Standardized Data'!E54-$D$20)^2+('Standardized Data'!F54-$E$20)^2+('Standardized Data'!G54-$F$20)^2)</f>
        <v>1.07725139464347</v>
      </c>
      <c r="H67" s="11">
        <f>SQRT(('Standardized Data'!C54-$B$21)^2+('Standardized Data'!D54-$C$21)^2+('Standardized Data'!E54-$D$21)^2+('Standardized Data'!F54-$E$21)^2+('Standardized Data'!G54-$F$21)^2)</f>
        <v>2.43325311149503</v>
      </c>
      <c r="I67" s="2">
        <f t="shared" si="0"/>
        <v>4</v>
      </c>
      <c r="J67" s="2" t="str">
        <f t="shared" si="1"/>
        <v>Yes</v>
      </c>
      <c r="K67" s="2"/>
    </row>
    <row r="68" spans="1:11">
      <c r="A68" s="2">
        <v>44</v>
      </c>
      <c r="B68" s="2" t="s">
        <v>74</v>
      </c>
      <c r="C68" s="2">
        <v>5</v>
      </c>
      <c r="D68" s="11">
        <f>SQRT(('Standardized Data'!C55-$B$17)^2+('Standardized Data'!D55-$C$17)^2+('Standardized Data'!E55-$D$17)^2+('Standardized Data'!F55-$E$17)^2+('Standardized Data'!G55-$F$17)^2)</f>
        <v>2.94567148588355</v>
      </c>
      <c r="E68" s="11">
        <f>SQRT(('Standardized Data'!C55-$B$18)^2+('Standardized Data'!D55-$C$18)^2+('Standardized Data'!E55-$D$18)^2+('Standardized Data'!F55-$E$18)^2+('Standardized Data'!G55-$F$18)^2)</f>
        <v>5.1603895045755</v>
      </c>
      <c r="F68" s="11">
        <f>SQRT(('Standardized Data'!C55-$B$19)^2+('Standardized Data'!D55-$C$19)^2+('Standardized Data'!E55-$D$19)^2+('Standardized Data'!F55-$E$19)^2+('Standardized Data'!G55-$F$19)^2)</f>
        <v>2.677769637686</v>
      </c>
      <c r="G68" s="11">
        <f>SQRT(('Standardized Data'!C55-$B$20)^2+('Standardized Data'!D55-$C$20)^2+('Standardized Data'!E55-$D$20)^2+('Standardized Data'!F55-$E$20)^2+('Standardized Data'!G55-$F$20)^2)</f>
        <v>2.84344284552277</v>
      </c>
      <c r="H68" s="11">
        <f>SQRT(('Standardized Data'!C55-$B$21)^2+('Standardized Data'!D55-$C$21)^2+('Standardized Data'!E55-$D$21)^2+('Standardized Data'!F55-$E$21)^2+('Standardized Data'!G55-$F$21)^2)</f>
        <v>1.30348265550418</v>
      </c>
      <c r="I68" s="2">
        <f t="shared" si="0"/>
        <v>5</v>
      </c>
      <c r="J68" s="2" t="str">
        <f t="shared" si="1"/>
        <v>Yes</v>
      </c>
      <c r="K68" s="2"/>
    </row>
    <row r="69" spans="1:11">
      <c r="A69" s="2">
        <v>45</v>
      </c>
      <c r="B69" s="2" t="s">
        <v>75</v>
      </c>
      <c r="C69" s="2">
        <v>5</v>
      </c>
      <c r="D69" s="11">
        <f>SQRT(('Standardized Data'!C56-$B$17)^2+('Standardized Data'!D56-$C$17)^2+('Standardized Data'!E56-$D$17)^2+('Standardized Data'!F56-$E$17)^2+('Standardized Data'!G56-$F$17)^2)</f>
        <v>1.79484836869687</v>
      </c>
      <c r="E69" s="11">
        <f>SQRT(('Standardized Data'!C56-$B$18)^2+('Standardized Data'!D56-$C$18)^2+('Standardized Data'!E56-$D$18)^2+('Standardized Data'!F56-$E$18)^2+('Standardized Data'!G56-$F$18)^2)</f>
        <v>4.48049397070722</v>
      </c>
      <c r="F69" s="11">
        <f>SQRT(('Standardized Data'!C56-$B$19)^2+('Standardized Data'!D56-$C$19)^2+('Standardized Data'!E56-$D$19)^2+('Standardized Data'!F56-$E$19)^2+('Standardized Data'!G56-$F$19)^2)</f>
        <v>2.34389480146415</v>
      </c>
      <c r="G69" s="11">
        <f>SQRT(('Standardized Data'!C56-$B$20)^2+('Standardized Data'!D56-$C$20)^2+('Standardized Data'!E56-$D$20)^2+('Standardized Data'!F56-$E$20)^2+('Standardized Data'!G56-$F$20)^2)</f>
        <v>3.09933176111869</v>
      </c>
      <c r="H69" s="11">
        <f>SQRT(('Standardized Data'!C56-$B$21)^2+('Standardized Data'!D56-$C$21)^2+('Standardized Data'!E56-$D$21)^2+('Standardized Data'!F56-$E$21)^2+('Standardized Data'!G56-$F$21)^2)</f>
        <v>0.729379344652664</v>
      </c>
      <c r="I69" s="2">
        <f t="shared" si="0"/>
        <v>5</v>
      </c>
      <c r="J69" s="2" t="str">
        <f t="shared" si="1"/>
        <v>Yes</v>
      </c>
      <c r="K69" s="2"/>
    </row>
    <row r="70" spans="1:11">
      <c r="A70" s="2">
        <v>46</v>
      </c>
      <c r="B70" s="2" t="s">
        <v>76</v>
      </c>
      <c r="C70" s="2">
        <v>1</v>
      </c>
      <c r="D70" s="11">
        <f>SQRT(('Standardized Data'!C57-$B$17)^2+('Standardized Data'!D57-$C$17)^2+('Standardized Data'!E57-$D$17)^2+('Standardized Data'!F57-$E$17)^2+('Standardized Data'!G57-$F$17)^2)</f>
        <v>1.32104334344331</v>
      </c>
      <c r="E70" s="11">
        <f>SQRT(('Standardized Data'!C57-$B$18)^2+('Standardized Data'!D57-$C$18)^2+('Standardized Data'!E57-$D$18)^2+('Standardized Data'!F57-$E$18)^2+('Standardized Data'!G57-$F$18)^2)</f>
        <v>4.11703713275497</v>
      </c>
      <c r="F70" s="11">
        <f>SQRT(('Standardized Data'!C57-$B$19)^2+('Standardized Data'!D57-$C$19)^2+('Standardized Data'!E57-$D$19)^2+('Standardized Data'!F57-$E$19)^2+('Standardized Data'!G57-$F$19)^2)</f>
        <v>3.08052669263125</v>
      </c>
      <c r="G70" s="11">
        <f>SQRT(('Standardized Data'!C57-$B$20)^2+('Standardized Data'!D57-$C$20)^2+('Standardized Data'!E57-$D$20)^2+('Standardized Data'!F57-$E$20)^2+('Standardized Data'!G57-$F$20)^2)</f>
        <v>4.21845293392372</v>
      </c>
      <c r="H70" s="11">
        <f>SQRT(('Standardized Data'!C57-$B$21)^2+('Standardized Data'!D57-$C$21)^2+('Standardized Data'!E57-$D$21)^2+('Standardized Data'!F57-$E$21)^2+('Standardized Data'!G57-$F$21)^2)</f>
        <v>2.29627306032926</v>
      </c>
      <c r="I70" s="2">
        <f t="shared" si="0"/>
        <v>1</v>
      </c>
      <c r="J70" s="2" t="str">
        <f t="shared" si="1"/>
        <v>Yes</v>
      </c>
      <c r="K70" s="2"/>
    </row>
    <row r="71" spans="1:11">
      <c r="A71" s="2">
        <v>47</v>
      </c>
      <c r="B71" s="2" t="s">
        <v>77</v>
      </c>
      <c r="C71" s="2">
        <v>5</v>
      </c>
      <c r="D71" s="11">
        <f>SQRT(('Standardized Data'!C58-$B$17)^2+('Standardized Data'!D58-$C$17)^2+('Standardized Data'!E58-$D$17)^2+('Standardized Data'!F58-$E$17)^2+('Standardized Data'!G58-$F$17)^2)</f>
        <v>2.98104717428386</v>
      </c>
      <c r="E71" s="11">
        <f>SQRT(('Standardized Data'!C58-$B$18)^2+('Standardized Data'!D58-$C$18)^2+('Standardized Data'!E58-$D$18)^2+('Standardized Data'!F58-$E$18)^2+('Standardized Data'!G58-$F$18)^2)</f>
        <v>4.19796381335661</v>
      </c>
      <c r="F71" s="11">
        <f>SQRT(('Standardized Data'!C58-$B$19)^2+('Standardized Data'!D58-$C$19)^2+('Standardized Data'!E58-$D$19)^2+('Standardized Data'!F58-$E$19)^2+('Standardized Data'!G58-$F$19)^2)</f>
        <v>1.65925618659604</v>
      </c>
      <c r="G71" s="11">
        <f>SQRT(('Standardized Data'!C58-$B$20)^2+('Standardized Data'!D58-$C$20)^2+('Standardized Data'!E58-$D$20)^2+('Standardized Data'!F58-$E$20)^2+('Standardized Data'!G58-$F$20)^2)</f>
        <v>2.24381130391387</v>
      </c>
      <c r="H71" s="11">
        <f>SQRT(('Standardized Data'!C58-$B$21)^2+('Standardized Data'!D58-$C$21)^2+('Standardized Data'!E58-$D$21)^2+('Standardized Data'!F58-$E$21)^2+('Standardized Data'!G58-$F$21)^2)</f>
        <v>1.07686279425966</v>
      </c>
      <c r="I71" s="2">
        <f t="shared" si="0"/>
        <v>5</v>
      </c>
      <c r="J71" s="2" t="str">
        <f t="shared" si="1"/>
        <v>Yes</v>
      </c>
      <c r="K71" s="2"/>
    </row>
    <row r="72" spans="1:11">
      <c r="A72" s="2">
        <v>48</v>
      </c>
      <c r="B72" s="2" t="s">
        <v>78</v>
      </c>
      <c r="C72" s="2">
        <v>5</v>
      </c>
      <c r="D72" s="11">
        <f>SQRT(('Standardized Data'!C59-$B$17)^2+('Standardized Data'!D59-$C$17)^2+('Standardized Data'!E59-$D$17)^2+('Standardized Data'!F59-$E$17)^2+('Standardized Data'!G59-$F$17)^2)</f>
        <v>3.21785645602632</v>
      </c>
      <c r="E72" s="11">
        <f>SQRT(('Standardized Data'!C59-$B$18)^2+('Standardized Data'!D59-$C$18)^2+('Standardized Data'!E59-$D$18)^2+('Standardized Data'!F59-$E$18)^2+('Standardized Data'!G59-$F$18)^2)</f>
        <v>5.32518879717863</v>
      </c>
      <c r="F72" s="11">
        <f>SQRT(('Standardized Data'!C59-$B$19)^2+('Standardized Data'!D59-$C$19)^2+('Standardized Data'!E59-$D$19)^2+('Standardized Data'!F59-$E$19)^2+('Standardized Data'!G59-$F$19)^2)</f>
        <v>2.68940141093693</v>
      </c>
      <c r="G72" s="11">
        <f>SQRT(('Standardized Data'!C59-$B$20)^2+('Standardized Data'!D59-$C$20)^2+('Standardized Data'!E59-$D$20)^2+('Standardized Data'!F59-$E$20)^2+('Standardized Data'!G59-$F$20)^2)</f>
        <v>2.56249203043034</v>
      </c>
      <c r="H72" s="11">
        <f>SQRT(('Standardized Data'!C59-$B$21)^2+('Standardized Data'!D59-$C$21)^2+('Standardized Data'!E59-$D$21)^2+('Standardized Data'!F59-$E$21)^2+('Standardized Data'!G59-$F$21)^2)</f>
        <v>1.46950978267874</v>
      </c>
      <c r="I72" s="2">
        <f t="shared" si="0"/>
        <v>5</v>
      </c>
      <c r="J72" s="2" t="str">
        <f t="shared" si="1"/>
        <v>Yes</v>
      </c>
      <c r="K72" s="2"/>
    </row>
    <row r="73" spans="1:11">
      <c r="A73" s="2">
        <v>49</v>
      </c>
      <c r="B73" s="2" t="s">
        <v>79</v>
      </c>
      <c r="C73" s="2">
        <v>5</v>
      </c>
      <c r="D73" s="11">
        <f>SQRT(('Standardized Data'!C60-$B$17)^2+('Standardized Data'!D60-$C$17)^2+('Standardized Data'!E60-$D$17)^2+('Standardized Data'!F60-$E$17)^2+('Standardized Data'!G60-$F$17)^2)</f>
        <v>2.64817106467841</v>
      </c>
      <c r="E73" s="11">
        <f>SQRT(('Standardized Data'!C60-$B$18)^2+('Standardized Data'!D60-$C$18)^2+('Standardized Data'!E60-$D$18)^2+('Standardized Data'!F60-$E$18)^2+('Standardized Data'!G60-$F$18)^2)</f>
        <v>4.3570493172058</v>
      </c>
      <c r="F73" s="11">
        <f>SQRT(('Standardized Data'!C60-$B$19)^2+('Standardized Data'!D60-$C$19)^2+('Standardized Data'!E60-$D$19)^2+('Standardized Data'!F60-$E$19)^2+('Standardized Data'!G60-$F$19)^2)</f>
        <v>2.07560782092842</v>
      </c>
      <c r="G73" s="11">
        <f>SQRT(('Standardized Data'!C60-$B$20)^2+('Standardized Data'!D60-$C$20)^2+('Standardized Data'!E60-$D$20)^2+('Standardized Data'!F60-$E$20)^2+('Standardized Data'!G60-$F$20)^2)</f>
        <v>2.7631504762784</v>
      </c>
      <c r="H73" s="11">
        <f>SQRT(('Standardized Data'!C60-$B$21)^2+('Standardized Data'!D60-$C$21)^2+('Standardized Data'!E60-$D$21)^2+('Standardized Data'!F60-$E$21)^2+('Standardized Data'!G60-$F$21)^2)</f>
        <v>0.98851876423267</v>
      </c>
      <c r="I73" s="2">
        <f t="shared" si="0"/>
        <v>5</v>
      </c>
      <c r="J73" s="2" t="str">
        <f t="shared" si="1"/>
        <v>Yes</v>
      </c>
      <c r="K73" s="2"/>
    </row>
    <row r="74" spans="1:11">
      <c r="A74" s="2">
        <v>50</v>
      </c>
      <c r="B74" s="2" t="s">
        <v>80</v>
      </c>
      <c r="C74" s="2">
        <v>5</v>
      </c>
      <c r="D74" s="11">
        <f>SQRT(('Standardized Data'!C61-$B$17)^2+('Standardized Data'!D61-$C$17)^2+('Standardized Data'!E61-$D$17)^2+('Standardized Data'!F61-$E$17)^2+('Standardized Data'!G61-$F$17)^2)</f>
        <v>1.59815561579036</v>
      </c>
      <c r="E74" s="11">
        <f>SQRT(('Standardized Data'!C61-$B$18)^2+('Standardized Data'!D61-$C$18)^2+('Standardized Data'!E61-$D$18)^2+('Standardized Data'!F61-$E$18)^2+('Standardized Data'!G61-$F$18)^2)</f>
        <v>4.22057726643321</v>
      </c>
      <c r="F74" s="11">
        <f>SQRT(('Standardized Data'!C61-$B$19)^2+('Standardized Data'!D61-$C$19)^2+('Standardized Data'!E61-$D$19)^2+('Standardized Data'!F61-$E$19)^2+('Standardized Data'!G61-$F$19)^2)</f>
        <v>2.08704780433842</v>
      </c>
      <c r="G74" s="11">
        <f>SQRT(('Standardized Data'!C61-$B$20)^2+('Standardized Data'!D61-$C$20)^2+('Standardized Data'!E61-$D$20)^2+('Standardized Data'!F61-$E$20)^2+('Standardized Data'!G61-$F$20)^2)</f>
        <v>2.76679221297439</v>
      </c>
      <c r="H74" s="11">
        <f>SQRT(('Standardized Data'!C61-$B$21)^2+('Standardized Data'!D61-$C$21)^2+('Standardized Data'!E61-$D$21)^2+('Standardized Data'!F61-$E$21)^2+('Standardized Data'!G61-$F$21)^2)</f>
        <v>0.740136508735885</v>
      </c>
      <c r="I74" s="2">
        <f t="shared" si="0"/>
        <v>5</v>
      </c>
      <c r="J74" s="2" t="str">
        <f t="shared" si="1"/>
        <v>Yes</v>
      </c>
      <c r="K74" s="2"/>
    </row>
    <row r="75" spans="1:11">
      <c r="A75" s="2">
        <v>51</v>
      </c>
      <c r="B75" s="2" t="s">
        <v>81</v>
      </c>
      <c r="C75" s="2">
        <v>1</v>
      </c>
      <c r="D75" s="11">
        <f>SQRT(('Standardized Data'!C62-$B$17)^2+('Standardized Data'!D62-$C$17)^2+('Standardized Data'!E62-$D$17)^2+('Standardized Data'!F62-$E$17)^2+('Standardized Data'!G62-$F$17)^2)</f>
        <v>1.43554051165856</v>
      </c>
      <c r="E75" s="11">
        <f>SQRT(('Standardized Data'!C62-$B$18)^2+('Standardized Data'!D62-$C$18)^2+('Standardized Data'!E62-$D$18)^2+('Standardized Data'!F62-$E$18)^2+('Standardized Data'!G62-$F$18)^2)</f>
        <v>5.86140342839214</v>
      </c>
      <c r="F75" s="11">
        <f>SQRT(('Standardized Data'!C62-$B$19)^2+('Standardized Data'!D62-$C$19)^2+('Standardized Data'!E62-$D$19)^2+('Standardized Data'!F62-$E$19)^2+('Standardized Data'!G62-$F$19)^2)</f>
        <v>4.20239735633168</v>
      </c>
      <c r="G75" s="11">
        <f>SQRT(('Standardized Data'!C62-$B$20)^2+('Standardized Data'!D62-$C$20)^2+('Standardized Data'!E62-$D$20)^2+('Standardized Data'!F62-$E$20)^2+('Standardized Data'!G62-$F$20)^2)</f>
        <v>3.04793422198814</v>
      </c>
      <c r="H75" s="11">
        <f>SQRT(('Standardized Data'!C62-$B$21)^2+('Standardized Data'!D62-$C$21)^2+('Standardized Data'!E62-$D$21)^2+('Standardized Data'!F62-$E$21)^2+('Standardized Data'!G62-$F$21)^2)</f>
        <v>2.77320754007813</v>
      </c>
      <c r="I75" s="2">
        <f t="shared" si="0"/>
        <v>1</v>
      </c>
      <c r="J75" s="2" t="str">
        <f t="shared" si="1"/>
        <v>Yes</v>
      </c>
      <c r="K75" s="2"/>
    </row>
    <row r="76" spans="1:11">
      <c r="A76" s="2">
        <v>52</v>
      </c>
      <c r="B76" s="2" t="s">
        <v>82</v>
      </c>
      <c r="C76" s="2">
        <v>4</v>
      </c>
      <c r="D76" s="11">
        <f>SQRT(('Standardized Data'!C63-$B$17)^2+('Standardized Data'!D63-$C$17)^2+('Standardized Data'!E63-$D$17)^2+('Standardized Data'!F63-$E$17)^2+('Standardized Data'!G63-$F$17)^2)</f>
        <v>3.77368731560956</v>
      </c>
      <c r="E76" s="11">
        <f>SQRT(('Standardized Data'!C63-$B$18)^2+('Standardized Data'!D63-$C$18)^2+('Standardized Data'!E63-$D$18)^2+('Standardized Data'!F63-$E$18)^2+('Standardized Data'!G63-$F$18)^2)</f>
        <v>6.48719032877128</v>
      </c>
      <c r="F76" s="11">
        <f>SQRT(('Standardized Data'!C63-$B$19)^2+('Standardized Data'!D63-$C$19)^2+('Standardized Data'!E63-$D$19)^2+('Standardized Data'!F63-$E$19)^2+('Standardized Data'!G63-$F$19)^2)</f>
        <v>4.41500183125562</v>
      </c>
      <c r="G76" s="11">
        <f>SQRT(('Standardized Data'!C63-$B$20)^2+('Standardized Data'!D63-$C$20)^2+('Standardized Data'!E63-$D$20)^2+('Standardized Data'!F63-$E$20)^2+('Standardized Data'!G63-$F$20)^2)</f>
        <v>1.07725139464347</v>
      </c>
      <c r="H76" s="11">
        <f>SQRT(('Standardized Data'!C63-$B$21)^2+('Standardized Data'!D63-$C$21)^2+('Standardized Data'!E63-$D$21)^2+('Standardized Data'!F63-$E$21)^2+('Standardized Data'!G63-$F$21)^2)</f>
        <v>3.43566569568703</v>
      </c>
      <c r="I76" s="2">
        <f t="shared" si="0"/>
        <v>4</v>
      </c>
      <c r="J76" s="2" t="str">
        <f t="shared" si="1"/>
        <v>Yes</v>
      </c>
      <c r="K76" s="2"/>
    </row>
    <row r="77" spans="1:11">
      <c r="A77" s="2">
        <v>53</v>
      </c>
      <c r="B77" s="2" t="s">
        <v>83</v>
      </c>
      <c r="C77" s="2">
        <v>1</v>
      </c>
      <c r="D77" s="11">
        <f>SQRT(('Standardized Data'!C64-$B$17)^2+('Standardized Data'!D64-$C$17)^2+('Standardized Data'!E64-$D$17)^2+('Standardized Data'!F64-$E$17)^2+('Standardized Data'!G64-$F$17)^2)</f>
        <v>1.41240027595887</v>
      </c>
      <c r="E77" s="11">
        <f>SQRT(('Standardized Data'!C64-$B$18)^2+('Standardized Data'!D64-$C$18)^2+('Standardized Data'!E64-$D$18)^2+('Standardized Data'!F64-$E$18)^2+('Standardized Data'!G64-$F$18)^2)</f>
        <v>4.89763891824865</v>
      </c>
      <c r="F77" s="11">
        <f>SQRT(('Standardized Data'!C64-$B$19)^2+('Standardized Data'!D64-$C$19)^2+('Standardized Data'!E64-$D$19)^2+('Standardized Data'!F64-$E$19)^2+('Standardized Data'!G64-$F$19)^2)</f>
        <v>3.22104578071376</v>
      </c>
      <c r="G77" s="11">
        <f>SQRT(('Standardized Data'!C64-$B$20)^2+('Standardized Data'!D64-$C$20)^2+('Standardized Data'!E64-$D$20)^2+('Standardized Data'!F64-$E$20)^2+('Standardized Data'!G64-$F$20)^2)</f>
        <v>3.18582039798531</v>
      </c>
      <c r="H77" s="11">
        <f>SQRT(('Standardized Data'!C64-$B$21)^2+('Standardized Data'!D64-$C$21)^2+('Standardized Data'!E64-$D$21)^2+('Standardized Data'!F64-$E$21)^2+('Standardized Data'!G64-$F$21)^2)</f>
        <v>1.79222370747378</v>
      </c>
      <c r="I77" s="2">
        <f t="shared" si="0"/>
        <v>1</v>
      </c>
      <c r="J77" s="2" t="str">
        <f t="shared" si="1"/>
        <v>Yes</v>
      </c>
      <c r="K77" s="2"/>
    </row>
    <row r="78" spans="1:11">
      <c r="A78" s="2">
        <v>54</v>
      </c>
      <c r="B78" s="2" t="s">
        <v>84</v>
      </c>
      <c r="C78" s="2">
        <v>5</v>
      </c>
      <c r="D78" s="11">
        <f>SQRT(('Standardized Data'!C65-$B$17)^2+('Standardized Data'!D65-$C$17)^2+('Standardized Data'!E65-$D$17)^2+('Standardized Data'!F65-$E$17)^2+('Standardized Data'!G65-$F$17)^2)</f>
        <v>3.15043232915078</v>
      </c>
      <c r="E78" s="11">
        <f>SQRT(('Standardized Data'!C65-$B$18)^2+('Standardized Data'!D65-$C$18)^2+('Standardized Data'!E65-$D$18)^2+('Standardized Data'!F65-$E$18)^2+('Standardized Data'!G65-$F$18)^2)</f>
        <v>5.0320840188664</v>
      </c>
      <c r="F78" s="11">
        <f>SQRT(('Standardized Data'!C65-$B$19)^2+('Standardized Data'!D65-$C$19)^2+('Standardized Data'!E65-$D$19)^2+('Standardized Data'!F65-$E$19)^2+('Standardized Data'!G65-$F$19)^2)</f>
        <v>2.53763351393968</v>
      </c>
      <c r="G78" s="11">
        <f>SQRT(('Standardized Data'!C65-$B$20)^2+('Standardized Data'!D65-$C$20)^2+('Standardized Data'!E65-$D$20)^2+('Standardized Data'!F65-$E$20)^2+('Standardized Data'!G65-$F$20)^2)</f>
        <v>2.54915544059625</v>
      </c>
      <c r="H78" s="11">
        <f>SQRT(('Standardized Data'!C65-$B$21)^2+('Standardized Data'!D65-$C$21)^2+('Standardized Data'!E65-$D$21)^2+('Standardized Data'!F65-$E$21)^2+('Standardized Data'!G65-$F$21)^2)</f>
        <v>1.33783429444794</v>
      </c>
      <c r="I78" s="2">
        <f t="shared" si="0"/>
        <v>5</v>
      </c>
      <c r="J78" s="2" t="str">
        <f t="shared" si="1"/>
        <v>Yes</v>
      </c>
      <c r="K78" s="2"/>
    </row>
  </sheetData>
  <mergeCells count="2">
    <mergeCell ref="A1:K1"/>
    <mergeCell ref="A3:K6"/>
  </mergeCell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6"/>
  <sheetViews>
    <sheetView topLeftCell="A57" workbookViewId="0">
      <selection activeCell="A70" sqref="A70:H76"/>
    </sheetView>
  </sheetViews>
  <sheetFormatPr defaultColWidth="9" defaultRowHeight="16.8"/>
  <cols>
    <col min="1" max="1" width="8" customWidth="1"/>
    <col min="2" max="2" width="34" customWidth="1"/>
    <col min="3" max="3" width="11" customWidth="1"/>
    <col min="4" max="5" width="10" customWidth="1"/>
    <col min="6" max="6" width="14" customWidth="1"/>
    <col min="7" max="8" width="15" customWidth="1"/>
    <col min="9" max="9" width="10" customWidth="1"/>
    <col min="10" max="10" width="15" customWidth="1"/>
  </cols>
  <sheetData>
    <row r="1" ht="23.2" spans="1:10">
      <c r="A1" s="1" t="s">
        <v>108</v>
      </c>
      <c r="B1" s="1"/>
      <c r="C1" s="1"/>
      <c r="D1" s="1"/>
      <c r="E1" s="1"/>
      <c r="F1" s="1"/>
      <c r="G1" s="1"/>
      <c r="H1" s="1"/>
      <c r="I1" s="2"/>
      <c r="J1" s="2"/>
    </row>
    <row r="2" spans="1:10">
      <c r="A2" s="2"/>
      <c r="B2" s="2"/>
      <c r="C2" s="2"/>
      <c r="D2" s="2"/>
      <c r="E2" s="2"/>
      <c r="F2" s="2"/>
      <c r="G2" s="2"/>
      <c r="H2" s="2"/>
      <c r="I2" s="2"/>
      <c r="J2" s="2"/>
    </row>
    <row r="3" spans="1:10">
      <c r="A3" s="3" t="s">
        <v>98</v>
      </c>
      <c r="B3" s="3" t="s">
        <v>99</v>
      </c>
      <c r="C3" s="3" t="s">
        <v>109</v>
      </c>
      <c r="D3" s="3" t="s">
        <v>110</v>
      </c>
      <c r="E3" s="3" t="s">
        <v>111</v>
      </c>
      <c r="F3" s="3" t="s">
        <v>112</v>
      </c>
      <c r="G3" s="3" t="s">
        <v>113</v>
      </c>
      <c r="H3" s="2"/>
      <c r="I3" s="3" t="s">
        <v>98</v>
      </c>
      <c r="J3" s="3" t="s">
        <v>114</v>
      </c>
    </row>
    <row r="4" spans="1:10">
      <c r="A4" s="2">
        <v>1</v>
      </c>
      <c r="B4" s="2">
        <v>6</v>
      </c>
      <c r="C4" s="4">
        <v>0.111111111111111</v>
      </c>
      <c r="D4" s="5">
        <v>3.51</v>
      </c>
      <c r="E4" s="7">
        <v>656.166666666667</v>
      </c>
      <c r="F4" s="8">
        <v>34.5333333333333</v>
      </c>
      <c r="G4" s="9">
        <v>83607.3333333333</v>
      </c>
      <c r="H4" s="2"/>
      <c r="I4" s="2">
        <v>1</v>
      </c>
      <c r="J4" s="9">
        <v>27007.6666666667</v>
      </c>
    </row>
    <row r="5" spans="1:10">
      <c r="A5" s="2">
        <v>2</v>
      </c>
      <c r="B5" s="2">
        <v>12</v>
      </c>
      <c r="C5" s="4">
        <v>0.222222222222222</v>
      </c>
      <c r="D5" s="5">
        <v>3.54916666666667</v>
      </c>
      <c r="E5" s="7">
        <v>717</v>
      </c>
      <c r="F5" s="8">
        <v>16.7083333333333</v>
      </c>
      <c r="G5" s="9">
        <v>132509.416666667</v>
      </c>
      <c r="H5" s="2"/>
      <c r="I5" s="2">
        <v>2</v>
      </c>
      <c r="J5" s="9">
        <v>55066.1666666667</v>
      </c>
    </row>
    <row r="6" spans="1:10">
      <c r="A6" s="2">
        <v>3</v>
      </c>
      <c r="B6" s="2">
        <v>16</v>
      </c>
      <c r="C6" s="4">
        <v>0.296296296296296</v>
      </c>
      <c r="D6" s="5">
        <v>3.353125</v>
      </c>
      <c r="E6" s="7">
        <v>689.8125</v>
      </c>
      <c r="F6" s="8">
        <v>30.80625</v>
      </c>
      <c r="G6" s="9">
        <v>113053.375</v>
      </c>
      <c r="H6" s="2"/>
      <c r="I6" s="2">
        <v>3</v>
      </c>
      <c r="J6" s="9">
        <v>49066.3125</v>
      </c>
    </row>
    <row r="7" spans="1:10">
      <c r="A7" s="2">
        <v>4</v>
      </c>
      <c r="B7" s="2">
        <v>2</v>
      </c>
      <c r="C7" s="4">
        <v>0.037037037037037</v>
      </c>
      <c r="D7" s="5">
        <v>3.35</v>
      </c>
      <c r="E7" s="7">
        <v>651.5</v>
      </c>
      <c r="F7" s="8">
        <v>63.2</v>
      </c>
      <c r="G7" s="9">
        <v>78775</v>
      </c>
      <c r="H7" s="2"/>
      <c r="I7" s="2">
        <v>4</v>
      </c>
      <c r="J7" s="9">
        <v>46878</v>
      </c>
    </row>
    <row r="8" spans="1:10">
      <c r="A8" s="2">
        <v>5</v>
      </c>
      <c r="B8" s="2">
        <v>18</v>
      </c>
      <c r="C8" s="4">
        <v>0.333333333333333</v>
      </c>
      <c r="D8" s="5">
        <v>3.33666666666667</v>
      </c>
      <c r="E8" s="7">
        <v>662.055555555556</v>
      </c>
      <c r="F8" s="8">
        <v>34.0944444444444</v>
      </c>
      <c r="G8" s="9">
        <v>93573.3333333333</v>
      </c>
      <c r="H8" s="2"/>
      <c r="I8" s="2">
        <v>5</v>
      </c>
      <c r="J8" s="9">
        <v>39964.6666666667</v>
      </c>
    </row>
    <row r="9" spans="1:10">
      <c r="A9" s="2"/>
      <c r="B9" s="2"/>
      <c r="C9" s="2"/>
      <c r="D9" s="2"/>
      <c r="E9" s="2"/>
      <c r="F9" s="2"/>
      <c r="G9" s="2"/>
      <c r="H9" s="2"/>
      <c r="I9" s="2"/>
      <c r="J9" s="2"/>
    </row>
    <row r="10" spans="1:10">
      <c r="A10" s="2"/>
      <c r="B10" s="2"/>
      <c r="C10" s="2"/>
      <c r="D10" s="2"/>
      <c r="E10" s="2"/>
      <c r="F10" s="2"/>
      <c r="G10" s="2"/>
      <c r="H10" s="2"/>
      <c r="I10" s="2"/>
      <c r="J10" s="2"/>
    </row>
    <row r="11" spans="1:10">
      <c r="A11" s="6" t="s">
        <v>115</v>
      </c>
      <c r="B11" s="6"/>
      <c r="C11" s="6"/>
      <c r="D11" s="6"/>
      <c r="E11" s="6"/>
      <c r="F11" s="6"/>
      <c r="G11" s="6"/>
      <c r="H11" s="6"/>
      <c r="I11" s="2"/>
      <c r="J11" s="2"/>
    </row>
    <row r="12" spans="1:10">
      <c r="A12" s="3" t="s">
        <v>24</v>
      </c>
      <c r="B12" s="3" t="s">
        <v>25</v>
      </c>
      <c r="C12" s="3" t="s">
        <v>98</v>
      </c>
      <c r="D12" s="3" t="s">
        <v>26</v>
      </c>
      <c r="E12" s="3" t="s">
        <v>27</v>
      </c>
      <c r="F12" s="3" t="s">
        <v>28</v>
      </c>
      <c r="G12" s="3" t="s">
        <v>29</v>
      </c>
      <c r="H12" s="3" t="s">
        <v>30</v>
      </c>
      <c r="I12" s="2"/>
      <c r="J12" s="2"/>
    </row>
    <row r="13" spans="1:10">
      <c r="A13" s="2">
        <v>1</v>
      </c>
      <c r="B13" s="2" t="s">
        <v>31</v>
      </c>
      <c r="C13" s="2">
        <v>2</v>
      </c>
      <c r="D13" s="5">
        <v>3.66</v>
      </c>
      <c r="E13" s="7">
        <v>724</v>
      </c>
      <c r="F13" s="8">
        <v>11.1</v>
      </c>
      <c r="G13" s="9">
        <v>139735</v>
      </c>
      <c r="H13" s="9">
        <v>60610</v>
      </c>
      <c r="I13" s="2"/>
      <c r="J13" s="2"/>
    </row>
    <row r="14" spans="1:10">
      <c r="A14" s="2">
        <v>2</v>
      </c>
      <c r="B14" s="2" t="s">
        <v>32</v>
      </c>
      <c r="C14" s="2">
        <v>2</v>
      </c>
      <c r="D14" s="5">
        <v>3.7</v>
      </c>
      <c r="E14" s="7">
        <v>730</v>
      </c>
      <c r="F14" s="8">
        <v>7</v>
      </c>
      <c r="G14" s="9">
        <v>140972</v>
      </c>
      <c r="H14" s="9">
        <v>55200</v>
      </c>
      <c r="I14" s="2"/>
      <c r="J14" s="2"/>
    </row>
    <row r="15" spans="1:10">
      <c r="A15" s="2">
        <v>3</v>
      </c>
      <c r="B15" s="2" t="s">
        <v>33</v>
      </c>
      <c r="C15" s="2">
        <v>2</v>
      </c>
      <c r="D15" s="5">
        <v>3.56</v>
      </c>
      <c r="E15" s="7">
        <v>718</v>
      </c>
      <c r="F15" s="8">
        <v>18.8</v>
      </c>
      <c r="G15" s="9">
        <v>137311</v>
      </c>
      <c r="H15" s="9">
        <v>58244</v>
      </c>
      <c r="I15" s="2"/>
      <c r="J15" s="2"/>
    </row>
    <row r="16" spans="1:10">
      <c r="A16" s="2">
        <v>4</v>
      </c>
      <c r="B16" s="2" t="s">
        <v>34</v>
      </c>
      <c r="C16" s="2">
        <v>2</v>
      </c>
      <c r="D16" s="5">
        <v>3.51</v>
      </c>
      <c r="E16" s="7">
        <v>710</v>
      </c>
      <c r="F16" s="8">
        <v>13.3</v>
      </c>
      <c r="G16" s="9">
        <v>132618</v>
      </c>
      <c r="H16" s="9">
        <v>52900</v>
      </c>
      <c r="I16" s="2"/>
      <c r="J16" s="2"/>
    </row>
    <row r="17" spans="1:10">
      <c r="A17" s="2">
        <v>5</v>
      </c>
      <c r="B17" s="2" t="s">
        <v>35</v>
      </c>
      <c r="C17" s="2">
        <v>2</v>
      </c>
      <c r="D17" s="5">
        <v>3.54</v>
      </c>
      <c r="E17" s="7">
        <v>712</v>
      </c>
      <c r="F17" s="8">
        <v>21.1</v>
      </c>
      <c r="G17" s="9">
        <v>130092</v>
      </c>
      <c r="H17" s="9">
        <v>54225</v>
      </c>
      <c r="I17" s="2"/>
      <c r="J17" s="2"/>
    </row>
    <row r="18" spans="1:10">
      <c r="A18" s="2">
        <v>6</v>
      </c>
      <c r="B18" s="2" t="s">
        <v>36</v>
      </c>
      <c r="C18" s="2">
        <v>2</v>
      </c>
      <c r="D18" s="5">
        <v>3.52</v>
      </c>
      <c r="E18" s="7">
        <v>719</v>
      </c>
      <c r="F18" s="8">
        <v>21.9</v>
      </c>
      <c r="G18" s="9">
        <v>133424</v>
      </c>
      <c r="H18" s="9">
        <v>54252</v>
      </c>
      <c r="I18" s="2"/>
      <c r="J18" s="2"/>
    </row>
    <row r="19" spans="1:10">
      <c r="A19" s="2">
        <v>7</v>
      </c>
      <c r="B19" s="2" t="s">
        <v>37</v>
      </c>
      <c r="C19" s="2">
        <v>2</v>
      </c>
      <c r="D19" s="5">
        <v>3.64</v>
      </c>
      <c r="E19" s="7">
        <v>715</v>
      </c>
      <c r="F19" s="8">
        <v>12.2</v>
      </c>
      <c r="G19" s="9">
        <v>129776</v>
      </c>
      <c r="H19" s="9">
        <v>53396</v>
      </c>
      <c r="I19" s="2"/>
      <c r="J19" s="2"/>
    </row>
    <row r="20" spans="1:10">
      <c r="A20" s="2">
        <v>8</v>
      </c>
      <c r="B20" s="2" t="s">
        <v>38</v>
      </c>
      <c r="C20" s="2">
        <v>2</v>
      </c>
      <c r="D20" s="5">
        <v>3.5</v>
      </c>
      <c r="E20" s="7">
        <v>716</v>
      </c>
      <c r="F20" s="8">
        <v>15.9</v>
      </c>
      <c r="G20" s="9">
        <v>134233</v>
      </c>
      <c r="H20" s="9">
        <v>58350</v>
      </c>
      <c r="I20" s="2"/>
      <c r="J20" s="2"/>
    </row>
    <row r="21" spans="1:10">
      <c r="A21" s="2">
        <v>9</v>
      </c>
      <c r="B21" s="2" t="s">
        <v>39</v>
      </c>
      <c r="C21" s="2">
        <v>2</v>
      </c>
      <c r="D21" s="5">
        <v>3.52</v>
      </c>
      <c r="E21" s="7">
        <v>718</v>
      </c>
      <c r="F21" s="8">
        <v>17.9</v>
      </c>
      <c r="G21" s="9">
        <v>138220</v>
      </c>
      <c r="H21" s="9">
        <v>56555</v>
      </c>
      <c r="I21" s="2"/>
      <c r="J21" s="2"/>
    </row>
    <row r="22" spans="1:10">
      <c r="A22" s="2">
        <v>10</v>
      </c>
      <c r="B22" s="2" t="s">
        <v>40</v>
      </c>
      <c r="C22" s="2">
        <v>2</v>
      </c>
      <c r="D22" s="5">
        <v>3.52</v>
      </c>
      <c r="E22" s="7">
        <v>719</v>
      </c>
      <c r="F22" s="8">
        <v>19.1</v>
      </c>
      <c r="G22" s="9">
        <v>125735</v>
      </c>
      <c r="H22" s="9">
        <v>53900</v>
      </c>
      <c r="I22" s="2"/>
      <c r="J22" s="2"/>
    </row>
    <row r="23" spans="1:10">
      <c r="A23" s="2">
        <v>11</v>
      </c>
      <c r="B23" s="2" t="s">
        <v>41</v>
      </c>
      <c r="C23" s="2">
        <v>2</v>
      </c>
      <c r="D23" s="5">
        <v>3.42</v>
      </c>
      <c r="E23" s="7">
        <v>719</v>
      </c>
      <c r="F23" s="8">
        <v>13.6</v>
      </c>
      <c r="G23" s="9">
        <v>128888</v>
      </c>
      <c r="H23" s="9">
        <v>50582</v>
      </c>
      <c r="I23" s="2"/>
      <c r="J23" s="2"/>
    </row>
    <row r="24" spans="1:10">
      <c r="A24" s="2">
        <v>12</v>
      </c>
      <c r="B24" s="2" t="s">
        <v>42</v>
      </c>
      <c r="C24" s="2">
        <v>3</v>
      </c>
      <c r="D24" s="5">
        <v>3.44</v>
      </c>
      <c r="E24" s="7">
        <v>689</v>
      </c>
      <c r="F24" s="8">
        <v>26.5</v>
      </c>
      <c r="G24" s="9">
        <v>128666</v>
      </c>
      <c r="H24" s="9">
        <v>52152</v>
      </c>
      <c r="I24" s="2"/>
      <c r="J24" s="2"/>
    </row>
    <row r="25" spans="1:10">
      <c r="A25" s="2">
        <v>13</v>
      </c>
      <c r="B25" s="2" t="s">
        <v>43</v>
      </c>
      <c r="C25" s="2">
        <v>3</v>
      </c>
      <c r="D25" s="5">
        <v>3.4</v>
      </c>
      <c r="E25" s="7">
        <v>703</v>
      </c>
      <c r="F25" s="8">
        <v>32.2</v>
      </c>
      <c r="G25" s="9">
        <v>127817</v>
      </c>
      <c r="H25" s="9">
        <v>52944</v>
      </c>
      <c r="I25" s="2"/>
      <c r="J25" s="2"/>
    </row>
    <row r="26" spans="1:10">
      <c r="A26" s="2">
        <v>14</v>
      </c>
      <c r="B26" s="2" t="s">
        <v>44</v>
      </c>
      <c r="C26" s="2">
        <v>3</v>
      </c>
      <c r="D26" s="5">
        <v>3.4</v>
      </c>
      <c r="E26" s="7">
        <v>701</v>
      </c>
      <c r="F26" s="8">
        <v>24.6</v>
      </c>
      <c r="G26" s="9">
        <v>127595</v>
      </c>
      <c r="H26" s="9">
        <v>52000</v>
      </c>
      <c r="I26" s="2"/>
      <c r="J26" s="2"/>
    </row>
    <row r="27" spans="1:10">
      <c r="A27" s="2">
        <v>15</v>
      </c>
      <c r="B27" s="2" t="s">
        <v>45</v>
      </c>
      <c r="C27" s="2">
        <v>2</v>
      </c>
      <c r="D27" s="5">
        <v>3.5</v>
      </c>
      <c r="E27" s="7">
        <v>704</v>
      </c>
      <c r="F27" s="8">
        <v>28.6</v>
      </c>
      <c r="G27" s="9">
        <v>119109</v>
      </c>
      <c r="H27" s="9">
        <v>52580</v>
      </c>
      <c r="I27" s="2"/>
      <c r="J27" s="2"/>
    </row>
    <row r="28" spans="1:10">
      <c r="A28" s="2">
        <v>16</v>
      </c>
      <c r="B28" s="2" t="s">
        <v>46</v>
      </c>
      <c r="C28" s="2">
        <v>3</v>
      </c>
      <c r="D28" s="5">
        <v>3.29</v>
      </c>
      <c r="E28" s="7">
        <v>691</v>
      </c>
      <c r="F28" s="8">
        <v>27.1</v>
      </c>
      <c r="G28" s="9">
        <v>122329</v>
      </c>
      <c r="H28" s="9">
        <v>53200</v>
      </c>
      <c r="I28" s="2"/>
      <c r="J28" s="2"/>
    </row>
    <row r="29" spans="1:10">
      <c r="A29" s="2">
        <v>17</v>
      </c>
      <c r="B29" s="2" t="s">
        <v>47</v>
      </c>
      <c r="C29" s="2">
        <v>3</v>
      </c>
      <c r="D29" s="5">
        <v>3.43</v>
      </c>
      <c r="E29" s="7">
        <v>692</v>
      </c>
      <c r="F29" s="8">
        <v>25.3</v>
      </c>
      <c r="G29" s="9">
        <v>118410</v>
      </c>
      <c r="H29" s="9">
        <v>47836</v>
      </c>
      <c r="I29" s="2"/>
      <c r="J29" s="2"/>
    </row>
    <row r="30" spans="1:10">
      <c r="A30" s="2">
        <v>18</v>
      </c>
      <c r="B30" s="2" t="s">
        <v>48</v>
      </c>
      <c r="C30" s="2">
        <v>3</v>
      </c>
      <c r="D30" s="5">
        <v>3.35</v>
      </c>
      <c r="E30" s="7">
        <v>686</v>
      </c>
      <c r="F30" s="8">
        <v>23.9</v>
      </c>
      <c r="G30" s="9">
        <v>117650</v>
      </c>
      <c r="H30" s="9">
        <v>54800</v>
      </c>
      <c r="I30" s="2"/>
      <c r="J30" s="2"/>
    </row>
    <row r="31" spans="1:10">
      <c r="A31" s="2">
        <v>19</v>
      </c>
      <c r="B31" s="2" t="s">
        <v>49</v>
      </c>
      <c r="C31" s="2">
        <v>3</v>
      </c>
      <c r="D31" s="5">
        <v>3.3</v>
      </c>
      <c r="E31" s="7">
        <v>681</v>
      </c>
      <c r="F31" s="8">
        <v>35.1</v>
      </c>
      <c r="G31" s="9">
        <v>121050</v>
      </c>
      <c r="H31" s="9">
        <v>44098</v>
      </c>
      <c r="I31" s="2"/>
      <c r="J31" s="2"/>
    </row>
    <row r="32" spans="1:10">
      <c r="A32" s="2">
        <v>20</v>
      </c>
      <c r="B32" s="2" t="s">
        <v>50</v>
      </c>
      <c r="C32" s="2">
        <v>3</v>
      </c>
      <c r="D32" s="5">
        <v>3.31</v>
      </c>
      <c r="E32" s="7">
        <v>689</v>
      </c>
      <c r="F32" s="8">
        <v>37.7</v>
      </c>
      <c r="G32" s="9">
        <v>101904</v>
      </c>
      <c r="H32" s="9">
        <v>50613</v>
      </c>
      <c r="I32" s="2"/>
      <c r="J32" s="2"/>
    </row>
    <row r="33" spans="1:10">
      <c r="A33" s="2">
        <v>21</v>
      </c>
      <c r="B33" s="2" t="s">
        <v>51</v>
      </c>
      <c r="C33" s="2">
        <v>3</v>
      </c>
      <c r="D33" s="5">
        <v>3.3</v>
      </c>
      <c r="E33" s="7">
        <v>687</v>
      </c>
      <c r="F33" s="8">
        <v>27</v>
      </c>
      <c r="G33" s="9">
        <v>109619</v>
      </c>
      <c r="H33" s="9">
        <v>51784</v>
      </c>
      <c r="I33" s="2"/>
      <c r="J33" s="2"/>
    </row>
    <row r="34" spans="1:10">
      <c r="A34" s="2">
        <v>22</v>
      </c>
      <c r="B34" s="2" t="s">
        <v>52</v>
      </c>
      <c r="C34" s="2">
        <v>3</v>
      </c>
      <c r="D34" s="5">
        <v>3.32</v>
      </c>
      <c r="E34" s="7">
        <v>696</v>
      </c>
      <c r="F34" s="8">
        <v>28.1</v>
      </c>
      <c r="G34" s="9">
        <v>99354</v>
      </c>
      <c r="H34" s="9">
        <v>46975</v>
      </c>
      <c r="I34" s="2"/>
      <c r="J34" s="2"/>
    </row>
    <row r="35" spans="1:10">
      <c r="A35" s="2">
        <v>23</v>
      </c>
      <c r="B35" s="2" t="s">
        <v>53</v>
      </c>
      <c r="C35" s="2">
        <v>5</v>
      </c>
      <c r="D35" s="5">
        <v>3.32</v>
      </c>
      <c r="E35" s="7">
        <v>670</v>
      </c>
      <c r="F35" s="8">
        <v>38</v>
      </c>
      <c r="G35" s="9">
        <v>106195</v>
      </c>
      <c r="H35" s="9">
        <v>45351</v>
      </c>
      <c r="I35" s="2"/>
      <c r="J35" s="2"/>
    </row>
    <row r="36" spans="1:10">
      <c r="A36" s="2">
        <v>24</v>
      </c>
      <c r="B36" s="2" t="s">
        <v>54</v>
      </c>
      <c r="C36" s="2">
        <v>3</v>
      </c>
      <c r="D36" s="5">
        <v>3.31</v>
      </c>
      <c r="E36" s="7">
        <v>686</v>
      </c>
      <c r="F36" s="8">
        <v>49.1</v>
      </c>
      <c r="G36" s="9">
        <v>111721</v>
      </c>
      <c r="H36" s="9">
        <v>49265</v>
      </c>
      <c r="I36" s="2"/>
      <c r="J36" s="2"/>
    </row>
    <row r="37" spans="1:10">
      <c r="A37" s="2">
        <v>25</v>
      </c>
      <c r="B37" s="2" t="s">
        <v>55</v>
      </c>
      <c r="C37" s="2">
        <v>5</v>
      </c>
      <c r="D37" s="5">
        <v>3.4</v>
      </c>
      <c r="E37" s="7">
        <v>674</v>
      </c>
      <c r="F37" s="8">
        <v>26.7</v>
      </c>
      <c r="G37" s="9">
        <v>91696</v>
      </c>
      <c r="H37" s="9">
        <v>43800</v>
      </c>
      <c r="I37" s="2"/>
      <c r="J37" s="2"/>
    </row>
    <row r="38" spans="1:10">
      <c r="A38" s="2">
        <v>26</v>
      </c>
      <c r="B38" s="2" t="s">
        <v>56</v>
      </c>
      <c r="C38" s="2">
        <v>3</v>
      </c>
      <c r="D38" s="5">
        <v>3.4</v>
      </c>
      <c r="E38" s="7">
        <v>673</v>
      </c>
      <c r="F38" s="8">
        <v>25.2</v>
      </c>
      <c r="G38" s="9">
        <v>108175</v>
      </c>
      <c r="H38" s="9">
        <v>46482</v>
      </c>
      <c r="I38" s="2"/>
      <c r="J38" s="2"/>
    </row>
    <row r="39" spans="1:10">
      <c r="A39" s="2">
        <v>27</v>
      </c>
      <c r="B39" s="2" t="s">
        <v>57</v>
      </c>
      <c r="C39" s="2">
        <v>3</v>
      </c>
      <c r="D39" s="5">
        <v>3.33</v>
      </c>
      <c r="E39" s="7">
        <v>692</v>
      </c>
      <c r="F39" s="8">
        <v>36.8</v>
      </c>
      <c r="G39" s="9">
        <v>104763</v>
      </c>
      <c r="H39" s="9">
        <v>42520</v>
      </c>
      <c r="I39" s="2"/>
      <c r="J39" s="2"/>
    </row>
    <row r="40" spans="1:10">
      <c r="A40" s="2">
        <v>28</v>
      </c>
      <c r="B40" s="2" t="s">
        <v>58</v>
      </c>
      <c r="C40" s="2">
        <v>5</v>
      </c>
      <c r="D40" s="5">
        <v>3.33</v>
      </c>
      <c r="E40" s="7">
        <v>680</v>
      </c>
      <c r="F40" s="8">
        <v>30.3</v>
      </c>
      <c r="G40" s="9">
        <v>105333</v>
      </c>
      <c r="H40" s="9">
        <v>26757</v>
      </c>
      <c r="I40" s="2"/>
      <c r="J40" s="2"/>
    </row>
    <row r="41" spans="1:10">
      <c r="A41" s="2">
        <v>29</v>
      </c>
      <c r="B41" s="2" t="s">
        <v>59</v>
      </c>
      <c r="C41" s="2">
        <v>3</v>
      </c>
      <c r="D41" s="5">
        <v>3.4</v>
      </c>
      <c r="E41" s="7">
        <v>695</v>
      </c>
      <c r="F41" s="8">
        <v>29</v>
      </c>
      <c r="G41" s="9">
        <v>102694</v>
      </c>
      <c r="H41" s="9">
        <v>44300</v>
      </c>
      <c r="I41" s="2"/>
      <c r="J41" s="2"/>
    </row>
    <row r="42" spans="1:10">
      <c r="A42" s="2">
        <v>30</v>
      </c>
      <c r="B42" s="2" t="s">
        <v>60</v>
      </c>
      <c r="C42" s="2">
        <v>5</v>
      </c>
      <c r="D42" s="5">
        <v>3.36</v>
      </c>
      <c r="E42" s="7">
        <v>674</v>
      </c>
      <c r="F42" s="8">
        <v>32.2</v>
      </c>
      <c r="G42" s="9">
        <v>95255</v>
      </c>
      <c r="H42" s="9">
        <v>37345</v>
      </c>
      <c r="I42" s="2"/>
      <c r="J42" s="2"/>
    </row>
    <row r="43" spans="1:10">
      <c r="A43" s="2">
        <v>31</v>
      </c>
      <c r="B43" s="2" t="s">
        <v>61</v>
      </c>
      <c r="C43" s="2">
        <v>3</v>
      </c>
      <c r="D43" s="5">
        <v>3.3</v>
      </c>
      <c r="E43" s="7">
        <v>686</v>
      </c>
      <c r="F43" s="8">
        <v>40.9</v>
      </c>
      <c r="G43" s="9">
        <v>110349</v>
      </c>
      <c r="H43" s="9">
        <v>48566</v>
      </c>
      <c r="I43" s="2"/>
      <c r="J43" s="2"/>
    </row>
    <row r="44" spans="1:10">
      <c r="A44" s="2">
        <v>32</v>
      </c>
      <c r="B44" s="2" t="s">
        <v>62</v>
      </c>
      <c r="C44" s="2">
        <v>5</v>
      </c>
      <c r="D44" s="5">
        <v>3.31</v>
      </c>
      <c r="E44" s="7">
        <v>674</v>
      </c>
      <c r="F44" s="8">
        <v>26</v>
      </c>
      <c r="G44" s="9">
        <v>97376</v>
      </c>
      <c r="H44" s="9">
        <v>38616</v>
      </c>
      <c r="I44" s="2"/>
      <c r="J44" s="2"/>
    </row>
    <row r="45" spans="1:10">
      <c r="A45" s="2">
        <v>33</v>
      </c>
      <c r="B45" s="2" t="s">
        <v>63</v>
      </c>
      <c r="C45" s="2">
        <v>1</v>
      </c>
      <c r="D45" s="5">
        <v>3.5</v>
      </c>
      <c r="E45" s="7">
        <v>647</v>
      </c>
      <c r="F45" s="8">
        <v>27.4</v>
      </c>
      <c r="G45" s="9">
        <v>97279</v>
      </c>
      <c r="H45" s="9">
        <v>32927</v>
      </c>
      <c r="I45" s="2"/>
      <c r="J45" s="2"/>
    </row>
    <row r="46" spans="1:10">
      <c r="A46" s="2">
        <v>34</v>
      </c>
      <c r="B46" s="2" t="s">
        <v>64</v>
      </c>
      <c r="C46" s="2">
        <v>1</v>
      </c>
      <c r="D46" s="5">
        <v>3.55</v>
      </c>
      <c r="E46" s="7">
        <v>670</v>
      </c>
      <c r="F46" s="8">
        <v>52.4</v>
      </c>
      <c r="G46" s="9">
        <v>103369</v>
      </c>
      <c r="H46" s="9">
        <v>10600</v>
      </c>
      <c r="I46" s="2"/>
      <c r="J46" s="2"/>
    </row>
    <row r="47" spans="1:10">
      <c r="A47" s="2">
        <v>35</v>
      </c>
      <c r="B47" s="2" t="s">
        <v>65</v>
      </c>
      <c r="C47" s="2">
        <v>5</v>
      </c>
      <c r="D47" s="5">
        <v>3.4</v>
      </c>
      <c r="E47" s="7">
        <v>675</v>
      </c>
      <c r="F47" s="8">
        <v>43.5</v>
      </c>
      <c r="G47" s="9">
        <v>97970</v>
      </c>
      <c r="H47" s="9">
        <v>39219</v>
      </c>
      <c r="I47" s="2"/>
      <c r="J47" s="2"/>
    </row>
    <row r="48" spans="1:10">
      <c r="A48" s="2">
        <v>36</v>
      </c>
      <c r="B48" s="2" t="s">
        <v>66</v>
      </c>
      <c r="C48" s="2">
        <v>3</v>
      </c>
      <c r="D48" s="5">
        <v>3.37</v>
      </c>
      <c r="E48" s="7">
        <v>690</v>
      </c>
      <c r="F48" s="8">
        <v>24.4</v>
      </c>
      <c r="G48" s="9">
        <v>96758</v>
      </c>
      <c r="H48" s="9">
        <v>47526</v>
      </c>
      <c r="I48" s="2"/>
      <c r="J48" s="2"/>
    </row>
    <row r="49" spans="1:10">
      <c r="A49" s="2">
        <v>37</v>
      </c>
      <c r="B49" s="2" t="s">
        <v>67</v>
      </c>
      <c r="C49" s="2">
        <v>5</v>
      </c>
      <c r="D49" s="5">
        <v>3.39</v>
      </c>
      <c r="E49" s="7">
        <v>656</v>
      </c>
      <c r="F49" s="8">
        <v>30.7</v>
      </c>
      <c r="G49" s="9">
        <v>98283</v>
      </c>
      <c r="H49" s="9">
        <v>37110</v>
      </c>
      <c r="I49" s="2"/>
      <c r="J49" s="2"/>
    </row>
    <row r="50" spans="1:10">
      <c r="A50" s="2">
        <v>38</v>
      </c>
      <c r="B50" s="2" t="s">
        <v>68</v>
      </c>
      <c r="C50" s="2">
        <v>5</v>
      </c>
      <c r="D50" s="5">
        <v>3.32</v>
      </c>
      <c r="E50" s="7">
        <v>684</v>
      </c>
      <c r="F50" s="8">
        <v>30.4</v>
      </c>
      <c r="G50" s="9">
        <v>94434</v>
      </c>
      <c r="H50" s="9">
        <v>41366</v>
      </c>
      <c r="I50" s="2"/>
      <c r="J50" s="2"/>
    </row>
    <row r="51" spans="1:10">
      <c r="A51" s="2">
        <v>39</v>
      </c>
      <c r="B51" s="2" t="s">
        <v>69</v>
      </c>
      <c r="C51" s="2">
        <v>5</v>
      </c>
      <c r="D51" s="5">
        <v>3.4</v>
      </c>
      <c r="E51" s="7">
        <v>650</v>
      </c>
      <c r="F51" s="8">
        <v>28.1</v>
      </c>
      <c r="G51" s="9">
        <v>85916</v>
      </c>
      <c r="H51" s="9">
        <v>33457</v>
      </c>
      <c r="I51" s="2"/>
      <c r="J51" s="2"/>
    </row>
    <row r="52" spans="1:10">
      <c r="A52" s="2">
        <v>40</v>
      </c>
      <c r="B52" s="2" t="s">
        <v>70</v>
      </c>
      <c r="C52" s="2">
        <v>5</v>
      </c>
      <c r="D52" s="5">
        <v>3.46</v>
      </c>
      <c r="E52" s="7">
        <v>675</v>
      </c>
      <c r="F52" s="8">
        <v>36.1</v>
      </c>
      <c r="G52" s="9">
        <v>81117</v>
      </c>
      <c r="H52" s="9">
        <v>46887</v>
      </c>
      <c r="I52" s="2"/>
      <c r="J52" s="2"/>
    </row>
    <row r="53" spans="1:10">
      <c r="A53" s="2">
        <v>41</v>
      </c>
      <c r="B53" s="2" t="s">
        <v>71</v>
      </c>
      <c r="C53" s="2">
        <v>1</v>
      </c>
      <c r="D53" s="5">
        <v>3.54</v>
      </c>
      <c r="E53" s="7">
        <v>662</v>
      </c>
      <c r="F53" s="8">
        <v>25.8</v>
      </c>
      <c r="G53" s="9">
        <v>76272</v>
      </c>
      <c r="H53" s="9">
        <v>25447</v>
      </c>
      <c r="I53" s="2"/>
      <c r="J53" s="2"/>
    </row>
    <row r="54" spans="1:10">
      <c r="A54" s="2">
        <v>42</v>
      </c>
      <c r="B54" s="2" t="s">
        <v>72</v>
      </c>
      <c r="C54" s="2">
        <v>5</v>
      </c>
      <c r="D54" s="5">
        <v>3.32</v>
      </c>
      <c r="E54" s="7">
        <v>635</v>
      </c>
      <c r="F54" s="8">
        <v>34.9</v>
      </c>
      <c r="G54" s="9">
        <v>89720</v>
      </c>
      <c r="H54" s="9">
        <v>41271</v>
      </c>
      <c r="I54" s="2"/>
      <c r="J54" s="2"/>
    </row>
    <row r="55" spans="1:10">
      <c r="A55" s="2">
        <v>43</v>
      </c>
      <c r="B55" s="2" t="s">
        <v>73</v>
      </c>
      <c r="C55" s="2">
        <v>4</v>
      </c>
      <c r="D55" s="5">
        <v>3.3</v>
      </c>
      <c r="E55" s="7">
        <v>670</v>
      </c>
      <c r="F55" s="8">
        <v>56.7</v>
      </c>
      <c r="G55" s="9">
        <v>76398</v>
      </c>
      <c r="H55" s="9">
        <v>49936</v>
      </c>
      <c r="I55" s="2"/>
      <c r="J55" s="2"/>
    </row>
    <row r="56" spans="1:10">
      <c r="A56" s="2">
        <v>44</v>
      </c>
      <c r="B56" s="2" t="s">
        <v>74</v>
      </c>
      <c r="C56" s="2">
        <v>5</v>
      </c>
      <c r="D56" s="5">
        <v>3.24</v>
      </c>
      <c r="E56" s="7">
        <v>638</v>
      </c>
      <c r="F56" s="8">
        <v>36.2</v>
      </c>
      <c r="G56" s="9">
        <v>94826</v>
      </c>
      <c r="H56" s="9">
        <v>39535</v>
      </c>
      <c r="I56" s="2"/>
      <c r="J56" s="2"/>
    </row>
    <row r="57" spans="1:10">
      <c r="A57" s="2">
        <v>45</v>
      </c>
      <c r="B57" s="2" t="s">
        <v>75</v>
      </c>
      <c r="C57" s="2">
        <v>5</v>
      </c>
      <c r="D57" s="5">
        <v>3.35</v>
      </c>
      <c r="E57" s="7">
        <v>650</v>
      </c>
      <c r="F57" s="8">
        <v>31.6</v>
      </c>
      <c r="G57" s="9">
        <v>93156</v>
      </c>
      <c r="H57" s="9">
        <v>35100</v>
      </c>
      <c r="I57" s="2"/>
      <c r="J57" s="2"/>
    </row>
    <row r="58" spans="1:10">
      <c r="A58" s="2">
        <v>46</v>
      </c>
      <c r="B58" s="2" t="s">
        <v>76</v>
      </c>
      <c r="C58" s="2">
        <v>1</v>
      </c>
      <c r="D58" s="5">
        <v>3.51</v>
      </c>
      <c r="E58" s="7">
        <v>678</v>
      </c>
      <c r="F58" s="8">
        <v>24</v>
      </c>
      <c r="G58" s="9">
        <v>78522</v>
      </c>
      <c r="H58" s="9">
        <v>30347</v>
      </c>
      <c r="I58" s="2"/>
      <c r="J58" s="2"/>
    </row>
    <row r="59" spans="1:10">
      <c r="A59" s="2">
        <v>47</v>
      </c>
      <c r="B59" s="2" t="s">
        <v>77</v>
      </c>
      <c r="C59" s="2">
        <v>5</v>
      </c>
      <c r="D59" s="5">
        <v>3.31</v>
      </c>
      <c r="E59" s="7">
        <v>661</v>
      </c>
      <c r="F59" s="8">
        <v>41.4</v>
      </c>
      <c r="G59" s="9">
        <v>99694</v>
      </c>
      <c r="H59" s="9">
        <v>47448</v>
      </c>
      <c r="I59" s="2"/>
      <c r="J59" s="2"/>
    </row>
    <row r="60" spans="1:10">
      <c r="A60" s="2">
        <v>48</v>
      </c>
      <c r="B60" s="2" t="s">
        <v>78</v>
      </c>
      <c r="C60" s="2">
        <v>5</v>
      </c>
      <c r="D60" s="5">
        <v>3.2</v>
      </c>
      <c r="E60" s="7">
        <v>651</v>
      </c>
      <c r="F60" s="8">
        <v>41.2</v>
      </c>
      <c r="G60" s="9">
        <v>91504</v>
      </c>
      <c r="H60" s="9">
        <v>39614</v>
      </c>
      <c r="I60" s="2"/>
      <c r="J60" s="2"/>
    </row>
    <row r="61" spans="1:10">
      <c r="A61" s="2">
        <v>49</v>
      </c>
      <c r="B61" s="2" t="s">
        <v>79</v>
      </c>
      <c r="C61" s="2">
        <v>5</v>
      </c>
      <c r="D61" s="5">
        <v>3.32</v>
      </c>
      <c r="E61" s="7">
        <v>663</v>
      </c>
      <c r="F61" s="8">
        <v>32.1</v>
      </c>
      <c r="G61" s="9">
        <v>79149</v>
      </c>
      <c r="H61" s="9">
        <v>45918</v>
      </c>
      <c r="I61" s="2"/>
      <c r="J61" s="2"/>
    </row>
    <row r="62" spans="1:10">
      <c r="A62" s="2">
        <v>50</v>
      </c>
      <c r="B62" s="2" t="s">
        <v>80</v>
      </c>
      <c r="C62" s="2">
        <v>5</v>
      </c>
      <c r="D62" s="5">
        <v>3.38</v>
      </c>
      <c r="E62" s="7">
        <v>666</v>
      </c>
      <c r="F62" s="8">
        <v>37.3</v>
      </c>
      <c r="G62" s="9">
        <v>94003</v>
      </c>
      <c r="H62" s="9">
        <v>34762</v>
      </c>
      <c r="I62" s="2"/>
      <c r="J62" s="2"/>
    </row>
    <row r="63" spans="1:10">
      <c r="A63" s="2">
        <v>51</v>
      </c>
      <c r="B63" s="2" t="s">
        <v>81</v>
      </c>
      <c r="C63" s="2">
        <v>1</v>
      </c>
      <c r="D63" s="5">
        <v>3.5</v>
      </c>
      <c r="E63" s="7">
        <v>649</v>
      </c>
      <c r="F63" s="8">
        <v>45</v>
      </c>
      <c r="G63" s="9">
        <v>62745</v>
      </c>
      <c r="H63" s="9">
        <v>27011</v>
      </c>
      <c r="I63" s="2"/>
      <c r="J63" s="2"/>
    </row>
    <row r="64" spans="1:10">
      <c r="A64" s="2">
        <v>52</v>
      </c>
      <c r="B64" s="2" t="s">
        <v>82</v>
      </c>
      <c r="C64" s="2">
        <v>4</v>
      </c>
      <c r="D64" s="5">
        <v>3.4</v>
      </c>
      <c r="E64" s="7">
        <v>633</v>
      </c>
      <c r="F64" s="8">
        <v>69.7</v>
      </c>
      <c r="G64" s="9">
        <v>81152</v>
      </c>
      <c r="H64" s="9">
        <v>43820</v>
      </c>
      <c r="I64" s="2"/>
      <c r="J64" s="2"/>
    </row>
    <row r="65" spans="1:10">
      <c r="A65" s="2">
        <v>53</v>
      </c>
      <c r="B65" s="2" t="s">
        <v>83</v>
      </c>
      <c r="C65" s="2">
        <v>1</v>
      </c>
      <c r="D65" s="5">
        <v>3.46</v>
      </c>
      <c r="E65" s="7">
        <v>631</v>
      </c>
      <c r="F65" s="8">
        <v>32.6</v>
      </c>
      <c r="G65" s="9">
        <v>83457</v>
      </c>
      <c r="H65" s="9">
        <v>35714</v>
      </c>
      <c r="I65" s="2"/>
      <c r="J65" s="2"/>
    </row>
    <row r="66" spans="1:10">
      <c r="A66" s="2">
        <v>54</v>
      </c>
      <c r="B66" s="2" t="s">
        <v>84</v>
      </c>
      <c r="C66" s="2">
        <v>5</v>
      </c>
      <c r="D66" s="5">
        <v>3.25</v>
      </c>
      <c r="E66" s="7">
        <v>641</v>
      </c>
      <c r="F66" s="8">
        <v>37</v>
      </c>
      <c r="G66" s="9">
        <v>88693</v>
      </c>
      <c r="H66" s="9">
        <v>45808</v>
      </c>
      <c r="I66" s="2"/>
      <c r="J66" s="2"/>
    </row>
    <row r="67" spans="1:10">
      <c r="A67" s="2"/>
      <c r="B67" s="2"/>
      <c r="C67" s="2"/>
      <c r="D67" s="2"/>
      <c r="E67" s="2"/>
      <c r="F67" s="2"/>
      <c r="G67" s="2"/>
      <c r="H67" s="2"/>
      <c r="I67" s="2"/>
      <c r="J67" s="2"/>
    </row>
    <row r="68" spans="1:10">
      <c r="A68" s="2"/>
      <c r="B68" s="2"/>
      <c r="C68" s="2"/>
      <c r="D68" s="2"/>
      <c r="E68" s="2"/>
      <c r="F68" s="2"/>
      <c r="G68" s="2"/>
      <c r="H68" s="2"/>
      <c r="I68" s="2"/>
      <c r="J68" s="2"/>
    </row>
    <row r="69" spans="1:10">
      <c r="A69" s="6" t="s">
        <v>116</v>
      </c>
      <c r="B69" s="6"/>
      <c r="C69" s="6"/>
      <c r="D69" s="6"/>
      <c r="E69" s="6"/>
      <c r="F69" s="6"/>
      <c r="G69" s="6"/>
      <c r="H69" s="6"/>
      <c r="I69" s="2"/>
      <c r="J69" s="2"/>
    </row>
    <row r="70" spans="1:10">
      <c r="A70" s="10" t="s">
        <v>117</v>
      </c>
      <c r="B70" s="10"/>
      <c r="C70" s="10"/>
      <c r="D70" s="10"/>
      <c r="E70" s="10"/>
      <c r="F70" s="10"/>
      <c r="G70" s="10"/>
      <c r="H70" s="10"/>
      <c r="I70" s="2"/>
      <c r="J70" s="2"/>
    </row>
    <row r="71" spans="1:10">
      <c r="A71" s="10"/>
      <c r="B71" s="10"/>
      <c r="C71" s="10"/>
      <c r="D71" s="10"/>
      <c r="E71" s="10"/>
      <c r="F71" s="10"/>
      <c r="G71" s="10"/>
      <c r="H71" s="10"/>
      <c r="I71" s="2"/>
      <c r="J71" s="2"/>
    </row>
    <row r="72" spans="1:10">
      <c r="A72" s="10"/>
      <c r="B72" s="10"/>
      <c r="C72" s="10"/>
      <c r="D72" s="10"/>
      <c r="E72" s="10"/>
      <c r="F72" s="10"/>
      <c r="G72" s="10"/>
      <c r="H72" s="10"/>
      <c r="I72" s="2"/>
      <c r="J72" s="2"/>
    </row>
    <row r="73" spans="1:10">
      <c r="A73" s="10"/>
      <c r="B73" s="10"/>
      <c r="C73" s="10"/>
      <c r="D73" s="10"/>
      <c r="E73" s="10"/>
      <c r="F73" s="10"/>
      <c r="G73" s="10"/>
      <c r="H73" s="10"/>
      <c r="I73" s="2"/>
      <c r="J73" s="2"/>
    </row>
    <row r="74" spans="1:10">
      <c r="A74" s="10"/>
      <c r="B74" s="10"/>
      <c r="C74" s="10"/>
      <c r="D74" s="10"/>
      <c r="E74" s="10"/>
      <c r="F74" s="10"/>
      <c r="G74" s="10"/>
      <c r="H74" s="10"/>
      <c r="I74" s="2"/>
      <c r="J74" s="2"/>
    </row>
    <row r="75" spans="1:10">
      <c r="A75" s="10"/>
      <c r="B75" s="10"/>
      <c r="C75" s="10"/>
      <c r="D75" s="10"/>
      <c r="E75" s="10"/>
      <c r="F75" s="10"/>
      <c r="G75" s="10"/>
      <c r="H75" s="10"/>
      <c r="I75" s="2"/>
      <c r="J75" s="2"/>
    </row>
    <row r="76" spans="1:10">
      <c r="A76" s="10"/>
      <c r="B76" s="10"/>
      <c r="C76" s="10"/>
      <c r="D76" s="10"/>
      <c r="E76" s="10"/>
      <c r="F76" s="10"/>
      <c r="G76" s="10"/>
      <c r="H76" s="10"/>
      <c r="I76" s="2"/>
      <c r="J76" s="2"/>
    </row>
  </sheetData>
  <mergeCells count="4">
    <mergeCell ref="A1:H1"/>
    <mergeCell ref="A11:H11"/>
    <mergeCell ref="A69:H69"/>
    <mergeCell ref="A70:H76"/>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5</vt:i4>
      </vt:variant>
    </vt:vector>
  </HeadingPairs>
  <TitlesOfParts>
    <vt:vector size="5" baseType="lpstr">
      <vt:lpstr>Project Overview</vt:lpstr>
      <vt:lpstr>Raw Data</vt:lpstr>
      <vt:lpstr>Standardized Data</vt:lpstr>
      <vt:lpstr>K-Means Analysis</vt:lpstr>
      <vt:lpstr>Cluster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2026-09-24T17:57:22Z</dcterms:created>
  <dcterms:modified xsi:type="dcterms:W3CDTF">2026-09-24T18:04:08Z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1033-6.14.0.8924</vt:lpwstr>
  </property>
  <property fmtid="{D5CDD505-2E9C-101B-9397-08002B2CF9AE}" pid="3" name="ICV">
    <vt:lpwstr>8ACB7C7E2D8B889798F5B46AB40B261A_42</vt:lpwstr>
  </property>
</Properties>
</file>