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Project Overview" sheetId="1" r:id="rId1"/>
    <sheet name="Raw Data" sheetId="2" r:id="rId2"/>
    <sheet name="Correlation Analysi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<sst xmlns="http://schemas.openxmlformats.org/spreadsheetml/2006/main" count="106" uniqueCount="79">
  <si>
    <t>MGT 209 Exercise — Weather and Product Sales Correlation</t>
  </si>
  <si>
    <t>Project Background</t>
  </si>
  <si>
    <t>This Session 2 in-class correlation exercise was from MGT 209: Marketing Management (Winter 2023), MBA. The course case describes a grocery store in Bloomington, Indiana that wants to understand whether average daily temperature is associated with sales of ice cream and soft drinks. The dataset records daily temperature (°F) and store-level unit sales for each day in June 2015. The analytical objective is association, not causal inference.</t>
  </si>
  <si>
    <t>Project Question</t>
  </si>
  <si>
    <t>Are daily ice cream sales and soft drink sales correlated with daily temperature in this June 2015 store sample?</t>
  </si>
  <si>
    <t>Workflow</t>
  </si>
  <si>
    <t>Step</t>
  </si>
  <si>
    <t>Description</t>
  </si>
  <si>
    <t/>
  </si>
  <si>
    <t>1</t>
  </si>
  <si>
    <t>Preserve and inspect the 30 daily observations in the original course dataset.</t>
  </si>
  <si>
    <t>2</t>
  </si>
  <si>
    <t>Summarize temperature, ice cream sales, and soft drink sales using descriptive statistics.</t>
  </si>
  <si>
    <t>3</t>
  </si>
  <si>
    <t>Calculate Pearson correlation coefficients (r) for the three pairs of continuous variables.</t>
  </si>
  <si>
    <t>4</t>
  </si>
  <si>
    <t>Visualize temperature against each sales variable using scatter plots.</t>
  </si>
  <si>
    <t>5</t>
  </si>
  <si>
    <t>Interpret direction and strength of association while avoiding causal claims.</t>
  </si>
  <si>
    <t>Source / Provenance</t>
  </si>
  <si>
    <t xml:space="preserve">Course-provided instructional dataset: WeatherVersusSoftDrinksandIceCreamSales.csv, used in MGT 209 Session 2 (“Marketing Metrics and Consumer Demand Drivers”), UC Riverside, Winter 2023. </t>
  </si>
  <si>
    <t>Original Raw Data — June 2015</t>
  </si>
  <si>
    <t>Date</t>
  </si>
  <si>
    <t>Temperature</t>
  </si>
  <si>
    <t>IceCreamSales</t>
  </si>
  <si>
    <t>SoftDrinkSales</t>
  </si>
  <si>
    <t>Monday, June 1, 2015</t>
  </si>
  <si>
    <t>Tuesday, June 2, 2015</t>
  </si>
  <si>
    <t>Wednesday, June 3, 2015</t>
  </si>
  <si>
    <t>Thursday, June 4, 2015</t>
  </si>
  <si>
    <t>Friday, June 5, 2015</t>
  </si>
  <si>
    <t>Saturday, June 6, 2015</t>
  </si>
  <si>
    <t>Sunday, June 7, 2015</t>
  </si>
  <si>
    <t>Monday, June 8, 2015</t>
  </si>
  <si>
    <t>Tuesday, June 9, 2015</t>
  </si>
  <si>
    <t>Wednesday, June 10, 2015</t>
  </si>
  <si>
    <t>Thursday, June 11, 2015</t>
  </si>
  <si>
    <t>Friday, June 12, 2015</t>
  </si>
  <si>
    <t>Saturday, June 13, 2015</t>
  </si>
  <si>
    <t>Sunday, June 14, 2015</t>
  </si>
  <si>
    <t>Monday, June 15, 2015</t>
  </si>
  <si>
    <t>Tuesday, June 16, 2015</t>
  </si>
  <si>
    <t>Wednesday, June 17, 2015</t>
  </si>
  <si>
    <t>Thursday, June 18, 2015</t>
  </si>
  <si>
    <t>Friday, June 19, 2015</t>
  </si>
  <si>
    <t>Saturday, June 20, 2015</t>
  </si>
  <si>
    <t>Sunday, June 21, 2015</t>
  </si>
  <si>
    <t>Monday, June 22, 2015</t>
  </si>
  <si>
    <t>Tuesday, June 23, 2015</t>
  </si>
  <si>
    <t>Wednesday, June 24, 2015</t>
  </si>
  <si>
    <t>Thursday, June 25, 2015</t>
  </si>
  <si>
    <t>Friday, June 26, 2015</t>
  </si>
  <si>
    <t>Saturday, June 27, 2015</t>
  </si>
  <si>
    <t>Sunday, June 28, 2015</t>
  </si>
  <si>
    <t>Monday, June 29, 2015</t>
  </si>
  <si>
    <t>Tuesday, June 30, 2015</t>
  </si>
  <si>
    <t>Pearson Correlation Analysis</t>
  </si>
  <si>
    <t>Descriptive Statistics</t>
  </si>
  <si>
    <t>Variable</t>
  </si>
  <si>
    <t>N</t>
  </si>
  <si>
    <t>Mean</t>
  </si>
  <si>
    <t>Std. Dev.</t>
  </si>
  <si>
    <t>Range</t>
  </si>
  <si>
    <t>Temperature (°F)</t>
  </si>
  <si>
    <t>Ice Cream Sales (units)</t>
  </si>
  <si>
    <t>Soft Drink Sales (units)</t>
  </si>
  <si>
    <t>Correlation Results</t>
  </si>
  <si>
    <t>Variable 1</t>
  </si>
  <si>
    <t>Variable 2</t>
  </si>
  <si>
    <t>Pearson r</t>
  </si>
  <si>
    <t>Direction</t>
  </si>
  <si>
    <t>Strength</t>
  </si>
  <si>
    <t>Two-sided p-value</t>
  </si>
  <si>
    <t>Ice Cream Sales</t>
  </si>
  <si>
    <t>Soft Drink Sales</t>
  </si>
  <si>
    <t>Final Interpretation</t>
  </si>
  <si>
    <t>Temperature and ice cream sales show a positive, moderate Pearson correlation (r ≈ 0.377; two-sided p ≈ 0.040). Within these 30 June 2015 observations, warmer days tended to coincide with higher ice cream unit sales, although the relationship is not strong. Temperature and soft drink sales show almost no linear association (r ≈ 0.061; p ≈ 0.750). Ice cream and soft drink sales are also essentially uncorrelated (r ≈ 0.008; p ≈ 0.967). The exercise supports an association between temperature and ice cream sales in this sample, but it does not establish causality. The small sample, single month, and single-store instructional setting limit generalization.</t>
  </si>
  <si>
    <t>Method Note</t>
  </si>
  <si>
    <t>Pearson's r measures the direction and strength of a linear association between two continuous variables. Correlation coefficients are calculated directly from the Raw Data sheet with Excel CORREL formulas. Two-sided p-values are included as a supplemental significance check (α = 0.05); the course exercise itself focuses on correlation.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</si>
</sst>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s>
  <fonts count="26">
    <font>
      <sz val="11"/>
      <name val="Carlito"/>
      <charset val="134"/>
    </font>
    <font>
      <b/>
      <sz val="16"/>
      <color rgb="FFFFFFFF"/>
      <name val="Arial"/>
      <charset val="134"/>
    </font>
    <font>
      <sz val="11"/>
      <name val="Arial"/>
      <charset val="134"/>
    </font>
    <font>
      <b/>
      <sz val="11"/>
      <color rgb="FF17365D"/>
      <name val="Arial"/>
      <charset val="134"/>
    </font>
    <font>
      <b/>
      <sz val="11"/>
      <color rgb="FFFFFFFF"/>
      <name val="Arial"/>
      <charset val="134"/>
    </font>
    <font>
      <sz val="11"/>
      <color rgb="FF40404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5B9BD5"/>
        <bgColor indexed="64"/>
      </patternFill>
    </fill>
    <fill>
      <patternFill patternType="solid">
        <fgColor rgb="FFF3F6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7" borderId="4" applyNumberFormat="0" applyAlignment="0" applyProtection="0">
      <alignment vertical="center"/>
    </xf>
    <xf numFmtId="0" fontId="16" fillId="8" borderId="5" applyNumberFormat="0" applyAlignment="0" applyProtection="0">
      <alignment vertical="center"/>
    </xf>
    <xf numFmtId="0" fontId="17" fillId="8" borderId="4" applyNumberFormat="0" applyAlignment="0" applyProtection="0">
      <alignment vertical="center"/>
    </xf>
    <xf numFmtId="0" fontId="18" fillId="9"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0">
    <xf numFmtId="0" fontId="0" fillId="0" borderId="0" xfId="0"/>
    <xf numFmtId="0" fontId="1" fillId="2" borderId="0" xfId="0" applyNumberFormat="1" applyFont="1" applyFill="1" applyBorder="1" applyAlignment="1">
      <alignment vertical="center"/>
    </xf>
    <xf numFmtId="0" fontId="2" fillId="0" borderId="0" xfId="0" applyNumberFormat="1" applyFont="1" applyFill="1" applyBorder="1"/>
    <xf numFmtId="0" fontId="3" fillId="3" borderId="0" xfId="0" applyNumberFormat="1" applyFont="1" applyFill="1" applyBorder="1" applyAlignment="1">
      <alignment vertical="center"/>
    </xf>
    <xf numFmtId="0" fontId="4" fillId="4" borderId="0" xfId="0" applyNumberFormat="1" applyFont="1" applyFill="1" applyBorder="1" applyAlignment="1">
      <alignment horizontal="center" vertical="center"/>
    </xf>
    <xf numFmtId="2" fontId="2" fillId="0" borderId="0" xfId="0" applyNumberFormat="1" applyFont="1" applyFill="1" applyBorder="1"/>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wrapText="1"/>
    </xf>
    <xf numFmtId="178" fontId="2" fillId="0" borderId="0" xfId="0" applyNumberFormat="1" applyFont="1" applyFill="1" applyBorder="1" applyAlignment="1">
      <alignment wrapText="1"/>
    </xf>
    <xf numFmtId="0" fontId="5" fillId="5"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Temperature vs. Ice Cream Sales</a:t>
            </a:r>
          </a:p>
        </c:rich>
      </c:tx>
      <c:layout/>
      <c:overlay val="0"/>
    </c:title>
    <c:autoTitleDeleted val="0"/>
    <c:plotArea>
      <c:layout/>
      <c:scatterChart>
        <c:scatterStyle val="lineMarker"/>
        <c:varyColors val="0"/>
        <c:ser>
          <c:idx val="0"/>
          <c:order val="0"/>
          <c:tx>
            <c:strRef>
              <c:f>"IceCreamSales"</c:f>
              <c:strCache>
                <c:ptCount val="1"/>
                <c:pt idx="0">
                  <c:v>IceCreamSales</c:v>
                </c:pt>
              </c:strCache>
            </c:strRef>
          </c:tx>
          <c:dLbls>
            <c:delete val="1"/>
          </c:dLbls>
          <c:yVal>
            <c:numRef>
              <c:f>'Raw Data'!$C$4:$C$33</c:f>
              <c:numCache>
                <c:formatCode>General</c:formatCode>
                <c:ptCount val="30"/>
                <c:pt idx="0">
                  <c:v>600</c:v>
                </c:pt>
                <c:pt idx="1">
                  <c:v>880</c:v>
                </c:pt>
                <c:pt idx="2">
                  <c:v>675</c:v>
                </c:pt>
                <c:pt idx="3">
                  <c:v>375</c:v>
                </c:pt>
                <c:pt idx="4">
                  <c:v>653</c:v>
                </c:pt>
                <c:pt idx="5">
                  <c:v>857</c:v>
                </c:pt>
                <c:pt idx="6">
                  <c:v>574</c:v>
                </c:pt>
                <c:pt idx="7">
                  <c:v>705</c:v>
                </c:pt>
                <c:pt idx="8">
                  <c:v>903</c:v>
                </c:pt>
                <c:pt idx="9">
                  <c:v>1176</c:v>
                </c:pt>
                <c:pt idx="10">
                  <c:v>789</c:v>
                </c:pt>
                <c:pt idx="11">
                  <c:v>1189</c:v>
                </c:pt>
                <c:pt idx="12">
                  <c:v>515</c:v>
                </c:pt>
                <c:pt idx="13">
                  <c:v>1153</c:v>
                </c:pt>
                <c:pt idx="14">
                  <c:v>1188</c:v>
                </c:pt>
                <c:pt idx="15">
                  <c:v>930</c:v>
                </c:pt>
                <c:pt idx="16">
                  <c:v>1112</c:v>
                </c:pt>
                <c:pt idx="17">
                  <c:v>898</c:v>
                </c:pt>
                <c:pt idx="18">
                  <c:v>1251</c:v>
                </c:pt>
                <c:pt idx="19">
                  <c:v>1114</c:v>
                </c:pt>
                <c:pt idx="20">
                  <c:v>1047</c:v>
                </c:pt>
                <c:pt idx="21">
                  <c:v>798</c:v>
                </c:pt>
                <c:pt idx="22">
                  <c:v>905</c:v>
                </c:pt>
                <c:pt idx="23">
                  <c:v>827</c:v>
                </c:pt>
                <c:pt idx="24">
                  <c:v>436</c:v>
                </c:pt>
                <c:pt idx="25">
                  <c:v>1048</c:v>
                </c:pt>
                <c:pt idx="26">
                  <c:v>860</c:v>
                </c:pt>
                <c:pt idx="27">
                  <c:v>859</c:v>
                </c:pt>
                <c:pt idx="28">
                  <c:v>1118</c:v>
                </c:pt>
                <c:pt idx="29">
                  <c:v>696</c:v>
                </c:pt>
              </c:numCache>
            </c:numRef>
          </c:yVal>
          <c:smooth val="1"/>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crossBetween val="midCat"/>
      </c:val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midCat"/>
      </c:valAx>
    </c:plotArea>
    <c:plotVisOnly val="1"/>
    <c:dispBlanksAs val="gap"/>
    <c:showDLblsOverMax val="0"/>
    <c:extLst>
      <c:ext uri="{0b15fc19-7d7d-44ad-8c2d-2c3a37ce22c3}">
        <chartProps xmlns="https://web.wps.cn/et/2018/main" chartId="{04015691-b1ff-4b66-95a7-c9d1a43d06a1}"/>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Temperature vs. Product Sales</a:t>
            </a:r>
          </a:p>
        </c:rich>
      </c:tx>
      <c:layout/>
      <c:overlay val="0"/>
    </c:title>
    <c:autoTitleDeleted val="0"/>
    <c:plotArea>
      <c:layout/>
      <c:scatterChart>
        <c:scatterStyle val="lineMarker"/>
        <c:varyColors val="0"/>
        <c:ser>
          <c:idx val="0"/>
          <c:order val="0"/>
          <c:tx>
            <c:strRef>
              <c:f>"IceCreamSales"</c:f>
              <c:strCache>
                <c:ptCount val="1"/>
                <c:pt idx="0">
                  <c:v>IceCreamSales</c:v>
                </c:pt>
              </c:strCache>
            </c:strRef>
          </c:tx>
          <c:dLbls>
            <c:delete val="1"/>
          </c:dLbls>
          <c:yVal>
            <c:numRef>
              <c:f>'Raw Data'!$C$4:$C$33</c:f>
              <c:numCache>
                <c:formatCode>General</c:formatCode>
                <c:ptCount val="30"/>
                <c:pt idx="0">
                  <c:v>600</c:v>
                </c:pt>
                <c:pt idx="1">
                  <c:v>880</c:v>
                </c:pt>
                <c:pt idx="2">
                  <c:v>675</c:v>
                </c:pt>
                <c:pt idx="3">
                  <c:v>375</c:v>
                </c:pt>
                <c:pt idx="4">
                  <c:v>653</c:v>
                </c:pt>
                <c:pt idx="5">
                  <c:v>857</c:v>
                </c:pt>
                <c:pt idx="6">
                  <c:v>574</c:v>
                </c:pt>
                <c:pt idx="7">
                  <c:v>705</c:v>
                </c:pt>
                <c:pt idx="8">
                  <c:v>903</c:v>
                </c:pt>
                <c:pt idx="9">
                  <c:v>1176</c:v>
                </c:pt>
                <c:pt idx="10">
                  <c:v>789</c:v>
                </c:pt>
                <c:pt idx="11">
                  <c:v>1189</c:v>
                </c:pt>
                <c:pt idx="12">
                  <c:v>515</c:v>
                </c:pt>
                <c:pt idx="13">
                  <c:v>1153</c:v>
                </c:pt>
                <c:pt idx="14">
                  <c:v>1188</c:v>
                </c:pt>
                <c:pt idx="15">
                  <c:v>930</c:v>
                </c:pt>
                <c:pt idx="16">
                  <c:v>1112</c:v>
                </c:pt>
                <c:pt idx="17">
                  <c:v>898</c:v>
                </c:pt>
                <c:pt idx="18">
                  <c:v>1251</c:v>
                </c:pt>
                <c:pt idx="19">
                  <c:v>1114</c:v>
                </c:pt>
                <c:pt idx="20">
                  <c:v>1047</c:v>
                </c:pt>
                <c:pt idx="21">
                  <c:v>798</c:v>
                </c:pt>
                <c:pt idx="22">
                  <c:v>905</c:v>
                </c:pt>
                <c:pt idx="23">
                  <c:v>827</c:v>
                </c:pt>
                <c:pt idx="24">
                  <c:v>436</c:v>
                </c:pt>
                <c:pt idx="25">
                  <c:v>1048</c:v>
                </c:pt>
                <c:pt idx="26">
                  <c:v>860</c:v>
                </c:pt>
                <c:pt idx="27">
                  <c:v>859</c:v>
                </c:pt>
                <c:pt idx="28">
                  <c:v>1118</c:v>
                </c:pt>
                <c:pt idx="29">
                  <c:v>696</c:v>
                </c:pt>
              </c:numCache>
            </c:numRef>
          </c:yVal>
          <c:smooth val="1"/>
        </c:ser>
        <c:ser>
          <c:idx val="1"/>
          <c:order val="1"/>
          <c:tx>
            <c:strRef>
              <c:f>"SoftDrinkSales"</c:f>
              <c:strCache>
                <c:ptCount val="1"/>
                <c:pt idx="0">
                  <c:v>SoftDrinkSales</c:v>
                </c:pt>
              </c:strCache>
            </c:strRef>
          </c:tx>
          <c:dLbls>
            <c:delete val="1"/>
          </c:dLbls>
          <c:yVal>
            <c:numRef>
              <c:f>'Raw Data'!$D$4:$D$33</c:f>
              <c:numCache>
                <c:formatCode>General</c:formatCode>
                <c:ptCount val="30"/>
                <c:pt idx="0">
                  <c:v>810</c:v>
                </c:pt>
                <c:pt idx="1">
                  <c:v>1095</c:v>
                </c:pt>
                <c:pt idx="2">
                  <c:v>1923</c:v>
                </c:pt>
                <c:pt idx="3">
                  <c:v>1871</c:v>
                </c:pt>
                <c:pt idx="4">
                  <c:v>2547</c:v>
                </c:pt>
                <c:pt idx="5">
                  <c:v>1736</c:v>
                </c:pt>
                <c:pt idx="6">
                  <c:v>2239</c:v>
                </c:pt>
                <c:pt idx="7">
                  <c:v>1185</c:v>
                </c:pt>
                <c:pt idx="8">
                  <c:v>1671</c:v>
                </c:pt>
                <c:pt idx="9">
                  <c:v>1318</c:v>
                </c:pt>
                <c:pt idx="10">
                  <c:v>1170</c:v>
                </c:pt>
                <c:pt idx="11">
                  <c:v>1043</c:v>
                </c:pt>
                <c:pt idx="12">
                  <c:v>907</c:v>
                </c:pt>
                <c:pt idx="13">
                  <c:v>1109</c:v>
                </c:pt>
                <c:pt idx="14">
                  <c:v>2400</c:v>
                </c:pt>
                <c:pt idx="15">
                  <c:v>2312</c:v>
                </c:pt>
                <c:pt idx="16">
                  <c:v>2245</c:v>
                </c:pt>
                <c:pt idx="17">
                  <c:v>2530</c:v>
                </c:pt>
                <c:pt idx="18">
                  <c:v>1044</c:v>
                </c:pt>
                <c:pt idx="19">
                  <c:v>1011</c:v>
                </c:pt>
                <c:pt idx="20">
                  <c:v>2189</c:v>
                </c:pt>
                <c:pt idx="21">
                  <c:v>2723</c:v>
                </c:pt>
                <c:pt idx="22">
                  <c:v>2813</c:v>
                </c:pt>
                <c:pt idx="23">
                  <c:v>1906</c:v>
                </c:pt>
                <c:pt idx="24">
                  <c:v>1523</c:v>
                </c:pt>
                <c:pt idx="25">
                  <c:v>1273</c:v>
                </c:pt>
                <c:pt idx="26">
                  <c:v>2207</c:v>
                </c:pt>
                <c:pt idx="27">
                  <c:v>2019</c:v>
                </c:pt>
                <c:pt idx="28">
                  <c:v>2557</c:v>
                </c:pt>
                <c:pt idx="29">
                  <c:v>1044</c:v>
                </c:pt>
              </c:numCache>
            </c:numRef>
          </c:yVal>
          <c:smooth val="1"/>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crossBetween val="midCat"/>
      </c:val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midCat"/>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d797cb0-7231-4fe8-8a50-3d332738b7d8}"/>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1</xdr:row>
      <xdr:rowOff>0</xdr:rowOff>
    </xdr:from>
    <xdr:to>
      <xdr:col>14</xdr:col>
      <xdr:colOff>0</xdr:colOff>
      <xdr:row>14</xdr:row>
      <xdr:rowOff>0</xdr:rowOff>
    </xdr:to>
    <xdr:graphicFrame>
      <xdr:nvGraphicFramePr>
        <xdr:cNvPr id="2" name="Chart"/>
        <xdr:cNvGraphicFramePr/>
      </xdr:nvGraphicFramePr>
      <xdr:xfrm>
        <a:off x="10104120" y="294640"/>
        <a:ext cx="5440680" cy="278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14</xdr:row>
      <xdr:rowOff>0</xdr:rowOff>
    </xdr:from>
    <xdr:to>
      <xdr:col>14</xdr:col>
      <xdr:colOff>0</xdr:colOff>
      <xdr:row>29</xdr:row>
      <xdr:rowOff>0</xdr:rowOff>
    </xdr:to>
    <xdr:graphicFrame>
      <xdr:nvGraphicFramePr>
        <xdr:cNvPr id="3" name="Chart"/>
        <xdr:cNvGraphicFramePr/>
      </xdr:nvGraphicFramePr>
      <xdr:xfrm>
        <a:off x="10104120" y="3078480"/>
        <a:ext cx="5440680" cy="3200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WeatherSalesRawData" displayName="WeatherSalesRawData" ref="A3:D33" totalsRowShown="0">
  <tableColumns count="4">
    <tableColumn id="1" name="Date"/>
    <tableColumn id="2" name="Temperature"/>
    <tableColumn id="3" name="IceCreamSales"/>
    <tableColumn id="4" name="SoftDrinkSal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
  <sheetViews>
    <sheetView tabSelected="1" workbookViewId="0">
      <selection activeCell="A25" sqref="A25"/>
    </sheetView>
  </sheetViews>
  <sheetFormatPr defaultColWidth="9" defaultRowHeight="16.8" outlineLevelCol="5"/>
  <cols>
    <col min="1" max="1" width="12" customWidth="1"/>
    <col min="2" max="6" width="18" customWidth="1"/>
  </cols>
  <sheetData>
    <row r="1" ht="28" customHeight="1" spans="1:6">
      <c r="A1" s="1" t="s">
        <v>0</v>
      </c>
      <c r="B1" s="1"/>
      <c r="C1" s="1"/>
      <c r="D1" s="1"/>
      <c r="E1" s="1"/>
      <c r="F1" s="1"/>
    </row>
    <row r="2" spans="1:6">
      <c r="A2" s="2"/>
      <c r="B2" s="2"/>
      <c r="C2" s="2"/>
      <c r="D2" s="2"/>
      <c r="E2" s="2"/>
      <c r="F2" s="2"/>
    </row>
    <row r="3" spans="1:6">
      <c r="A3" s="3" t="s">
        <v>1</v>
      </c>
      <c r="B3" s="3"/>
      <c r="C3" s="3"/>
      <c r="D3" s="3"/>
      <c r="E3" s="3"/>
      <c r="F3" s="3"/>
    </row>
    <row r="4" spans="1:6">
      <c r="A4" s="9" t="s">
        <v>2</v>
      </c>
      <c r="B4" s="9"/>
      <c r="C4" s="9"/>
      <c r="D4" s="9"/>
      <c r="E4" s="9"/>
      <c r="F4" s="9"/>
    </row>
    <row r="5" spans="1:6">
      <c r="A5" s="9"/>
      <c r="B5" s="9"/>
      <c r="C5" s="9"/>
      <c r="D5" s="9"/>
      <c r="E5" s="9"/>
      <c r="F5" s="9"/>
    </row>
    <row r="6" spans="1:6">
      <c r="A6" s="9"/>
      <c r="B6" s="9"/>
      <c r="C6" s="9"/>
      <c r="D6" s="9"/>
      <c r="E6" s="9"/>
      <c r="F6" s="9"/>
    </row>
    <row r="7" spans="1:6">
      <c r="A7" s="9"/>
      <c r="B7" s="9"/>
      <c r="C7" s="9"/>
      <c r="D7" s="9"/>
      <c r="E7" s="9"/>
      <c r="F7" s="9"/>
    </row>
    <row r="8" spans="1:6">
      <c r="A8" s="2"/>
      <c r="B8" s="2"/>
      <c r="C8" s="2"/>
      <c r="D8" s="2"/>
      <c r="E8" s="2"/>
      <c r="F8" s="2"/>
    </row>
    <row r="9" spans="1:6">
      <c r="A9" s="3" t="s">
        <v>3</v>
      </c>
      <c r="B9" s="3"/>
      <c r="C9" s="3"/>
      <c r="D9" s="3"/>
      <c r="E9" s="3"/>
      <c r="F9" s="3"/>
    </row>
    <row r="10" spans="1:6">
      <c r="A10" s="9" t="s">
        <v>4</v>
      </c>
      <c r="B10" s="9"/>
      <c r="C10" s="9"/>
      <c r="D10" s="9"/>
      <c r="E10" s="9"/>
      <c r="F10" s="9"/>
    </row>
    <row r="11" spans="1:6">
      <c r="A11" s="9"/>
      <c r="B11" s="9"/>
      <c r="C11" s="9"/>
      <c r="D11" s="9"/>
      <c r="E11" s="9"/>
      <c r="F11" s="9"/>
    </row>
    <row r="12" spans="1:6">
      <c r="A12" s="2"/>
      <c r="B12" s="2"/>
      <c r="C12" s="2"/>
      <c r="D12" s="2"/>
      <c r="E12" s="2"/>
      <c r="F12" s="2"/>
    </row>
    <row r="13" spans="1:6">
      <c r="A13" s="3" t="s">
        <v>5</v>
      </c>
      <c r="B13" s="3"/>
      <c r="C13" s="3"/>
      <c r="D13" s="3"/>
      <c r="E13" s="3"/>
      <c r="F13" s="3"/>
    </row>
    <row r="14" spans="1:6">
      <c r="A14" s="4" t="s">
        <v>6</v>
      </c>
      <c r="B14" s="4" t="s">
        <v>7</v>
      </c>
      <c r="C14" s="4" t="s">
        <v>8</v>
      </c>
      <c r="D14" s="4" t="s">
        <v>8</v>
      </c>
      <c r="E14" s="4" t="s">
        <v>8</v>
      </c>
      <c r="F14" s="4" t="s">
        <v>8</v>
      </c>
    </row>
    <row r="15" ht="17" spans="1:6">
      <c r="A15" s="7" t="s">
        <v>9</v>
      </c>
      <c r="B15" s="7" t="s">
        <v>10</v>
      </c>
      <c r="C15" s="7" t="s">
        <v>8</v>
      </c>
      <c r="D15" s="7" t="s">
        <v>8</v>
      </c>
      <c r="E15" s="7" t="s">
        <v>8</v>
      </c>
      <c r="F15" s="7" t="s">
        <v>8</v>
      </c>
    </row>
    <row r="16" ht="17" spans="1:6">
      <c r="A16" s="7" t="s">
        <v>11</v>
      </c>
      <c r="B16" s="7" t="s">
        <v>12</v>
      </c>
      <c r="C16" s="7" t="s">
        <v>8</v>
      </c>
      <c r="D16" s="7" t="s">
        <v>8</v>
      </c>
      <c r="E16" s="7" t="s">
        <v>8</v>
      </c>
      <c r="F16" s="7" t="s">
        <v>8</v>
      </c>
    </row>
    <row r="17" ht="17" spans="1:6">
      <c r="A17" s="7" t="s">
        <v>13</v>
      </c>
      <c r="B17" s="7" t="s">
        <v>14</v>
      </c>
      <c r="C17" s="7" t="s">
        <v>8</v>
      </c>
      <c r="D17" s="7" t="s">
        <v>8</v>
      </c>
      <c r="E17" s="7" t="s">
        <v>8</v>
      </c>
      <c r="F17" s="7" t="s">
        <v>8</v>
      </c>
    </row>
    <row r="18" ht="17" spans="1:6">
      <c r="A18" s="7" t="s">
        <v>15</v>
      </c>
      <c r="B18" s="7" t="s">
        <v>16</v>
      </c>
      <c r="C18" s="7" t="s">
        <v>8</v>
      </c>
      <c r="D18" s="7" t="s">
        <v>8</v>
      </c>
      <c r="E18" s="7" t="s">
        <v>8</v>
      </c>
      <c r="F18" s="7" t="s">
        <v>8</v>
      </c>
    </row>
    <row r="19" ht="17" spans="1:6">
      <c r="A19" s="7" t="s">
        <v>17</v>
      </c>
      <c r="B19" s="7" t="s">
        <v>18</v>
      </c>
      <c r="C19" s="7" t="s">
        <v>8</v>
      </c>
      <c r="D19" s="7" t="s">
        <v>8</v>
      </c>
      <c r="E19" s="7" t="s">
        <v>8</v>
      </c>
      <c r="F19" s="7" t="s">
        <v>8</v>
      </c>
    </row>
    <row r="20" spans="1:6">
      <c r="A20" s="2"/>
      <c r="B20" s="2"/>
      <c r="C20" s="2"/>
      <c r="D20" s="2"/>
      <c r="E20" s="2"/>
      <c r="F20" s="2"/>
    </row>
    <row r="21" spans="1:6">
      <c r="A21" s="3" t="s">
        <v>19</v>
      </c>
      <c r="B21" s="3"/>
      <c r="C21" s="3"/>
      <c r="D21" s="3"/>
      <c r="E21" s="3"/>
      <c r="F21" s="3"/>
    </row>
    <row r="22" spans="1:6">
      <c r="A22" s="9" t="s">
        <v>20</v>
      </c>
      <c r="B22" s="9"/>
      <c r="C22" s="9"/>
      <c r="D22" s="9"/>
      <c r="E22" s="9"/>
      <c r="F22" s="9"/>
    </row>
    <row r="23" spans="1:6">
      <c r="A23" s="9"/>
      <c r="B23" s="9"/>
      <c r="C23" s="9"/>
      <c r="D23" s="9"/>
      <c r="E23" s="9"/>
      <c r="F23" s="9"/>
    </row>
    <row r="24" spans="1:6">
      <c r="A24" s="9"/>
      <c r="B24" s="9"/>
      <c r="C24" s="9"/>
      <c r="D24" s="9"/>
      <c r="E24" s="9"/>
      <c r="F24" s="9"/>
    </row>
  </sheetData>
  <mergeCells count="14">
    <mergeCell ref="A1:F1"/>
    <mergeCell ref="A3:F3"/>
    <mergeCell ref="A9:F9"/>
    <mergeCell ref="A13:F13"/>
    <mergeCell ref="B14:F14"/>
    <mergeCell ref="B15:F15"/>
    <mergeCell ref="B16:F16"/>
    <mergeCell ref="B17:F17"/>
    <mergeCell ref="B18:F18"/>
    <mergeCell ref="B19:F19"/>
    <mergeCell ref="A21:F21"/>
    <mergeCell ref="A4:F7"/>
    <mergeCell ref="A10:F11"/>
    <mergeCell ref="A22:F2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workbookViewId="0">
      <selection activeCell="A1" sqref="A1:D1"/>
    </sheetView>
  </sheetViews>
  <sheetFormatPr defaultColWidth="9" defaultRowHeight="16.8" outlineLevelCol="3"/>
  <cols>
    <col min="1" max="1" width="28" customWidth="1"/>
    <col min="2" max="4" width="17" customWidth="1"/>
  </cols>
  <sheetData>
    <row r="1" ht="23.2" spans="1:4">
      <c r="A1" s="1" t="s">
        <v>21</v>
      </c>
      <c r="B1" s="1"/>
      <c r="C1" s="1"/>
      <c r="D1" s="1"/>
    </row>
    <row r="2" spans="1:4">
      <c r="A2" s="2"/>
      <c r="B2" s="2"/>
      <c r="C2" s="2"/>
      <c r="D2" s="2"/>
    </row>
    <row r="3" spans="1:4">
      <c r="A3" s="4" t="s">
        <v>22</v>
      </c>
      <c r="B3" s="4" t="s">
        <v>23</v>
      </c>
      <c r="C3" s="4" t="s">
        <v>24</v>
      </c>
      <c r="D3" s="4" t="s">
        <v>25</v>
      </c>
    </row>
    <row r="4" spans="1:4">
      <c r="A4" s="2" t="s">
        <v>26</v>
      </c>
      <c r="B4" s="2">
        <v>57</v>
      </c>
      <c r="C4" s="2">
        <v>600</v>
      </c>
      <c r="D4" s="2">
        <v>810</v>
      </c>
    </row>
    <row r="5" spans="1:4">
      <c r="A5" s="2" t="s">
        <v>27</v>
      </c>
      <c r="B5" s="2">
        <v>63</v>
      </c>
      <c r="C5" s="2">
        <v>880</v>
      </c>
      <c r="D5" s="2">
        <v>1095</v>
      </c>
    </row>
    <row r="6" spans="1:4">
      <c r="A6" s="2" t="s">
        <v>28</v>
      </c>
      <c r="B6" s="2">
        <v>58</v>
      </c>
      <c r="C6" s="2">
        <v>675</v>
      </c>
      <c r="D6" s="2">
        <v>1923</v>
      </c>
    </row>
    <row r="7" spans="1:4">
      <c r="A7" s="2" t="s">
        <v>29</v>
      </c>
      <c r="B7" s="2">
        <v>65</v>
      </c>
      <c r="C7" s="2">
        <v>375</v>
      </c>
      <c r="D7" s="2">
        <v>1871</v>
      </c>
    </row>
    <row r="8" spans="1:4">
      <c r="A8" s="2" t="s">
        <v>30</v>
      </c>
      <c r="B8" s="2">
        <v>73</v>
      </c>
      <c r="C8" s="2">
        <v>653</v>
      </c>
      <c r="D8" s="2">
        <v>2547</v>
      </c>
    </row>
    <row r="9" spans="1:4">
      <c r="A9" s="2" t="s">
        <v>31</v>
      </c>
      <c r="B9" s="2">
        <v>70</v>
      </c>
      <c r="C9" s="2">
        <v>857</v>
      </c>
      <c r="D9" s="2">
        <v>1736</v>
      </c>
    </row>
    <row r="10" spans="1:4">
      <c r="A10" s="2" t="s">
        <v>32</v>
      </c>
      <c r="B10" s="2">
        <v>75</v>
      </c>
      <c r="C10" s="2">
        <v>574</v>
      </c>
      <c r="D10" s="2">
        <v>2239</v>
      </c>
    </row>
    <row r="11" spans="1:4">
      <c r="A11" s="2" t="s">
        <v>33</v>
      </c>
      <c r="B11" s="2">
        <v>73</v>
      </c>
      <c r="C11" s="2">
        <v>705</v>
      </c>
      <c r="D11" s="2">
        <v>1185</v>
      </c>
    </row>
    <row r="12" spans="1:4">
      <c r="A12" s="2" t="s">
        <v>34</v>
      </c>
      <c r="B12" s="2">
        <v>75</v>
      </c>
      <c r="C12" s="2">
        <v>903</v>
      </c>
      <c r="D12" s="2">
        <v>1671</v>
      </c>
    </row>
    <row r="13" spans="1:4">
      <c r="A13" s="2" t="s">
        <v>35</v>
      </c>
      <c r="B13" s="2">
        <v>76</v>
      </c>
      <c r="C13" s="2">
        <v>1176</v>
      </c>
      <c r="D13" s="2">
        <v>1318</v>
      </c>
    </row>
    <row r="14" spans="1:4">
      <c r="A14" s="2" t="s">
        <v>36</v>
      </c>
      <c r="B14" s="2">
        <v>78</v>
      </c>
      <c r="C14" s="2">
        <v>789</v>
      </c>
      <c r="D14" s="2">
        <v>1170</v>
      </c>
    </row>
    <row r="15" spans="1:4">
      <c r="A15" s="2" t="s">
        <v>37</v>
      </c>
      <c r="B15" s="2">
        <v>81</v>
      </c>
      <c r="C15" s="2">
        <v>1189</v>
      </c>
      <c r="D15" s="2">
        <v>1043</v>
      </c>
    </row>
    <row r="16" spans="1:4">
      <c r="A16" s="2" t="s">
        <v>38</v>
      </c>
      <c r="B16" s="2">
        <v>80</v>
      </c>
      <c r="C16" s="2">
        <v>515</v>
      </c>
      <c r="D16" s="2">
        <v>907</v>
      </c>
    </row>
    <row r="17" spans="1:4">
      <c r="A17" s="2" t="s">
        <v>39</v>
      </c>
      <c r="B17" s="2">
        <v>81</v>
      </c>
      <c r="C17" s="2">
        <v>1153</v>
      </c>
      <c r="D17" s="2">
        <v>1109</v>
      </c>
    </row>
    <row r="18" spans="1:4">
      <c r="A18" s="2" t="s">
        <v>40</v>
      </c>
      <c r="B18" s="2">
        <v>79</v>
      </c>
      <c r="C18" s="2">
        <v>1188</v>
      </c>
      <c r="D18" s="2">
        <v>2400</v>
      </c>
    </row>
    <row r="19" spans="1:4">
      <c r="A19" s="2" t="s">
        <v>41</v>
      </c>
      <c r="B19" s="2">
        <v>77</v>
      </c>
      <c r="C19" s="2">
        <v>930</v>
      </c>
      <c r="D19" s="2">
        <v>2312</v>
      </c>
    </row>
    <row r="20" spans="1:4">
      <c r="A20" s="2" t="s">
        <v>42</v>
      </c>
      <c r="B20" s="2">
        <v>76</v>
      </c>
      <c r="C20" s="2">
        <v>1112</v>
      </c>
      <c r="D20" s="2">
        <v>2245</v>
      </c>
    </row>
    <row r="21" spans="1:4">
      <c r="A21" s="2" t="s">
        <v>43</v>
      </c>
      <c r="B21" s="2">
        <v>77</v>
      </c>
      <c r="C21" s="2">
        <v>898</v>
      </c>
      <c r="D21" s="2">
        <v>2530</v>
      </c>
    </row>
    <row r="22" spans="1:4">
      <c r="A22" s="2" t="s">
        <v>44</v>
      </c>
      <c r="B22" s="2">
        <v>73</v>
      </c>
      <c r="C22" s="2">
        <v>1251</v>
      </c>
      <c r="D22" s="2">
        <v>1044</v>
      </c>
    </row>
    <row r="23" spans="1:4">
      <c r="A23" s="2" t="s">
        <v>45</v>
      </c>
      <c r="B23" s="2">
        <v>76</v>
      </c>
      <c r="C23" s="2">
        <v>1114</v>
      </c>
      <c r="D23" s="2">
        <v>1011</v>
      </c>
    </row>
    <row r="24" spans="1:4">
      <c r="A24" s="2" t="s">
        <v>46</v>
      </c>
      <c r="B24" s="2">
        <v>73</v>
      </c>
      <c r="C24" s="2">
        <v>1047</v>
      </c>
      <c r="D24" s="2">
        <v>2189</v>
      </c>
    </row>
    <row r="25" spans="1:4">
      <c r="A25" s="2" t="s">
        <v>47</v>
      </c>
      <c r="B25" s="2">
        <v>78</v>
      </c>
      <c r="C25" s="2">
        <v>798</v>
      </c>
      <c r="D25" s="2">
        <v>2723</v>
      </c>
    </row>
    <row r="26" spans="1:4">
      <c r="A26" s="2" t="s">
        <v>48</v>
      </c>
      <c r="B26" s="2">
        <v>75</v>
      </c>
      <c r="C26" s="2">
        <v>905</v>
      </c>
      <c r="D26" s="2">
        <v>2813</v>
      </c>
    </row>
    <row r="27" spans="1:4">
      <c r="A27" s="2" t="s">
        <v>49</v>
      </c>
      <c r="B27" s="2">
        <v>71</v>
      </c>
      <c r="C27" s="2">
        <v>827</v>
      </c>
      <c r="D27" s="2">
        <v>1906</v>
      </c>
    </row>
    <row r="28" spans="1:4">
      <c r="A28" s="2" t="s">
        <v>50</v>
      </c>
      <c r="B28" s="2">
        <v>74</v>
      </c>
      <c r="C28" s="2">
        <v>436</v>
      </c>
      <c r="D28" s="2">
        <v>1523</v>
      </c>
    </row>
    <row r="29" spans="1:4">
      <c r="A29" s="2" t="s">
        <v>51</v>
      </c>
      <c r="B29" s="2">
        <v>72</v>
      </c>
      <c r="C29" s="2">
        <v>1048</v>
      </c>
      <c r="D29" s="2">
        <v>1273</v>
      </c>
    </row>
    <row r="30" spans="1:4">
      <c r="A30" s="2" t="s">
        <v>52</v>
      </c>
      <c r="B30" s="2">
        <v>66</v>
      </c>
      <c r="C30" s="2">
        <v>860</v>
      </c>
      <c r="D30" s="2">
        <v>2207</v>
      </c>
    </row>
    <row r="31" spans="1:4">
      <c r="A31" s="2" t="s">
        <v>53</v>
      </c>
      <c r="B31" s="2">
        <v>66</v>
      </c>
      <c r="C31" s="2">
        <v>859</v>
      </c>
      <c r="D31" s="2">
        <v>2019</v>
      </c>
    </row>
    <row r="32" spans="1:4">
      <c r="A32" s="2" t="s">
        <v>54</v>
      </c>
      <c r="B32" s="2">
        <v>71</v>
      </c>
      <c r="C32" s="2">
        <v>1118</v>
      </c>
      <c r="D32" s="2">
        <v>2557</v>
      </c>
    </row>
    <row r="33" spans="1:4">
      <c r="A33" s="2" t="s">
        <v>55</v>
      </c>
      <c r="B33" s="2">
        <v>73</v>
      </c>
      <c r="C33" s="2">
        <v>696</v>
      </c>
      <c r="D33" s="2">
        <v>1044</v>
      </c>
    </row>
  </sheetData>
  <mergeCells count="1">
    <mergeCell ref="A1:D1"/>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A1" sqref="A1:F1"/>
    </sheetView>
  </sheetViews>
  <sheetFormatPr defaultColWidth="9" defaultRowHeight="16.8" outlineLevelCol="5"/>
  <cols>
    <col min="1" max="2" width="22" customWidth="1"/>
    <col min="3" max="6" width="16" customWidth="1"/>
  </cols>
  <sheetData>
    <row r="1" ht="23.2" spans="1:6">
      <c r="A1" s="1" t="s">
        <v>56</v>
      </c>
      <c r="B1" s="1"/>
      <c r="C1" s="1"/>
      <c r="D1" s="1"/>
      <c r="E1" s="1"/>
      <c r="F1" s="1"/>
    </row>
    <row r="2" spans="1:6">
      <c r="A2" s="2"/>
      <c r="B2" s="2"/>
      <c r="C2" s="2"/>
      <c r="D2" s="2"/>
      <c r="E2" s="2"/>
      <c r="F2" s="2"/>
    </row>
    <row r="3" spans="1:6">
      <c r="A3" s="3" t="s">
        <v>57</v>
      </c>
      <c r="B3" s="3"/>
      <c r="C3" s="3"/>
      <c r="D3" s="3"/>
      <c r="E3" s="3"/>
      <c r="F3" s="3"/>
    </row>
    <row r="4" spans="1:6">
      <c r="A4" s="4" t="s">
        <v>58</v>
      </c>
      <c r="B4" s="4" t="s">
        <v>59</v>
      </c>
      <c r="C4" s="4" t="s">
        <v>60</v>
      </c>
      <c r="D4" s="4" t="s">
        <v>61</v>
      </c>
      <c r="E4" s="4" t="s">
        <v>62</v>
      </c>
      <c r="F4" s="2"/>
    </row>
    <row r="5" spans="1:6">
      <c r="A5" s="2" t="s">
        <v>63</v>
      </c>
      <c r="B5" s="2">
        <f>COUNT('Raw Data'!B4:B33)</f>
        <v>30</v>
      </c>
      <c r="C5" s="5">
        <f>AVERAGE('Raw Data'!B4:B33)</f>
        <v>72.7333333333333</v>
      </c>
      <c r="D5" s="5">
        <f>_xlfn.STDEV.S('Raw Data'!B4:B33)</f>
        <v>6.14162358256227</v>
      </c>
      <c r="E5" s="2" t="str">
        <f>MIN('Raw Data'!B4:B33)&amp;"–"&amp;MAX('Raw Data'!B4:B33)</f>
        <v>57–81</v>
      </c>
      <c r="F5" s="2"/>
    </row>
    <row r="6" spans="1:6">
      <c r="A6" s="2" t="s">
        <v>64</v>
      </c>
      <c r="B6" s="2">
        <f>COUNT('Raw Data'!C4:C33)</f>
        <v>30</v>
      </c>
      <c r="C6" s="5">
        <f>AVERAGE('Raw Data'!C4:C33)</f>
        <v>871.033333333333</v>
      </c>
      <c r="D6" s="5">
        <f>_xlfn.STDEV.S('Raw Data'!C4:C33)</f>
        <v>238.361863897981</v>
      </c>
      <c r="E6" s="2" t="str">
        <f>MIN('Raw Data'!C4:C33)&amp;"–"&amp;MAX('Raw Data'!C4:C33)</f>
        <v>375–1251</v>
      </c>
      <c r="F6" s="2"/>
    </row>
    <row r="7" spans="1:6">
      <c r="A7" s="2" t="s">
        <v>65</v>
      </c>
      <c r="B7" s="2">
        <f>COUNT('Raw Data'!D4:D33)</f>
        <v>30</v>
      </c>
      <c r="C7" s="5">
        <f>AVERAGE('Raw Data'!D4:D33)</f>
        <v>1747.33333333333</v>
      </c>
      <c r="D7" s="5">
        <f>_xlfn.STDEV.S('Raw Data'!D4:D33)</f>
        <v>625.366393753919</v>
      </c>
      <c r="E7" s="2" t="str">
        <f>MIN('Raw Data'!D4:D33)&amp;"–"&amp;MAX('Raw Data'!D4:D33)</f>
        <v>810–2813</v>
      </c>
      <c r="F7" s="2"/>
    </row>
    <row r="8" spans="1:6">
      <c r="A8" s="2"/>
      <c r="B8" s="2"/>
      <c r="C8" s="2"/>
      <c r="D8" s="2"/>
      <c r="E8" s="2"/>
      <c r="F8" s="2"/>
    </row>
    <row r="9" spans="1:6">
      <c r="A9" s="2"/>
      <c r="B9" s="2"/>
      <c r="C9" s="2"/>
      <c r="D9" s="2"/>
      <c r="E9" s="2"/>
      <c r="F9" s="2"/>
    </row>
    <row r="10" spans="1:6">
      <c r="A10" s="3" t="s">
        <v>66</v>
      </c>
      <c r="B10" s="3"/>
      <c r="C10" s="3"/>
      <c r="D10" s="3"/>
      <c r="E10" s="3"/>
      <c r="F10" s="3"/>
    </row>
    <row r="11" ht="17" spans="1:6">
      <c r="A11" s="6" t="s">
        <v>67</v>
      </c>
      <c r="B11" s="6" t="s">
        <v>68</v>
      </c>
      <c r="C11" s="6" t="s">
        <v>69</v>
      </c>
      <c r="D11" s="6" t="s">
        <v>70</v>
      </c>
      <c r="E11" s="6" t="s">
        <v>71</v>
      </c>
      <c r="F11" s="6" t="s">
        <v>72</v>
      </c>
    </row>
    <row r="12" ht="17" spans="1:6">
      <c r="A12" s="7" t="s">
        <v>23</v>
      </c>
      <c r="B12" s="7" t="s">
        <v>73</v>
      </c>
      <c r="C12" s="8">
        <f>CORREL('Raw Data'!B4:B33,'Raw Data'!C4:C33)</f>
        <v>0.377427112566098</v>
      </c>
      <c r="D12" s="7" t="str">
        <f>IF(C12&gt;0,"Positive",IF(C12&lt;0,"Negative","None"))</f>
        <v>Positive</v>
      </c>
      <c r="E12" s="7" t="str">
        <f>IF(ABS(C12)&lt;0.1,"Negligible",IF(ABS(C12)&lt;0.3,"Weak",IF(ABS(C12)&lt;0.5,"Moderate",IF(ABS(C12)&lt;0.7,"Strong","Very strong"))))</f>
        <v>Moderate</v>
      </c>
      <c r="F12" s="8">
        <v>0.0397668479</v>
      </c>
    </row>
    <row r="13" ht="17" spans="1:6">
      <c r="A13" s="7" t="s">
        <v>23</v>
      </c>
      <c r="B13" s="7" t="s">
        <v>74</v>
      </c>
      <c r="C13" s="8">
        <f>CORREL('Raw Data'!B4:B33,'Raw Data'!D4:D33)</f>
        <v>0.060653027065368</v>
      </c>
      <c r="D13" s="7" t="str">
        <f>IF(C13&gt;0,"Positive",IF(C13&lt;0,"Negative","None"))</f>
        <v>Positive</v>
      </c>
      <c r="E13" s="7" t="str">
        <f>IF(ABS(C13)&lt;0.1,"Negligible",IF(ABS(C13)&lt;0.3,"Weak",IF(ABS(C13)&lt;0.5,"Moderate",IF(ABS(C13)&lt;0.7,"Strong","Very strong"))))</f>
        <v>Negligible</v>
      </c>
      <c r="F13" s="8">
        <v>0.7501910601</v>
      </c>
    </row>
    <row r="14" ht="17" spans="1:6">
      <c r="A14" s="7" t="s">
        <v>73</v>
      </c>
      <c r="B14" s="7" t="s">
        <v>74</v>
      </c>
      <c r="C14" s="8">
        <f>CORREL('Raw Data'!C4:C33,'Raw Data'!D4:D33)</f>
        <v>0.00783782307093567</v>
      </c>
      <c r="D14" s="7" t="str">
        <f>IF(C14&gt;0,"Positive",IF(C14&lt;0,"Negative","None"))</f>
        <v>Positive</v>
      </c>
      <c r="E14" s="7" t="str">
        <f>IF(ABS(C14)&lt;0.1,"Negligible",IF(ABS(C14)&lt;0.3,"Weak",IF(ABS(C14)&lt;0.5,"Moderate",IF(ABS(C14)&lt;0.7,"Strong","Very strong"))))</f>
        <v>Negligible</v>
      </c>
      <c r="F14" s="8">
        <v>0.9672114564</v>
      </c>
    </row>
    <row r="15" spans="1:6">
      <c r="A15" s="2"/>
      <c r="B15" s="2"/>
      <c r="C15" s="2"/>
      <c r="D15" s="2"/>
      <c r="E15" s="2"/>
      <c r="F15" s="2"/>
    </row>
    <row r="16" spans="1:6">
      <c r="A16" s="3" t="s">
        <v>75</v>
      </c>
      <c r="B16" s="3"/>
      <c r="C16" s="3"/>
      <c r="D16" s="3"/>
      <c r="E16" s="3"/>
      <c r="F16" s="3"/>
    </row>
    <row r="17" spans="1:6">
      <c r="A17" s="9" t="s">
        <v>76</v>
      </c>
      <c r="B17" s="9"/>
      <c r="C17" s="9"/>
      <c r="D17" s="9"/>
      <c r="E17" s="9"/>
      <c r="F17" s="9"/>
    </row>
    <row r="18" spans="1:6">
      <c r="A18" s="9"/>
      <c r="B18" s="9"/>
      <c r="C18" s="9"/>
      <c r="D18" s="9"/>
      <c r="E18" s="9"/>
      <c r="F18" s="9"/>
    </row>
    <row r="19" spans="1:6">
      <c r="A19" s="9"/>
      <c r="B19" s="9"/>
      <c r="C19" s="9"/>
      <c r="D19" s="9"/>
      <c r="E19" s="9"/>
      <c r="F19" s="9"/>
    </row>
    <row r="20" spans="1:6">
      <c r="A20" s="9"/>
      <c r="B20" s="9"/>
      <c r="C20" s="9"/>
      <c r="D20" s="9"/>
      <c r="E20" s="9"/>
      <c r="F20" s="9"/>
    </row>
    <row r="21" spans="1:6">
      <c r="A21" s="9"/>
      <c r="B21" s="9"/>
      <c r="C21" s="9"/>
      <c r="D21" s="9"/>
      <c r="E21" s="9"/>
      <c r="F21" s="9"/>
    </row>
    <row r="22" spans="1:6">
      <c r="A22" s="9"/>
      <c r="B22" s="9"/>
      <c r="C22" s="9"/>
      <c r="D22" s="9"/>
      <c r="E22" s="9"/>
      <c r="F22" s="9"/>
    </row>
    <row r="23" spans="1:6">
      <c r="A23" s="2"/>
      <c r="B23" s="2"/>
      <c r="C23" s="2"/>
      <c r="D23" s="2"/>
      <c r="E23" s="2"/>
      <c r="F23" s="2"/>
    </row>
    <row r="24" spans="1:6">
      <c r="A24" s="3" t="s">
        <v>77</v>
      </c>
      <c r="B24" s="3"/>
      <c r="C24" s="3"/>
      <c r="D24" s="3"/>
      <c r="E24" s="3"/>
      <c r="F24" s="3"/>
    </row>
    <row r="25" spans="1:6">
      <c r="A25" s="9" t="s">
        <v>78</v>
      </c>
      <c r="B25" s="9"/>
      <c r="C25" s="9"/>
      <c r="D25" s="9"/>
      <c r="E25" s="9"/>
      <c r="F25" s="9"/>
    </row>
    <row r="26" spans="1:6">
      <c r="A26" s="9"/>
      <c r="B26" s="9"/>
      <c r="C26" s="9"/>
      <c r="D26" s="9"/>
      <c r="E26" s="9"/>
      <c r="F26" s="9"/>
    </row>
    <row r="27" spans="1:6">
      <c r="A27" s="9"/>
      <c r="B27" s="9"/>
      <c r="C27" s="9"/>
      <c r="D27" s="9"/>
      <c r="E27" s="9"/>
      <c r="F27" s="9"/>
    </row>
  </sheetData>
  <mergeCells count="7">
    <mergeCell ref="A1:F1"/>
    <mergeCell ref="A3:F3"/>
    <mergeCell ref="A10:F10"/>
    <mergeCell ref="A16:F16"/>
    <mergeCell ref="A24:F24"/>
    <mergeCell ref="A17:F22"/>
    <mergeCell ref="A25:F27"/>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3</vt:i4>
      </vt:variant>
    </vt:vector>
  </HeadingPairs>
  <TitlesOfParts>
    <vt:vector size="3" baseType="lpstr">
      <vt:lpstr>Project Overview</vt:lpstr>
      <vt:lpstr>Raw Data</vt:lpstr>
      <vt:lpstr>Correlation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2026-09-24T16:58:07Z</dcterms:created>
  <dcterms:modified xsi:type="dcterms:W3CDTF">2026-09-24T17:00:18Z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2EA867C9E55B61D760E6B46AB132C03C_42</vt:lpwstr>
  </property>
  <property fmtid="{D5CDD505-2E9C-101B-9397-08002B2CF9AE}" pid="3" name="KSOProductBuildVer">
    <vt:lpwstr>1033-6.14.0.8924</vt:lpwstr>
  </property>
</Properties>
</file>