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3660"/>
  </bookViews>
  <sheets>
    <sheet name="Project Overview" sheetId="1" r:id="rId1"/>
    <sheet name="Raw Data" sheetId="2" r:id="rId2"/>
    <sheet name="Descriptive &amp; Correlation" sheetId="3" r:id="rId3"/>
    <sheet name="Regression Analysis" sheetId="4" r:id="rId4"/>
    <sheet name="Assignment Answer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<sst xmlns="http://schemas.openxmlformats.org/spreadsheetml/2006/main" count="101" uniqueCount="62">
  <si>
    <t>MGT 209  Sales Driver Analysis</t>
  </si>
  <si>
    <t>Project Background</t>
  </si>
  <si>
    <t xml:space="preserve">From MGT 209 Assignment 1 (Winter 2023) , this workbook analyzes the course-provided dataset using descriptive statistics, correlation analysis, and multiple regression. </t>
  </si>
  <si>
    <t>Assignment Questions</t>
  </si>
  <si>
    <t>1) Using descriptive statistics and correlations only, identify the top three drivers of sales.  2) Regress sales on all remaining variables, identify the top three drivers, and comment on model outcome.  3) Decide whether variables should be dropped; if yes, rerun and comment.</t>
  </si>
  <si>
    <t>Workflow</t>
  </si>
  <si>
    <t>data → calculate descriptive statistics → calculate Pearson correlations with sales → estimate the full OLS model specified by the assignment → compare standardized coefficients for driver ranking → inspect p-values at α = 0.05 → answer all three parts.</t>
  </si>
  <si>
    <t>Interpretation Boundary</t>
  </si>
  <si>
    <t>Week is retained in the full regression because the assignment says to use sales as Y and the remaining variables as X. However, Week is treated as a time/trend control rather than a substantive marketing driver. Raw coefficients are not used to rank driver importance because predictors have different measurement scales.</t>
  </si>
  <si>
    <t>Source / Provenance</t>
  </si>
  <si>
    <t xml:space="preserve">Course-provided MGT 209 Assignment 1 instructions and MGT 209 Assg 1 data.csv, Winter 2023. </t>
  </si>
  <si>
    <t>Original Raw Data — MGT 209 Assignment 1</t>
  </si>
  <si>
    <t>Week</t>
  </si>
  <si>
    <t>sales</t>
  </si>
  <si>
    <t>satisfaction</t>
  </si>
  <si>
    <t>advertising</t>
  </si>
  <si>
    <t>ease_of_purchase</t>
  </si>
  <si>
    <t>searchoutcome</t>
  </si>
  <si>
    <t>wom</t>
  </si>
  <si>
    <t>safety</t>
  </si>
  <si>
    <t>reputation</t>
  </si>
  <si>
    <t>Descriptive Statistics and Correlation Analysis</t>
  </si>
  <si>
    <t>Question 1 requires descriptive statistics and correlations only. The table below uses Excel formulas linked directly to the Raw Data sheet. Pearson correlations are ranked by absolute magnitude for the substantive marketing variables; Week is a time index rather than a marketing driver.</t>
  </si>
  <si>
    <t>Variable</t>
  </si>
  <si>
    <t>N</t>
  </si>
  <si>
    <t>Mean</t>
  </si>
  <si>
    <t>Median</t>
  </si>
  <si>
    <t>Std. Dev.</t>
  </si>
  <si>
    <t>Min</t>
  </si>
  <si>
    <t>Max</t>
  </si>
  <si>
    <t>Correlation with Sales</t>
  </si>
  <si>
    <t>Abs. Correlation</t>
  </si>
  <si>
    <t>Rank (Marketing)</t>
  </si>
  <si>
    <t>Marketing Variable</t>
  </si>
  <si>
    <t>Multiple Regression — Sales as Y, Remaining Variables as X</t>
  </si>
  <si>
    <t>Regression estimates are computed. Standardized beta coefficients are added to compare driver strength across predictors measured in different units. Week remains in the model as a time/trend control but is not ranked as a substantive marketing driver.</t>
  </si>
  <si>
    <t>Model Metric</t>
  </si>
  <si>
    <t>Value</t>
  </si>
  <si>
    <t/>
  </si>
  <si>
    <t>Observations</t>
  </si>
  <si>
    <t>R-squared</t>
  </si>
  <si>
    <t>Adjusted R-squared</t>
  </si>
  <si>
    <t>F-statistic</t>
  </si>
  <si>
    <t>Significance F</t>
  </si>
  <si>
    <t>Coefficient</t>
  </si>
  <si>
    <t>Std. Error</t>
  </si>
  <si>
    <t>t Statistic</t>
  </si>
  <si>
    <t>p-value</t>
  </si>
  <si>
    <t>Standardized Beta</t>
  </si>
  <si>
    <t>Marketing Rank</t>
  </si>
  <si>
    <t>Intercept</t>
  </si>
  <si>
    <t>Significant at 5%?</t>
  </si>
  <si>
    <t>Drop?</t>
  </si>
  <si>
    <t>Assignment Answers — Question 3</t>
  </si>
  <si>
    <t>1. Descriptive Statistics &amp; Correlation</t>
  </si>
  <si>
    <t>Top three marketing variables by Pearson correlation with sales: Advertising (approximately 0.601), Reputation (approximately 0.501), and Satisfaction (approximately 0.401). All three associations are positive. Week is excluded from the managerial-driver ranking because it is the time index.</t>
  </si>
  <si>
    <t>2. Regression Analysis</t>
  </si>
  <si>
    <t xml:space="preserve">The full OLS model is statistically significant (F = 32,267.58, p &lt; 0.001), with R² = 0.999609 and Adjusted R² = 0.999578. Using standardized coefficients to compare predictors measured in different units, the top three substantive marketing drivers are Advertising, Reputation, and Satisfaction. </t>
  </si>
  <si>
    <t>3. Variable Removal</t>
  </si>
  <si>
    <t xml:space="preserve">Under the conventional 5% significance criterion, no predictor needs to be dropped: all X-variable p-values in the full model are below 0.05. Therefore, the conditional instruction to drop insignificant variables and rerun the regression does not apply. </t>
  </si>
  <si>
    <t>Overall Interpretation</t>
  </si>
  <si>
    <t xml:space="preserve">The model has an extremely high fit in this dataset. The regression establishes statistical relationships within the sample, not causal effects. </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</si>
</sst>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0000"/>
    <numFmt numFmtId="179" formatCode="0.000E+00"/>
    <numFmt numFmtId="180" formatCode="0.0000"/>
    <numFmt numFmtId="181" formatCode="0.000"/>
  </numFmts>
  <fonts count="26">
    <font>
      <sz val="11"/>
      <name val="Carlito"/>
      <charset val="134"/>
    </font>
    <font>
      <b/>
      <sz val="16"/>
      <color rgb="FFFFFFFF"/>
      <name val="Arial"/>
      <charset val="134"/>
    </font>
    <font>
      <sz val="11"/>
      <name val="Arial"/>
      <charset val="134"/>
    </font>
    <font>
      <b/>
      <sz val="11"/>
      <color rgb="FF17365D"/>
      <name val="Arial"/>
      <charset val="134"/>
    </font>
    <font>
      <sz val="11"/>
      <color rgb="FF404040"/>
      <name val="Arial"/>
      <charset val="134"/>
    </font>
    <font>
      <b/>
      <sz val="11"/>
      <color rgb="FFFFFFFF"/>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1F4E78"/>
        <bgColor indexed="64"/>
      </patternFill>
    </fill>
    <fill>
      <patternFill patternType="solid">
        <fgColor rgb="FFD9EAF7"/>
        <bgColor indexed="64"/>
      </patternFill>
    </fill>
    <fill>
      <patternFill patternType="solid">
        <fgColor rgb="FFF3F6F9"/>
        <bgColor indexed="64"/>
      </patternFill>
    </fill>
    <fill>
      <patternFill patternType="solid">
        <fgColor rgb="FF5B9BD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7" borderId="4" applyNumberFormat="0" applyAlignment="0" applyProtection="0">
      <alignment vertical="center"/>
    </xf>
    <xf numFmtId="0" fontId="16" fillId="8" borderId="5" applyNumberFormat="0" applyAlignment="0" applyProtection="0">
      <alignment vertical="center"/>
    </xf>
    <xf numFmtId="0" fontId="17" fillId="8" borderId="4" applyNumberFormat="0" applyAlignment="0" applyProtection="0">
      <alignment vertical="center"/>
    </xf>
    <xf numFmtId="0" fontId="18" fillId="9"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cellStyleXfs>
  <cellXfs count="11">
    <xf numFmtId="0" fontId="0" fillId="0" borderId="0" xfId="0"/>
    <xf numFmtId="0" fontId="1" fillId="2" borderId="0" xfId="0" applyNumberFormat="1" applyFont="1" applyFill="1" applyBorder="1" applyAlignment="1">
      <alignment vertical="center"/>
    </xf>
    <xf numFmtId="0" fontId="2" fillId="0" borderId="0" xfId="0" applyNumberFormat="1" applyFont="1" applyFill="1" applyBorder="1"/>
    <xf numFmtId="0" fontId="3" fillId="3" borderId="0" xfId="0" applyNumberFormat="1" applyFont="1" applyFill="1" applyBorder="1" applyAlignment="1">
      <alignment vertical="center"/>
    </xf>
    <xf numFmtId="0" fontId="4" fillId="4" borderId="0" xfId="0" applyNumberFormat="1" applyFont="1" applyFill="1" applyBorder="1" applyAlignment="1">
      <alignment vertical="top" wrapText="1"/>
    </xf>
    <xf numFmtId="0" fontId="5" fillId="5" borderId="0" xfId="0" applyNumberFormat="1" applyFont="1" applyFill="1" applyBorder="1" applyAlignment="1">
      <alignment horizontal="center" vertical="center" wrapText="1"/>
    </xf>
    <xf numFmtId="178" fontId="2" fillId="0" borderId="0" xfId="0" applyNumberFormat="1" applyFont="1" applyFill="1" applyBorder="1"/>
    <xf numFmtId="179" fontId="2" fillId="0" borderId="0" xfId="0" applyNumberFormat="1" applyFont="1" applyFill="1" applyBorder="1"/>
    <xf numFmtId="1" fontId="2" fillId="0" borderId="0" xfId="0" applyNumberFormat="1" applyFont="1" applyFill="1" applyBorder="1"/>
    <xf numFmtId="180" fontId="2" fillId="0" borderId="0" xfId="0" applyNumberFormat="1" applyFont="1" applyFill="1" applyBorder="1"/>
    <xf numFmtId="181" fontId="2" fillId="0" borderId="0" xfId="0" applyNumberFormat="1" applyFont="1" applyFill="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Marketing Variables — Correlation with Sales</a:t>
            </a:r>
          </a:p>
        </c:rich>
      </c:tx>
      <c:layout/>
      <c:overlay val="0"/>
    </c:title>
    <c:autoTitleDeleted val="0"/>
    <c:plotArea>
      <c:layout/>
      <c:barChart>
        <c:barDir val="col"/>
        <c:grouping val="none"/>
        <c:varyColors val="0"/>
        <c:ser>
          <c:idx val="0"/>
          <c:order val="0"/>
          <c:tx>
            <c:strRef>
              <c:f>"Correlation with Sales"</c:f>
              <c:strCache>
                <c:ptCount val="1"/>
                <c:pt idx="0">
                  <c:v>Correlation with Sales</c:v>
                </c:pt>
              </c:strCache>
            </c:strRef>
          </c:tx>
          <c:invertIfNegative val="0"/>
          <c:dLbls>
            <c:delete val="1"/>
          </c:dLbls>
          <c:cat>
            <c:strRef>
              <c:f>'Descriptive &amp; Correlation'!$A$21:$A$27</c:f>
              <c:strCache>
                <c:ptCount val="7"/>
                <c:pt idx="0">
                  <c:v>satisfaction</c:v>
                </c:pt>
                <c:pt idx="1">
                  <c:v>advertising</c:v>
                </c:pt>
                <c:pt idx="2">
                  <c:v>ease_of_purchase</c:v>
                </c:pt>
                <c:pt idx="3">
                  <c:v>searchoutcome</c:v>
                </c:pt>
                <c:pt idx="4">
                  <c:v>wom</c:v>
                </c:pt>
                <c:pt idx="5">
                  <c:v>safety</c:v>
                </c:pt>
                <c:pt idx="6">
                  <c:v>reputation</c:v>
                </c:pt>
              </c:strCache>
            </c:strRef>
          </c:cat>
          <c:val>
            <c:numRef>
              <c:f>'Descriptive &amp; Correlation'!$B$21:$B$27</c:f>
              <c:numCache>
                <c:formatCode>0.000</c:formatCode>
                <c:ptCount val="7"/>
                <c:pt idx="0">
                  <c:v>0.401399240197374</c:v>
                </c:pt>
                <c:pt idx="1">
                  <c:v>0.600685465638599</c:v>
                </c:pt>
                <c:pt idx="2">
                  <c:v>0.198390636616142</c:v>
                </c:pt>
                <c:pt idx="3">
                  <c:v>0.0433806954850636</c:v>
                </c:pt>
                <c:pt idx="4">
                  <c:v>0.201032210835815</c:v>
                </c:pt>
                <c:pt idx="5">
                  <c:v>0.034102806772365</c:v>
                </c:pt>
                <c:pt idx="6">
                  <c:v>0.500679032052407</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0.00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plotArea>
    <c:plotVisOnly val="1"/>
    <c:dispBlanksAs val="gap"/>
    <c:showDLblsOverMax val="0"/>
    <c:extLst>
      <c:ext uri="{0b15fc19-7d7d-44ad-8c2d-2c3a37ce22c3}">
        <chartProps xmlns="https://web.wps.cn/et/2018/main" chartId="{71169c0b-74ad-4712-b7c8-5f425748be6e}"/>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0</xdr:colOff>
      <xdr:row>19</xdr:row>
      <xdr:rowOff>0</xdr:rowOff>
    </xdr:from>
    <xdr:to>
      <xdr:col>10</xdr:col>
      <xdr:colOff>0</xdr:colOff>
      <xdr:row>36</xdr:row>
      <xdr:rowOff>0</xdr:rowOff>
    </xdr:to>
    <xdr:graphicFrame>
      <xdr:nvGraphicFramePr>
        <xdr:cNvPr id="2" name="Chart"/>
        <xdr:cNvGraphicFramePr/>
      </xdr:nvGraphicFramePr>
      <xdr:xfrm>
        <a:off x="3540760" y="4137660"/>
        <a:ext cx="8808720" cy="40614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Assg1Raw" displayName="Assg1Raw" ref="A3:I113" totalsRowShown="0">
  <tableColumns count="9">
    <tableColumn id="1" name="Week"/>
    <tableColumn id="2" name="sales"/>
    <tableColumn id="3" name="satisfaction"/>
    <tableColumn id="4" name="advertising"/>
    <tableColumn id="5" name="ease_of_purchase"/>
    <tableColumn id="6" name="searchoutcome"/>
    <tableColumn id="7" name="wom"/>
    <tableColumn id="8" name="safety"/>
    <tableColumn id="9" name="reputa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1"/>
  <sheetViews>
    <sheetView tabSelected="1" workbookViewId="0">
      <selection activeCell="A3" sqref="A3:H3"/>
    </sheetView>
  </sheetViews>
  <sheetFormatPr defaultColWidth="9" defaultRowHeight="16.8" outlineLevelCol="7"/>
  <cols>
    <col min="1" max="8" width="16" customWidth="1"/>
  </cols>
  <sheetData>
    <row r="1" ht="23.2" spans="1:8">
      <c r="A1" s="1" t="s">
        <v>0</v>
      </c>
      <c r="B1" s="1"/>
      <c r="C1" s="1"/>
      <c r="D1" s="1"/>
      <c r="E1" s="1"/>
      <c r="F1" s="1"/>
      <c r="G1" s="1"/>
      <c r="H1" s="1"/>
    </row>
    <row r="2" spans="1:8">
      <c r="A2" s="2"/>
      <c r="B2" s="2"/>
      <c r="C2" s="2"/>
      <c r="D2" s="2"/>
      <c r="E2" s="2"/>
      <c r="F2" s="2"/>
      <c r="G2" s="2"/>
      <c r="H2" s="2"/>
    </row>
    <row r="3" spans="1:8">
      <c r="A3" s="3" t="s">
        <v>1</v>
      </c>
      <c r="B3" s="3"/>
      <c r="C3" s="3"/>
      <c r="D3" s="3"/>
      <c r="E3" s="3"/>
      <c r="F3" s="3"/>
      <c r="G3" s="3"/>
      <c r="H3" s="3"/>
    </row>
    <row r="4" spans="1:8">
      <c r="A4" s="4" t="s">
        <v>2</v>
      </c>
      <c r="B4" s="4"/>
      <c r="C4" s="4"/>
      <c r="D4" s="4"/>
      <c r="E4" s="4"/>
      <c r="F4" s="4"/>
      <c r="G4" s="4"/>
      <c r="H4" s="4"/>
    </row>
    <row r="5" spans="1:8">
      <c r="A5" s="4"/>
      <c r="B5" s="4"/>
      <c r="C5" s="4"/>
      <c r="D5" s="4"/>
      <c r="E5" s="4"/>
      <c r="F5" s="4"/>
      <c r="G5" s="4"/>
      <c r="H5" s="4"/>
    </row>
    <row r="6" spans="1:8">
      <c r="A6" s="4"/>
      <c r="B6" s="4"/>
      <c r="C6" s="4"/>
      <c r="D6" s="4"/>
      <c r="E6" s="4"/>
      <c r="F6" s="4"/>
      <c r="G6" s="4"/>
      <c r="H6" s="4"/>
    </row>
    <row r="7" spans="1:8">
      <c r="A7" s="4"/>
      <c r="B7" s="4"/>
      <c r="C7" s="4"/>
      <c r="D7" s="4"/>
      <c r="E7" s="4"/>
      <c r="F7" s="4"/>
      <c r="G7" s="4"/>
      <c r="H7" s="4"/>
    </row>
    <row r="8" spans="1:8">
      <c r="A8" s="2"/>
      <c r="B8" s="2"/>
      <c r="C8" s="2"/>
      <c r="D8" s="2"/>
      <c r="E8" s="2"/>
      <c r="F8" s="2"/>
      <c r="G8" s="2"/>
      <c r="H8" s="2"/>
    </row>
    <row r="9" spans="1:8">
      <c r="A9" s="3" t="s">
        <v>3</v>
      </c>
      <c r="B9" s="3"/>
      <c r="C9" s="3"/>
      <c r="D9" s="3"/>
      <c r="E9" s="3"/>
      <c r="F9" s="3"/>
      <c r="G9" s="3"/>
      <c r="H9" s="3"/>
    </row>
    <row r="10" spans="1:8">
      <c r="A10" s="4" t="s">
        <v>4</v>
      </c>
      <c r="B10" s="4"/>
      <c r="C10" s="4"/>
      <c r="D10" s="4"/>
      <c r="E10" s="4"/>
      <c r="F10" s="4"/>
      <c r="G10" s="4"/>
      <c r="H10" s="4"/>
    </row>
    <row r="11" spans="1:8">
      <c r="A11" s="4"/>
      <c r="B11" s="4"/>
      <c r="C11" s="4"/>
      <c r="D11" s="4"/>
      <c r="E11" s="4"/>
      <c r="F11" s="4"/>
      <c r="G11" s="4"/>
      <c r="H11" s="4"/>
    </row>
    <row r="12" spans="1:8">
      <c r="A12" s="4"/>
      <c r="B12" s="4"/>
      <c r="C12" s="4"/>
      <c r="D12" s="4"/>
      <c r="E12" s="4"/>
      <c r="F12" s="4"/>
      <c r="G12" s="4"/>
      <c r="H12" s="4"/>
    </row>
    <row r="13" spans="1:8">
      <c r="A13" s="2"/>
      <c r="B13" s="2"/>
      <c r="C13" s="2"/>
      <c r="D13" s="2"/>
      <c r="E13" s="2"/>
      <c r="F13" s="2"/>
      <c r="G13" s="2"/>
      <c r="H13" s="2"/>
    </row>
    <row r="14" spans="1:8">
      <c r="A14" s="3" t="s">
        <v>5</v>
      </c>
      <c r="B14" s="3"/>
      <c r="C14" s="3"/>
      <c r="D14" s="3"/>
      <c r="E14" s="3"/>
      <c r="F14" s="3"/>
      <c r="G14" s="3"/>
      <c r="H14" s="3"/>
    </row>
    <row r="15" spans="1:8">
      <c r="A15" s="4" t="s">
        <v>6</v>
      </c>
      <c r="B15" s="4"/>
      <c r="C15" s="4"/>
      <c r="D15" s="4"/>
      <c r="E15" s="4"/>
      <c r="F15" s="4"/>
      <c r="G15" s="4"/>
      <c r="H15" s="4"/>
    </row>
    <row r="16" spans="1:8">
      <c r="A16" s="4"/>
      <c r="B16" s="4"/>
      <c r="C16" s="4"/>
      <c r="D16" s="4"/>
      <c r="E16" s="4"/>
      <c r="F16" s="4"/>
      <c r="G16" s="4"/>
      <c r="H16" s="4"/>
    </row>
    <row r="17" spans="1:8">
      <c r="A17" s="4"/>
      <c r="B17" s="4"/>
      <c r="C17" s="4"/>
      <c r="D17" s="4"/>
      <c r="E17" s="4"/>
      <c r="F17" s="4"/>
      <c r="G17" s="4"/>
      <c r="H17" s="4"/>
    </row>
    <row r="18" spans="1:8">
      <c r="A18" s="4"/>
      <c r="B18" s="4"/>
      <c r="C18" s="4"/>
      <c r="D18" s="4"/>
      <c r="E18" s="4"/>
      <c r="F18" s="4"/>
      <c r="G18" s="4"/>
      <c r="H18" s="4"/>
    </row>
    <row r="19" spans="1:8">
      <c r="A19" s="4"/>
      <c r="B19" s="4"/>
      <c r="C19" s="4"/>
      <c r="D19" s="4"/>
      <c r="E19" s="4"/>
      <c r="F19" s="4"/>
      <c r="G19" s="4"/>
      <c r="H19" s="4"/>
    </row>
    <row r="20" spans="1:8">
      <c r="A20" s="2"/>
      <c r="B20" s="2"/>
      <c r="C20" s="2"/>
      <c r="D20" s="2"/>
      <c r="E20" s="2"/>
      <c r="F20" s="2"/>
      <c r="G20" s="2"/>
      <c r="H20" s="2"/>
    </row>
    <row r="21" spans="1:8">
      <c r="A21" s="3" t="s">
        <v>7</v>
      </c>
      <c r="B21" s="3"/>
      <c r="C21" s="3"/>
      <c r="D21" s="3"/>
      <c r="E21" s="3"/>
      <c r="F21" s="3"/>
      <c r="G21" s="3"/>
      <c r="H21" s="3"/>
    </row>
    <row r="22" spans="1:8">
      <c r="A22" s="4" t="s">
        <v>8</v>
      </c>
      <c r="B22" s="4"/>
      <c r="C22" s="4"/>
      <c r="D22" s="4"/>
      <c r="E22" s="4"/>
      <c r="F22" s="4"/>
      <c r="G22" s="4"/>
      <c r="H22" s="4"/>
    </row>
    <row r="23" spans="1:8">
      <c r="A23" s="4"/>
      <c r="B23" s="4"/>
      <c r="C23" s="4"/>
      <c r="D23" s="4"/>
      <c r="E23" s="4"/>
      <c r="F23" s="4"/>
      <c r="G23" s="4"/>
      <c r="H23" s="4"/>
    </row>
    <row r="24" spans="1:8">
      <c r="A24" s="4"/>
      <c r="B24" s="4"/>
      <c r="C24" s="4"/>
      <c r="D24" s="4"/>
      <c r="E24" s="4"/>
      <c r="F24" s="4"/>
      <c r="G24" s="4"/>
      <c r="H24" s="4"/>
    </row>
    <row r="25" spans="1:8">
      <c r="A25" s="4"/>
      <c r="B25" s="4"/>
      <c r="C25" s="4"/>
      <c r="D25" s="4"/>
      <c r="E25" s="4"/>
      <c r="F25" s="4"/>
      <c r="G25" s="4"/>
      <c r="H25" s="4"/>
    </row>
    <row r="26" spans="1:8">
      <c r="A26" s="2"/>
      <c r="B26" s="2"/>
      <c r="C26" s="2"/>
      <c r="D26" s="2"/>
      <c r="E26" s="2"/>
      <c r="F26" s="2"/>
      <c r="G26" s="2"/>
      <c r="H26" s="2"/>
    </row>
    <row r="27" spans="1:8">
      <c r="A27" s="3" t="s">
        <v>9</v>
      </c>
      <c r="B27" s="3"/>
      <c r="C27" s="3"/>
      <c r="D27" s="3"/>
      <c r="E27" s="3"/>
      <c r="F27" s="3"/>
      <c r="G27" s="3"/>
      <c r="H27" s="3"/>
    </row>
    <row r="28" spans="1:8">
      <c r="A28" s="4" t="s">
        <v>10</v>
      </c>
      <c r="B28" s="4"/>
      <c r="C28" s="4"/>
      <c r="D28" s="4"/>
      <c r="E28" s="4"/>
      <c r="F28" s="4"/>
      <c r="G28" s="4"/>
      <c r="H28" s="4"/>
    </row>
    <row r="29" spans="1:8">
      <c r="A29" s="4"/>
      <c r="B29" s="4"/>
      <c r="C29" s="4"/>
      <c r="D29" s="4"/>
      <c r="E29" s="4"/>
      <c r="F29" s="4"/>
      <c r="G29" s="4"/>
      <c r="H29" s="4"/>
    </row>
    <row r="30" spans="1:8">
      <c r="A30" s="4"/>
      <c r="B30" s="4"/>
      <c r="C30" s="4"/>
      <c r="D30" s="4"/>
      <c r="E30" s="4"/>
      <c r="F30" s="4"/>
      <c r="G30" s="4"/>
      <c r="H30" s="4"/>
    </row>
    <row r="31" spans="1:8">
      <c r="A31" s="4"/>
      <c r="B31" s="4"/>
      <c r="C31" s="4"/>
      <c r="D31" s="4"/>
      <c r="E31" s="4"/>
      <c r="F31" s="4"/>
      <c r="G31" s="4"/>
      <c r="H31" s="4"/>
    </row>
  </sheetData>
  <mergeCells count="11">
    <mergeCell ref="A1:H1"/>
    <mergeCell ref="A3:H3"/>
    <mergeCell ref="A9:H9"/>
    <mergeCell ref="A14:H14"/>
    <mergeCell ref="A21:H21"/>
    <mergeCell ref="A27:H27"/>
    <mergeCell ref="A4:H7"/>
    <mergeCell ref="A10:H12"/>
    <mergeCell ref="A15:H19"/>
    <mergeCell ref="A22:H25"/>
    <mergeCell ref="A28:H3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3"/>
  <sheetViews>
    <sheetView workbookViewId="0">
      <selection activeCell="A1" sqref="A1:I1"/>
    </sheetView>
  </sheetViews>
  <sheetFormatPr defaultColWidth="9" defaultRowHeight="16.8"/>
  <cols>
    <col min="1" max="2" width="12" customWidth="1"/>
    <col min="3" max="3" width="15" customWidth="1"/>
    <col min="4" max="4" width="14" customWidth="1"/>
    <col min="5" max="5" width="19" customWidth="1"/>
    <col min="6" max="6" width="16" customWidth="1"/>
    <col min="7" max="8" width="12" customWidth="1"/>
    <col min="9" max="9" width="13" customWidth="1"/>
  </cols>
  <sheetData>
    <row r="1" ht="23.2" spans="1:9">
      <c r="A1" s="1" t="s">
        <v>11</v>
      </c>
      <c r="B1" s="1"/>
      <c r="C1" s="1"/>
      <c r="D1" s="1"/>
      <c r="E1" s="1"/>
      <c r="F1" s="1"/>
      <c r="G1" s="1"/>
      <c r="H1" s="1"/>
      <c r="I1" s="1"/>
    </row>
    <row r="2" spans="1:9">
      <c r="A2" s="2"/>
      <c r="B2" s="2"/>
      <c r="C2" s="2"/>
      <c r="D2" s="2"/>
      <c r="E2" s="2"/>
      <c r="F2" s="2"/>
      <c r="G2" s="2"/>
      <c r="H2" s="2"/>
      <c r="I2" s="2"/>
    </row>
    <row r="3" ht="17" spans="1:9">
      <c r="A3" s="5" t="s">
        <v>12</v>
      </c>
      <c r="B3" s="5" t="s">
        <v>13</v>
      </c>
      <c r="C3" s="5" t="s">
        <v>14</v>
      </c>
      <c r="D3" s="5" t="s">
        <v>15</v>
      </c>
      <c r="E3" s="5" t="s">
        <v>16</v>
      </c>
      <c r="F3" s="5" t="s">
        <v>17</v>
      </c>
      <c r="G3" s="5" t="s">
        <v>18</v>
      </c>
      <c r="H3" s="5" t="s">
        <v>19</v>
      </c>
      <c r="I3" s="5" t="s">
        <v>20</v>
      </c>
    </row>
    <row r="4" spans="1:9">
      <c r="A4" s="2">
        <v>1</v>
      </c>
      <c r="B4" s="2">
        <v>834.5</v>
      </c>
      <c r="C4" s="2">
        <v>5.1</v>
      </c>
      <c r="D4" s="2">
        <v>264.3</v>
      </c>
      <c r="E4" s="2">
        <v>2.9</v>
      </c>
      <c r="F4" s="2">
        <v>1.3</v>
      </c>
      <c r="G4" s="2">
        <v>3.6</v>
      </c>
      <c r="H4" s="2">
        <v>2.8</v>
      </c>
      <c r="I4" s="2">
        <v>5.8</v>
      </c>
    </row>
    <row r="5" spans="1:9">
      <c r="A5" s="2">
        <v>2</v>
      </c>
      <c r="B5" s="2">
        <v>921.8</v>
      </c>
      <c r="C5" s="2">
        <v>5.8</v>
      </c>
      <c r="D5" s="2">
        <v>280.4</v>
      </c>
      <c r="E5" s="2">
        <v>4.7</v>
      </c>
      <c r="F5" s="2">
        <v>4.9</v>
      </c>
      <c r="G5" s="2">
        <v>3.6</v>
      </c>
      <c r="H5" s="2">
        <v>4.6</v>
      </c>
      <c r="I5" s="2">
        <v>5.2</v>
      </c>
    </row>
    <row r="6" spans="1:9">
      <c r="A6" s="2">
        <v>3</v>
      </c>
      <c r="B6" s="2">
        <v>1087</v>
      </c>
      <c r="C6" s="2">
        <v>4.4</v>
      </c>
      <c r="D6" s="2">
        <v>355.8</v>
      </c>
      <c r="E6" s="2">
        <v>4.9</v>
      </c>
      <c r="F6" s="2">
        <v>4.1</v>
      </c>
      <c r="G6" s="2">
        <v>3.1</v>
      </c>
      <c r="H6" s="2">
        <v>3.3</v>
      </c>
      <c r="I6" s="2">
        <v>6.2</v>
      </c>
    </row>
    <row r="7" spans="1:9">
      <c r="A7" s="2">
        <v>4</v>
      </c>
      <c r="B7" s="2">
        <v>1078.6</v>
      </c>
      <c r="C7" s="2">
        <v>6.5</v>
      </c>
      <c r="D7" s="2">
        <v>290.3</v>
      </c>
      <c r="E7" s="2">
        <v>3.8</v>
      </c>
      <c r="F7" s="2">
        <v>4.2</v>
      </c>
      <c r="G7" s="2">
        <v>4.8</v>
      </c>
      <c r="H7" s="2">
        <v>2.2</v>
      </c>
      <c r="I7" s="2">
        <v>7.4</v>
      </c>
    </row>
    <row r="8" spans="1:9">
      <c r="A8" s="2">
        <v>5</v>
      </c>
      <c r="B8" s="2">
        <v>968.2</v>
      </c>
      <c r="C8" s="2">
        <v>4.1</v>
      </c>
      <c r="D8" s="2">
        <v>302.7</v>
      </c>
      <c r="E8" s="2">
        <v>5.6</v>
      </c>
      <c r="F8" s="2">
        <v>4.1</v>
      </c>
      <c r="G8" s="2">
        <v>4.5</v>
      </c>
      <c r="H8" s="2">
        <v>4.7</v>
      </c>
      <c r="I8" s="2">
        <v>5.4</v>
      </c>
    </row>
    <row r="9" spans="1:9">
      <c r="A9" s="2">
        <v>6</v>
      </c>
      <c r="B9" s="2">
        <v>1105.8</v>
      </c>
      <c r="C9" s="2">
        <v>6.1</v>
      </c>
      <c r="D9" s="2">
        <v>362.5</v>
      </c>
      <c r="E9" s="2">
        <v>3.1</v>
      </c>
      <c r="F9" s="2">
        <v>4</v>
      </c>
      <c r="G9" s="2">
        <v>4.7</v>
      </c>
      <c r="H9" s="2">
        <v>4.8</v>
      </c>
      <c r="I9" s="2">
        <v>4.2</v>
      </c>
    </row>
    <row r="10" spans="1:9">
      <c r="A10" s="2">
        <v>7</v>
      </c>
      <c r="B10" s="2">
        <v>1000.2</v>
      </c>
      <c r="C10" s="2">
        <v>4.1</v>
      </c>
      <c r="D10" s="2">
        <v>325.3</v>
      </c>
      <c r="E10" s="2">
        <v>4</v>
      </c>
      <c r="F10" s="2">
        <v>5.2</v>
      </c>
      <c r="G10" s="2">
        <v>4.6</v>
      </c>
      <c r="H10" s="2">
        <v>3.8</v>
      </c>
      <c r="I10" s="2">
        <v>5.7</v>
      </c>
    </row>
    <row r="11" spans="1:9">
      <c r="A11" s="2">
        <v>8</v>
      </c>
      <c r="B11" s="2">
        <v>955.1</v>
      </c>
      <c r="C11" s="2">
        <v>4.7</v>
      </c>
      <c r="D11" s="2">
        <v>285</v>
      </c>
      <c r="E11" s="2">
        <v>2.2</v>
      </c>
      <c r="F11" s="2">
        <v>4.3</v>
      </c>
      <c r="G11" s="2">
        <v>4.2</v>
      </c>
      <c r="H11" s="2">
        <v>3.4</v>
      </c>
      <c r="I11" s="2">
        <v>7.4</v>
      </c>
    </row>
    <row r="12" spans="1:9">
      <c r="A12" s="2">
        <v>9</v>
      </c>
      <c r="B12" s="2">
        <v>753.8</v>
      </c>
      <c r="C12" s="2">
        <v>5.5</v>
      </c>
      <c r="D12" s="2">
        <v>291.6</v>
      </c>
      <c r="E12" s="2">
        <v>2.3</v>
      </c>
      <c r="F12" s="2">
        <v>5.2</v>
      </c>
      <c r="G12" s="2">
        <v>2.3</v>
      </c>
      <c r="H12" s="2">
        <v>2.4</v>
      </c>
      <c r="I12" s="2">
        <v>3.6</v>
      </c>
    </row>
    <row r="13" spans="1:9">
      <c r="A13" s="2">
        <v>10</v>
      </c>
      <c r="B13" s="2">
        <v>1020.6</v>
      </c>
      <c r="C13" s="2">
        <v>4.3</v>
      </c>
      <c r="D13" s="2">
        <v>313.7</v>
      </c>
      <c r="E13" s="2">
        <v>4.3</v>
      </c>
      <c r="F13" s="2">
        <v>7</v>
      </c>
      <c r="G13" s="2">
        <v>3.4</v>
      </c>
      <c r="H13" s="2">
        <v>4.4</v>
      </c>
      <c r="I13" s="2">
        <v>7</v>
      </c>
    </row>
    <row r="14" spans="1:9">
      <c r="A14" s="2">
        <v>11</v>
      </c>
      <c r="B14" s="2">
        <v>890.9</v>
      </c>
      <c r="C14" s="2">
        <v>4.8</v>
      </c>
      <c r="D14" s="2">
        <v>269.7</v>
      </c>
      <c r="E14" s="2">
        <v>3.7</v>
      </c>
      <c r="F14" s="2">
        <v>5.5</v>
      </c>
      <c r="G14" s="2">
        <v>5.2</v>
      </c>
      <c r="H14" s="2">
        <v>2.6</v>
      </c>
      <c r="I14" s="2">
        <v>5.8</v>
      </c>
    </row>
    <row r="15" spans="1:9">
      <c r="A15" s="2">
        <v>12</v>
      </c>
      <c r="B15" s="2">
        <v>965.1</v>
      </c>
      <c r="C15" s="2">
        <v>3.2</v>
      </c>
      <c r="D15" s="2">
        <v>308.3</v>
      </c>
      <c r="E15" s="2">
        <v>3.8</v>
      </c>
      <c r="F15" s="2">
        <v>6.7</v>
      </c>
      <c r="G15" s="2">
        <v>3.7</v>
      </c>
      <c r="H15" s="2">
        <v>4</v>
      </c>
      <c r="I15" s="2">
        <v>7.2</v>
      </c>
    </row>
    <row r="16" spans="1:9">
      <c r="A16" s="2">
        <v>13</v>
      </c>
      <c r="B16" s="2">
        <v>1038</v>
      </c>
      <c r="C16" s="2">
        <v>6.4</v>
      </c>
      <c r="D16" s="2">
        <v>304.9</v>
      </c>
      <c r="E16" s="2">
        <v>3.4</v>
      </c>
      <c r="F16" s="2">
        <v>3.6</v>
      </c>
      <c r="G16" s="2">
        <v>4</v>
      </c>
      <c r="H16" s="2">
        <v>3.9</v>
      </c>
      <c r="I16" s="2">
        <v>5.9</v>
      </c>
    </row>
    <row r="17" spans="1:9">
      <c r="A17" s="2">
        <v>14</v>
      </c>
      <c r="B17" s="2">
        <v>936.3</v>
      </c>
      <c r="C17" s="2">
        <v>3.5</v>
      </c>
      <c r="D17" s="2">
        <v>331.4</v>
      </c>
      <c r="E17" s="2">
        <v>3.7</v>
      </c>
      <c r="F17" s="2">
        <v>5.2</v>
      </c>
      <c r="G17" s="2">
        <v>3.8</v>
      </c>
      <c r="H17" s="2">
        <v>5.1</v>
      </c>
      <c r="I17" s="2">
        <v>4.7</v>
      </c>
    </row>
    <row r="18" spans="1:9">
      <c r="A18" s="2">
        <v>15</v>
      </c>
      <c r="B18" s="2">
        <v>950</v>
      </c>
      <c r="C18" s="2">
        <v>6.1</v>
      </c>
      <c r="D18" s="2">
        <v>278.3</v>
      </c>
      <c r="E18" s="2">
        <v>2.6</v>
      </c>
      <c r="F18" s="2">
        <v>7.2</v>
      </c>
      <c r="G18" s="2">
        <v>4.9</v>
      </c>
      <c r="H18" s="2">
        <v>2.8</v>
      </c>
      <c r="I18" s="2">
        <v>6.1</v>
      </c>
    </row>
    <row r="19" spans="1:9">
      <c r="A19" s="2">
        <v>16</v>
      </c>
      <c r="B19" s="2">
        <v>1056.8</v>
      </c>
      <c r="C19" s="2">
        <v>5.8</v>
      </c>
      <c r="D19" s="2">
        <v>309.7</v>
      </c>
      <c r="E19" s="2">
        <v>5.2</v>
      </c>
      <c r="F19" s="2">
        <v>4.8</v>
      </c>
      <c r="G19" s="2">
        <v>5.8</v>
      </c>
      <c r="H19" s="2">
        <v>2.8</v>
      </c>
      <c r="I19" s="2">
        <v>5</v>
      </c>
    </row>
    <row r="20" spans="1:9">
      <c r="A20" s="2">
        <v>17</v>
      </c>
      <c r="B20" s="2">
        <v>734.2</v>
      </c>
      <c r="C20" s="2">
        <v>5.3</v>
      </c>
      <c r="D20" s="2">
        <v>253.2</v>
      </c>
      <c r="E20" s="2">
        <v>2.5</v>
      </c>
      <c r="F20" s="2">
        <v>2.7</v>
      </c>
      <c r="G20" s="2">
        <v>4.1</v>
      </c>
      <c r="H20" s="2">
        <v>3.2</v>
      </c>
      <c r="I20" s="2">
        <v>3.7</v>
      </c>
    </row>
    <row r="21" spans="1:9">
      <c r="A21" s="2">
        <v>18</v>
      </c>
      <c r="B21" s="2">
        <v>1021.5</v>
      </c>
      <c r="C21" s="2">
        <v>5.6</v>
      </c>
      <c r="D21" s="2">
        <v>294.5</v>
      </c>
      <c r="E21" s="2">
        <v>3.6</v>
      </c>
      <c r="F21" s="2">
        <v>6</v>
      </c>
      <c r="G21" s="2">
        <v>5.2</v>
      </c>
      <c r="H21" s="2">
        <v>2.5</v>
      </c>
      <c r="I21" s="2">
        <v>6.4</v>
      </c>
    </row>
    <row r="22" spans="1:9">
      <c r="A22" s="2">
        <v>19</v>
      </c>
      <c r="B22" s="2">
        <v>1072.3</v>
      </c>
      <c r="C22" s="2">
        <v>7</v>
      </c>
      <c r="D22" s="2">
        <v>316</v>
      </c>
      <c r="E22" s="2">
        <v>3.1</v>
      </c>
      <c r="F22" s="2">
        <v>5.5</v>
      </c>
      <c r="G22" s="2">
        <v>3.2</v>
      </c>
      <c r="H22" s="2">
        <v>3.3</v>
      </c>
      <c r="I22" s="2">
        <v>6.2</v>
      </c>
    </row>
    <row r="23" spans="1:9">
      <c r="A23" s="2">
        <v>20</v>
      </c>
      <c r="B23" s="2">
        <v>988</v>
      </c>
      <c r="C23" s="2">
        <v>4.9</v>
      </c>
      <c r="D23" s="2">
        <v>313.5</v>
      </c>
      <c r="E23" s="2">
        <v>2.9</v>
      </c>
      <c r="F23" s="2">
        <v>4.8</v>
      </c>
      <c r="G23" s="2">
        <v>2.5</v>
      </c>
      <c r="H23" s="2">
        <v>4.5</v>
      </c>
      <c r="I23" s="2">
        <v>6.6</v>
      </c>
    </row>
    <row r="24" spans="1:9">
      <c r="A24" s="2">
        <v>21</v>
      </c>
      <c r="B24" s="2">
        <v>1072.2</v>
      </c>
      <c r="C24" s="2">
        <v>5.9</v>
      </c>
      <c r="D24" s="2">
        <v>293.3</v>
      </c>
      <c r="E24" s="2">
        <v>4.7</v>
      </c>
      <c r="F24" s="2">
        <v>5.3</v>
      </c>
      <c r="G24" s="2">
        <v>3.7</v>
      </c>
      <c r="H24" s="2">
        <v>3.8</v>
      </c>
      <c r="I24" s="2">
        <v>7.3</v>
      </c>
    </row>
    <row r="25" spans="1:9">
      <c r="A25" s="2">
        <v>22</v>
      </c>
      <c r="B25" s="2">
        <v>1024.7</v>
      </c>
      <c r="C25" s="2">
        <v>4.4</v>
      </c>
      <c r="D25" s="2">
        <v>317.6</v>
      </c>
      <c r="E25" s="2">
        <v>3.3</v>
      </c>
      <c r="F25" s="2">
        <v>6.2</v>
      </c>
      <c r="G25" s="2">
        <v>4.7</v>
      </c>
      <c r="H25" s="2">
        <v>3.1</v>
      </c>
      <c r="I25" s="2">
        <v>6.5</v>
      </c>
    </row>
    <row r="26" spans="1:9">
      <c r="A26" s="2">
        <v>23</v>
      </c>
      <c r="B26" s="2">
        <v>1056.2</v>
      </c>
      <c r="C26" s="2">
        <v>6.1</v>
      </c>
      <c r="D26" s="2">
        <v>321.2</v>
      </c>
      <c r="E26" s="2">
        <v>3.2</v>
      </c>
      <c r="F26" s="2">
        <v>5.9</v>
      </c>
      <c r="G26" s="2">
        <v>5.6</v>
      </c>
      <c r="H26" s="2">
        <v>2.4</v>
      </c>
      <c r="I26" s="2">
        <v>5.1</v>
      </c>
    </row>
    <row r="27" spans="1:9">
      <c r="A27" s="2">
        <v>24</v>
      </c>
      <c r="B27" s="2">
        <v>1017.5</v>
      </c>
      <c r="C27" s="2">
        <v>4.8</v>
      </c>
      <c r="D27" s="2">
        <v>304.5</v>
      </c>
      <c r="E27" s="2">
        <v>4.5</v>
      </c>
      <c r="F27" s="2">
        <v>6.7</v>
      </c>
      <c r="G27" s="2">
        <v>3.3</v>
      </c>
      <c r="H27" s="2">
        <v>3.3</v>
      </c>
      <c r="I27" s="2">
        <v>6.9</v>
      </c>
    </row>
    <row r="28" spans="1:9">
      <c r="A28" s="2">
        <v>25</v>
      </c>
      <c r="B28" s="2">
        <v>1011.8</v>
      </c>
      <c r="C28" s="2">
        <v>5.3</v>
      </c>
      <c r="D28" s="2">
        <v>305.6</v>
      </c>
      <c r="E28" s="2">
        <v>5.3</v>
      </c>
      <c r="F28" s="2">
        <v>4.8</v>
      </c>
      <c r="G28" s="2">
        <v>3.3</v>
      </c>
      <c r="H28" s="2">
        <v>3.9</v>
      </c>
      <c r="I28" s="2">
        <v>5.7</v>
      </c>
    </row>
    <row r="29" spans="1:9">
      <c r="A29" s="2">
        <v>26</v>
      </c>
      <c r="B29" s="2">
        <v>920.9</v>
      </c>
      <c r="C29" s="2">
        <v>4.1</v>
      </c>
      <c r="D29" s="2">
        <v>332</v>
      </c>
      <c r="E29" s="2">
        <v>3.9</v>
      </c>
      <c r="F29" s="2">
        <v>5.4</v>
      </c>
      <c r="G29" s="2">
        <v>2.5</v>
      </c>
      <c r="H29" s="2">
        <v>3.5</v>
      </c>
      <c r="I29" s="2">
        <v>4.5</v>
      </c>
    </row>
    <row r="30" spans="1:9">
      <c r="A30" s="2">
        <v>27</v>
      </c>
      <c r="B30" s="2">
        <v>985.8</v>
      </c>
      <c r="C30" s="2">
        <v>5</v>
      </c>
      <c r="D30" s="2">
        <v>315.3</v>
      </c>
      <c r="E30" s="2">
        <v>3.3</v>
      </c>
      <c r="F30" s="2">
        <v>4.4</v>
      </c>
      <c r="G30" s="2">
        <v>5.5</v>
      </c>
      <c r="H30" s="2">
        <v>2.7</v>
      </c>
      <c r="I30" s="2">
        <v>4.7</v>
      </c>
    </row>
    <row r="31" spans="1:9">
      <c r="A31" s="2">
        <v>28</v>
      </c>
      <c r="B31" s="2">
        <v>1000.8</v>
      </c>
      <c r="C31" s="2">
        <v>4.2</v>
      </c>
      <c r="D31" s="2">
        <v>297</v>
      </c>
      <c r="E31" s="2">
        <v>3.7</v>
      </c>
      <c r="F31" s="2">
        <v>4.6</v>
      </c>
      <c r="G31" s="2">
        <v>4.5</v>
      </c>
      <c r="H31" s="2">
        <v>5.1</v>
      </c>
      <c r="I31" s="2">
        <v>6.5</v>
      </c>
    </row>
    <row r="32" spans="1:9">
      <c r="A32" s="2">
        <v>29</v>
      </c>
      <c r="B32" s="2">
        <v>1167.5</v>
      </c>
      <c r="C32" s="2">
        <v>6.7</v>
      </c>
      <c r="D32" s="2">
        <v>320</v>
      </c>
      <c r="E32" s="2">
        <v>3.5</v>
      </c>
      <c r="F32" s="2">
        <v>3.2</v>
      </c>
      <c r="G32" s="2">
        <v>4.7</v>
      </c>
      <c r="H32" s="2">
        <v>4.3</v>
      </c>
      <c r="I32" s="2">
        <v>6.5</v>
      </c>
    </row>
    <row r="33" spans="1:9">
      <c r="A33" s="2">
        <v>30</v>
      </c>
      <c r="B33" s="2">
        <v>991.7</v>
      </c>
      <c r="C33" s="2">
        <v>5.9</v>
      </c>
      <c r="D33" s="2">
        <v>279.5</v>
      </c>
      <c r="E33" s="2">
        <v>4.2</v>
      </c>
      <c r="F33" s="2">
        <v>5.3</v>
      </c>
      <c r="G33" s="2">
        <v>3.9</v>
      </c>
      <c r="H33" s="2">
        <v>4.5</v>
      </c>
      <c r="I33" s="2">
        <v>6.1</v>
      </c>
    </row>
    <row r="34" spans="1:9">
      <c r="A34" s="2">
        <v>31</v>
      </c>
      <c r="B34" s="2">
        <v>1109.9</v>
      </c>
      <c r="C34" s="2">
        <v>5.8</v>
      </c>
      <c r="D34" s="2">
        <v>328.8</v>
      </c>
      <c r="E34" s="2">
        <v>4.6</v>
      </c>
      <c r="F34" s="2">
        <v>3.5</v>
      </c>
      <c r="G34" s="2">
        <v>3.1</v>
      </c>
      <c r="H34" s="2">
        <v>4.8</v>
      </c>
      <c r="I34" s="2">
        <v>5.9</v>
      </c>
    </row>
    <row r="35" spans="1:9">
      <c r="A35" s="2">
        <v>32</v>
      </c>
      <c r="B35" s="2">
        <v>1031.2</v>
      </c>
      <c r="C35" s="2">
        <v>6</v>
      </c>
      <c r="D35" s="2">
        <v>341.7</v>
      </c>
      <c r="E35" s="2">
        <v>4.3</v>
      </c>
      <c r="F35" s="2">
        <v>4.8</v>
      </c>
      <c r="G35" s="2">
        <v>4</v>
      </c>
      <c r="H35" s="2">
        <v>3.5</v>
      </c>
      <c r="I35" s="2">
        <v>3.5</v>
      </c>
    </row>
    <row r="36" spans="1:9">
      <c r="A36" s="2">
        <v>33</v>
      </c>
      <c r="B36" s="2">
        <v>793.9</v>
      </c>
      <c r="C36" s="2">
        <v>4.6</v>
      </c>
      <c r="D36" s="2">
        <v>272.7</v>
      </c>
      <c r="E36" s="2">
        <v>3.5</v>
      </c>
      <c r="F36" s="2">
        <v>4.1</v>
      </c>
      <c r="G36" s="2">
        <v>4</v>
      </c>
      <c r="H36" s="2">
        <v>3.9</v>
      </c>
      <c r="I36" s="2">
        <v>3.7</v>
      </c>
    </row>
    <row r="37" spans="1:9">
      <c r="A37" s="2">
        <v>34</v>
      </c>
      <c r="B37" s="2">
        <v>829.5</v>
      </c>
      <c r="C37" s="2">
        <v>5.5</v>
      </c>
      <c r="D37" s="2">
        <v>233.7</v>
      </c>
      <c r="E37" s="2">
        <v>3.4</v>
      </c>
      <c r="F37" s="2">
        <v>4.3</v>
      </c>
      <c r="G37" s="2">
        <v>4.3</v>
      </c>
      <c r="H37" s="2">
        <v>4.7</v>
      </c>
      <c r="I37" s="2">
        <v>5.4</v>
      </c>
    </row>
    <row r="38" spans="1:9">
      <c r="A38" s="2">
        <v>35</v>
      </c>
      <c r="B38" s="2">
        <v>1004.9</v>
      </c>
      <c r="C38" s="2">
        <v>4.1</v>
      </c>
      <c r="D38" s="2">
        <v>317.4</v>
      </c>
      <c r="E38" s="2">
        <v>3.3</v>
      </c>
      <c r="F38" s="2">
        <v>4.7</v>
      </c>
      <c r="G38" s="2">
        <v>4.2</v>
      </c>
      <c r="H38" s="2">
        <v>1.9</v>
      </c>
      <c r="I38" s="2">
        <v>6.5</v>
      </c>
    </row>
    <row r="39" spans="1:9">
      <c r="A39" s="2">
        <v>36</v>
      </c>
      <c r="B39" s="2">
        <v>1043</v>
      </c>
      <c r="C39" s="2">
        <v>4.2</v>
      </c>
      <c r="D39" s="2">
        <v>329.7</v>
      </c>
      <c r="E39" s="2">
        <v>4.7</v>
      </c>
      <c r="F39" s="2">
        <v>5.8</v>
      </c>
      <c r="G39" s="2">
        <v>3.1</v>
      </c>
      <c r="H39" s="2">
        <v>4.2</v>
      </c>
      <c r="I39" s="2">
        <v>6.1</v>
      </c>
    </row>
    <row r="40" spans="1:9">
      <c r="A40" s="2">
        <v>37</v>
      </c>
      <c r="B40" s="2">
        <v>1048.5</v>
      </c>
      <c r="C40" s="2">
        <v>6.3</v>
      </c>
      <c r="D40" s="2">
        <v>317.1</v>
      </c>
      <c r="E40" s="2">
        <v>3.6</v>
      </c>
      <c r="F40" s="2">
        <v>5.7</v>
      </c>
      <c r="G40" s="2">
        <v>4.8</v>
      </c>
      <c r="H40" s="2">
        <v>3.5</v>
      </c>
      <c r="I40" s="2">
        <v>4.7</v>
      </c>
    </row>
    <row r="41" spans="1:9">
      <c r="A41" s="2">
        <v>38</v>
      </c>
      <c r="B41" s="2">
        <v>1011.4</v>
      </c>
      <c r="C41" s="2">
        <v>4.7</v>
      </c>
      <c r="D41" s="2">
        <v>315.3</v>
      </c>
      <c r="E41" s="2">
        <v>3.5</v>
      </c>
      <c r="F41" s="2">
        <v>5</v>
      </c>
      <c r="G41" s="2">
        <v>4.4</v>
      </c>
      <c r="H41" s="2">
        <v>4.3</v>
      </c>
      <c r="I41" s="2">
        <v>5.5</v>
      </c>
    </row>
    <row r="42" spans="1:9">
      <c r="A42" s="2">
        <v>39</v>
      </c>
      <c r="B42" s="2">
        <v>985.5</v>
      </c>
      <c r="C42" s="2">
        <v>2.9</v>
      </c>
      <c r="D42" s="2">
        <v>291.4</v>
      </c>
      <c r="E42" s="2">
        <v>3.9</v>
      </c>
      <c r="F42" s="2">
        <v>4.3</v>
      </c>
      <c r="G42" s="2">
        <v>7</v>
      </c>
      <c r="H42" s="2">
        <v>5.2</v>
      </c>
      <c r="I42" s="2">
        <v>5.7</v>
      </c>
    </row>
    <row r="43" spans="1:9">
      <c r="A43" s="2">
        <v>40</v>
      </c>
      <c r="B43" s="2">
        <v>811.4</v>
      </c>
      <c r="C43" s="2">
        <v>3.3</v>
      </c>
      <c r="D43" s="2">
        <v>302</v>
      </c>
      <c r="E43" s="2">
        <v>4.1</v>
      </c>
      <c r="F43" s="2">
        <v>6.5</v>
      </c>
      <c r="G43" s="2">
        <v>3.2</v>
      </c>
      <c r="H43" s="2">
        <v>4.7</v>
      </c>
      <c r="I43" s="2">
        <v>3.7</v>
      </c>
    </row>
    <row r="44" spans="1:9">
      <c r="A44" s="2">
        <v>41</v>
      </c>
      <c r="B44" s="2">
        <v>974.8</v>
      </c>
      <c r="C44" s="2">
        <v>5.3</v>
      </c>
      <c r="D44" s="2">
        <v>277</v>
      </c>
      <c r="E44" s="2">
        <v>5.2</v>
      </c>
      <c r="F44" s="2">
        <v>5.1</v>
      </c>
      <c r="G44" s="2">
        <v>5.2</v>
      </c>
      <c r="H44" s="2">
        <v>4.3</v>
      </c>
      <c r="I44" s="2">
        <v>4.9</v>
      </c>
    </row>
    <row r="45" spans="1:9">
      <c r="A45" s="2">
        <v>42</v>
      </c>
      <c r="B45" s="2">
        <v>1145.9</v>
      </c>
      <c r="C45" s="2">
        <v>7.2</v>
      </c>
      <c r="D45" s="2">
        <v>318.9</v>
      </c>
      <c r="E45" s="2">
        <v>3.1</v>
      </c>
      <c r="F45" s="2">
        <v>3.5</v>
      </c>
      <c r="G45" s="2">
        <v>5.8</v>
      </c>
      <c r="H45" s="2">
        <v>2</v>
      </c>
      <c r="I45" s="2">
        <v>5.5</v>
      </c>
    </row>
    <row r="46" spans="1:9">
      <c r="A46" s="2">
        <v>43</v>
      </c>
      <c r="B46" s="2">
        <v>944.1</v>
      </c>
      <c r="C46" s="2">
        <v>6.4</v>
      </c>
      <c r="D46" s="2">
        <v>283.3</v>
      </c>
      <c r="E46" s="2">
        <v>4.4</v>
      </c>
      <c r="F46" s="2">
        <v>3.4</v>
      </c>
      <c r="G46" s="2">
        <v>4.4</v>
      </c>
      <c r="H46" s="2">
        <v>2.9</v>
      </c>
      <c r="I46" s="2">
        <v>3.9</v>
      </c>
    </row>
    <row r="47" spans="1:9">
      <c r="A47" s="2">
        <v>44</v>
      </c>
      <c r="B47" s="2">
        <v>1067.4</v>
      </c>
      <c r="C47" s="2">
        <v>6.1</v>
      </c>
      <c r="D47" s="2">
        <v>301.4</v>
      </c>
      <c r="E47" s="2">
        <v>4.2</v>
      </c>
      <c r="F47" s="2">
        <v>4.1</v>
      </c>
      <c r="G47" s="2">
        <v>4.3</v>
      </c>
      <c r="H47" s="2">
        <v>4.4</v>
      </c>
      <c r="I47" s="2">
        <v>5.6</v>
      </c>
    </row>
    <row r="48" spans="1:9">
      <c r="A48" s="2">
        <v>45</v>
      </c>
      <c r="B48" s="2">
        <v>934.8</v>
      </c>
      <c r="C48" s="2">
        <v>4.1</v>
      </c>
      <c r="D48" s="2">
        <v>270.7</v>
      </c>
      <c r="E48" s="2">
        <v>4.2</v>
      </c>
      <c r="F48" s="2">
        <v>3.9</v>
      </c>
      <c r="G48" s="2">
        <v>4.2</v>
      </c>
      <c r="H48" s="2">
        <v>3.4</v>
      </c>
      <c r="I48" s="2">
        <v>6.4</v>
      </c>
    </row>
    <row r="49" spans="1:9">
      <c r="A49" s="2">
        <v>46</v>
      </c>
      <c r="B49" s="2">
        <v>1090.5</v>
      </c>
      <c r="C49" s="2">
        <v>6.5</v>
      </c>
      <c r="D49" s="2">
        <v>295.1</v>
      </c>
      <c r="E49" s="2">
        <v>4.3</v>
      </c>
      <c r="F49" s="2">
        <v>6.3</v>
      </c>
      <c r="G49" s="2">
        <v>3.6</v>
      </c>
      <c r="H49" s="2">
        <v>3.2</v>
      </c>
      <c r="I49" s="2">
        <v>6.9</v>
      </c>
    </row>
    <row r="50" spans="1:9">
      <c r="A50" s="2">
        <v>47</v>
      </c>
      <c r="B50" s="2">
        <v>1005.4</v>
      </c>
      <c r="C50" s="2">
        <v>5.1</v>
      </c>
      <c r="D50" s="2">
        <v>289.2</v>
      </c>
      <c r="E50" s="2">
        <v>4</v>
      </c>
      <c r="F50" s="2">
        <v>6</v>
      </c>
      <c r="G50" s="2">
        <v>3.9</v>
      </c>
      <c r="H50" s="2">
        <v>3.9</v>
      </c>
      <c r="I50" s="2">
        <v>6.4</v>
      </c>
    </row>
    <row r="51" spans="1:9">
      <c r="A51" s="2">
        <v>48</v>
      </c>
      <c r="B51" s="2">
        <v>1021</v>
      </c>
      <c r="C51" s="2">
        <v>5.2</v>
      </c>
      <c r="D51" s="2">
        <v>313.7</v>
      </c>
      <c r="E51" s="2">
        <v>4.9</v>
      </c>
      <c r="F51" s="2">
        <v>4.9</v>
      </c>
      <c r="G51" s="2">
        <v>3</v>
      </c>
      <c r="H51" s="2">
        <v>5</v>
      </c>
      <c r="I51" s="2">
        <v>5.1</v>
      </c>
    </row>
    <row r="52" spans="1:9">
      <c r="A52" s="2">
        <v>49</v>
      </c>
      <c r="B52" s="2">
        <v>967</v>
      </c>
      <c r="C52" s="2">
        <v>5.3</v>
      </c>
      <c r="D52" s="2">
        <v>279.1</v>
      </c>
      <c r="E52" s="2">
        <v>4.7</v>
      </c>
      <c r="F52" s="2">
        <v>6.7</v>
      </c>
      <c r="G52" s="2">
        <v>4.7</v>
      </c>
      <c r="H52" s="2">
        <v>3</v>
      </c>
      <c r="I52" s="2">
        <v>5.4</v>
      </c>
    </row>
    <row r="53" spans="1:9">
      <c r="A53" s="2">
        <v>50</v>
      </c>
      <c r="B53" s="2">
        <v>864.9</v>
      </c>
      <c r="C53" s="2">
        <v>3.2</v>
      </c>
      <c r="D53" s="2">
        <v>283.6</v>
      </c>
      <c r="E53" s="2">
        <v>4</v>
      </c>
      <c r="F53" s="2">
        <v>4.1</v>
      </c>
      <c r="G53" s="2">
        <v>4.5</v>
      </c>
      <c r="H53" s="2">
        <v>3.9</v>
      </c>
      <c r="I53" s="2">
        <v>4.8</v>
      </c>
    </row>
    <row r="54" spans="1:9">
      <c r="A54" s="2">
        <v>51</v>
      </c>
      <c r="B54" s="2">
        <v>1053.3</v>
      </c>
      <c r="C54" s="2">
        <v>4.5</v>
      </c>
      <c r="D54" s="2">
        <v>282.4</v>
      </c>
      <c r="E54" s="2">
        <v>5.4</v>
      </c>
      <c r="F54" s="2">
        <v>5</v>
      </c>
      <c r="G54" s="2">
        <v>5.2</v>
      </c>
      <c r="H54" s="2">
        <v>3.9</v>
      </c>
      <c r="I54" s="2">
        <v>6.7</v>
      </c>
    </row>
    <row r="55" spans="1:9">
      <c r="A55" s="2">
        <v>52</v>
      </c>
      <c r="B55" s="2">
        <v>1050.7</v>
      </c>
      <c r="C55" s="2">
        <v>5.9</v>
      </c>
      <c r="D55" s="2">
        <v>290.3</v>
      </c>
      <c r="E55" s="2">
        <v>5.4</v>
      </c>
      <c r="F55" s="2">
        <v>2.6</v>
      </c>
      <c r="G55" s="2">
        <v>4.7</v>
      </c>
      <c r="H55" s="2">
        <v>3.7</v>
      </c>
      <c r="I55" s="2">
        <v>5.1</v>
      </c>
    </row>
    <row r="56" spans="1:9">
      <c r="A56" s="2">
        <v>53</v>
      </c>
      <c r="B56" s="2">
        <v>1192</v>
      </c>
      <c r="C56" s="2">
        <v>5.3</v>
      </c>
      <c r="D56" s="2">
        <v>342</v>
      </c>
      <c r="E56" s="2">
        <v>3.4</v>
      </c>
      <c r="F56" s="2">
        <v>4.7</v>
      </c>
      <c r="G56" s="2">
        <v>3.4</v>
      </c>
      <c r="H56" s="2">
        <v>4.5</v>
      </c>
      <c r="I56" s="2">
        <v>7.4</v>
      </c>
    </row>
    <row r="57" spans="1:9">
      <c r="A57" s="2">
        <v>54</v>
      </c>
      <c r="B57" s="2">
        <v>861.6</v>
      </c>
      <c r="C57" s="2">
        <v>3.5</v>
      </c>
      <c r="D57" s="2">
        <v>278.3</v>
      </c>
      <c r="E57" s="2">
        <v>5.4</v>
      </c>
      <c r="F57" s="2">
        <v>3.8</v>
      </c>
      <c r="G57" s="2">
        <v>3.2</v>
      </c>
      <c r="H57" s="2">
        <v>4.3</v>
      </c>
      <c r="I57" s="2">
        <v>4.7</v>
      </c>
    </row>
    <row r="58" spans="1:9">
      <c r="A58" s="2">
        <v>55</v>
      </c>
      <c r="B58" s="2">
        <v>849.5</v>
      </c>
      <c r="C58" s="2">
        <v>3.3</v>
      </c>
      <c r="D58" s="2">
        <v>272.1</v>
      </c>
      <c r="E58" s="2">
        <v>1.4</v>
      </c>
      <c r="F58" s="2">
        <v>4.9</v>
      </c>
      <c r="G58" s="2">
        <v>3.5</v>
      </c>
      <c r="H58" s="2">
        <v>6</v>
      </c>
      <c r="I58" s="2">
        <v>6.3</v>
      </c>
    </row>
    <row r="59" spans="1:9">
      <c r="A59" s="2">
        <v>56</v>
      </c>
      <c r="B59" s="2">
        <v>941.3</v>
      </c>
      <c r="C59" s="2">
        <v>3.3</v>
      </c>
      <c r="D59" s="2">
        <v>290.8</v>
      </c>
      <c r="E59" s="2">
        <v>4.3</v>
      </c>
      <c r="F59" s="2">
        <v>1.8</v>
      </c>
      <c r="G59" s="2">
        <v>3.6</v>
      </c>
      <c r="H59" s="2">
        <v>4.2</v>
      </c>
      <c r="I59" s="2">
        <v>5.9</v>
      </c>
    </row>
    <row r="60" spans="1:9">
      <c r="A60" s="2">
        <v>57</v>
      </c>
      <c r="B60" s="2">
        <v>1007.2</v>
      </c>
      <c r="C60" s="2">
        <v>5.5</v>
      </c>
      <c r="D60" s="2">
        <v>314.2</v>
      </c>
      <c r="E60" s="2">
        <v>3.2</v>
      </c>
      <c r="F60" s="2">
        <v>4.2</v>
      </c>
      <c r="G60" s="2">
        <v>4.3</v>
      </c>
      <c r="H60" s="2">
        <v>3</v>
      </c>
      <c r="I60" s="2">
        <v>4.7</v>
      </c>
    </row>
    <row r="61" spans="1:9">
      <c r="A61" s="2">
        <v>58</v>
      </c>
      <c r="B61" s="2">
        <v>880</v>
      </c>
      <c r="C61" s="2">
        <v>5.4</v>
      </c>
      <c r="D61" s="2">
        <v>249.4</v>
      </c>
      <c r="E61" s="2">
        <v>4</v>
      </c>
      <c r="F61" s="2">
        <v>3.5</v>
      </c>
      <c r="G61" s="2">
        <v>4.3</v>
      </c>
      <c r="H61" s="2">
        <v>3.6</v>
      </c>
      <c r="I61" s="2">
        <v>5</v>
      </c>
    </row>
    <row r="62" spans="1:9">
      <c r="A62" s="2">
        <v>59</v>
      </c>
      <c r="B62" s="2">
        <v>1101.3</v>
      </c>
      <c r="C62" s="2">
        <v>3.3</v>
      </c>
      <c r="D62" s="2">
        <v>356.2</v>
      </c>
      <c r="E62" s="2">
        <v>3</v>
      </c>
      <c r="F62" s="2">
        <v>6</v>
      </c>
      <c r="G62" s="2">
        <v>6.4</v>
      </c>
      <c r="H62" s="2">
        <v>4.3</v>
      </c>
      <c r="I62" s="2">
        <v>5</v>
      </c>
    </row>
    <row r="63" spans="1:9">
      <c r="A63" s="2">
        <v>60</v>
      </c>
      <c r="B63" s="2">
        <v>937.7</v>
      </c>
      <c r="C63" s="2">
        <v>3.6</v>
      </c>
      <c r="D63" s="2">
        <v>322.2</v>
      </c>
      <c r="E63" s="2">
        <v>2</v>
      </c>
      <c r="F63" s="2">
        <v>7</v>
      </c>
      <c r="G63" s="2">
        <v>4.8</v>
      </c>
      <c r="H63" s="2">
        <v>4</v>
      </c>
      <c r="I63" s="2">
        <v>4.6</v>
      </c>
    </row>
    <row r="64" spans="1:9">
      <c r="A64" s="2">
        <v>61</v>
      </c>
      <c r="B64" s="2">
        <v>1097.4</v>
      </c>
      <c r="C64" s="2">
        <v>4.4</v>
      </c>
      <c r="D64" s="2">
        <v>325.1</v>
      </c>
      <c r="E64" s="2">
        <v>7.1</v>
      </c>
      <c r="F64" s="2">
        <v>6.2</v>
      </c>
      <c r="G64" s="2">
        <v>3.4</v>
      </c>
      <c r="H64" s="2">
        <v>5.2</v>
      </c>
      <c r="I64" s="2">
        <v>5.3</v>
      </c>
    </row>
    <row r="65" spans="1:9">
      <c r="A65" s="2">
        <v>62</v>
      </c>
      <c r="B65" s="2">
        <v>1094.7</v>
      </c>
      <c r="C65" s="2">
        <v>5.8</v>
      </c>
      <c r="D65" s="2">
        <v>329.8</v>
      </c>
      <c r="E65" s="2">
        <v>3.9</v>
      </c>
      <c r="F65" s="2">
        <v>4.3</v>
      </c>
      <c r="G65" s="2">
        <v>3.7</v>
      </c>
      <c r="H65" s="2">
        <v>3.5</v>
      </c>
      <c r="I65" s="2">
        <v>5.2</v>
      </c>
    </row>
    <row r="66" spans="1:9">
      <c r="A66" s="2">
        <v>63</v>
      </c>
      <c r="B66" s="2">
        <v>1044.7</v>
      </c>
      <c r="C66" s="2">
        <v>5.2</v>
      </c>
      <c r="D66" s="2">
        <v>264.6</v>
      </c>
      <c r="E66" s="2">
        <v>5</v>
      </c>
      <c r="F66" s="2">
        <v>4.9</v>
      </c>
      <c r="G66" s="2">
        <v>4.7</v>
      </c>
      <c r="H66" s="2">
        <v>5</v>
      </c>
      <c r="I66" s="2">
        <v>6.8</v>
      </c>
    </row>
    <row r="67" spans="1:9">
      <c r="A67" s="2">
        <v>64</v>
      </c>
      <c r="B67" s="2">
        <v>973.1</v>
      </c>
      <c r="C67" s="2">
        <v>4.9</v>
      </c>
      <c r="D67" s="2">
        <v>265.8</v>
      </c>
      <c r="E67" s="2">
        <v>4.7</v>
      </c>
      <c r="F67" s="2">
        <v>4.3</v>
      </c>
      <c r="G67" s="2">
        <v>4.9</v>
      </c>
      <c r="H67" s="2">
        <v>4.2</v>
      </c>
      <c r="I67" s="2">
        <v>5.6</v>
      </c>
    </row>
    <row r="68" spans="1:9">
      <c r="A68" s="2">
        <v>65</v>
      </c>
      <c r="B68" s="2">
        <v>1062.7</v>
      </c>
      <c r="C68" s="2">
        <v>5.2</v>
      </c>
      <c r="D68" s="2">
        <v>306.6</v>
      </c>
      <c r="E68" s="2">
        <v>2.7</v>
      </c>
      <c r="F68" s="2">
        <v>5.2</v>
      </c>
      <c r="G68" s="2">
        <v>3.2</v>
      </c>
      <c r="H68" s="2">
        <v>4.7</v>
      </c>
      <c r="I68" s="2">
        <v>6.8</v>
      </c>
    </row>
    <row r="69" spans="1:9">
      <c r="A69" s="2">
        <v>66</v>
      </c>
      <c r="B69" s="2">
        <v>855.2</v>
      </c>
      <c r="C69" s="2">
        <v>4.7</v>
      </c>
      <c r="D69" s="2">
        <v>235.1</v>
      </c>
      <c r="E69" s="2">
        <v>5.5</v>
      </c>
      <c r="F69" s="2">
        <v>2.3</v>
      </c>
      <c r="G69" s="2">
        <v>5.4</v>
      </c>
      <c r="H69" s="2">
        <v>4.3</v>
      </c>
      <c r="I69" s="2">
        <v>4.2</v>
      </c>
    </row>
    <row r="70" spans="1:9">
      <c r="A70" s="2">
        <v>67</v>
      </c>
      <c r="B70" s="2">
        <v>1044.2</v>
      </c>
      <c r="C70" s="2">
        <v>4.7</v>
      </c>
      <c r="D70" s="2">
        <v>347.4</v>
      </c>
      <c r="E70" s="2">
        <v>3.7</v>
      </c>
      <c r="F70" s="2">
        <v>6.7</v>
      </c>
      <c r="G70" s="2">
        <v>2.8</v>
      </c>
      <c r="H70" s="2">
        <v>2.6</v>
      </c>
      <c r="I70" s="2">
        <v>5</v>
      </c>
    </row>
    <row r="71" spans="1:9">
      <c r="A71" s="2">
        <v>68</v>
      </c>
      <c r="B71" s="2">
        <v>1111.9</v>
      </c>
      <c r="C71" s="2">
        <v>6.7</v>
      </c>
      <c r="D71" s="2">
        <v>310.1</v>
      </c>
      <c r="E71" s="2">
        <v>4.7</v>
      </c>
      <c r="F71" s="2">
        <v>4.1</v>
      </c>
      <c r="G71" s="2">
        <v>2.8</v>
      </c>
      <c r="H71" s="2">
        <v>4</v>
      </c>
      <c r="I71" s="2">
        <v>5.8</v>
      </c>
    </row>
    <row r="72" spans="1:9">
      <c r="A72" s="2">
        <v>69</v>
      </c>
      <c r="B72" s="2">
        <v>845.5</v>
      </c>
      <c r="C72" s="2">
        <v>4.9</v>
      </c>
      <c r="D72" s="2">
        <v>260.4</v>
      </c>
      <c r="E72" s="2">
        <v>5</v>
      </c>
      <c r="F72" s="2">
        <v>4.4</v>
      </c>
      <c r="G72" s="2">
        <v>3.5</v>
      </c>
      <c r="H72" s="2">
        <v>3.4</v>
      </c>
      <c r="I72" s="2">
        <v>4.1</v>
      </c>
    </row>
    <row r="73" spans="1:9">
      <c r="A73" s="2">
        <v>70</v>
      </c>
      <c r="B73" s="2">
        <v>1060.6</v>
      </c>
      <c r="C73" s="2">
        <v>6.8</v>
      </c>
      <c r="D73" s="2">
        <v>289</v>
      </c>
      <c r="E73" s="2">
        <v>4.5</v>
      </c>
      <c r="F73" s="2">
        <v>5.8</v>
      </c>
      <c r="G73" s="2">
        <v>4</v>
      </c>
      <c r="H73" s="2">
        <v>3.9</v>
      </c>
      <c r="I73" s="2">
        <v>5.3</v>
      </c>
    </row>
    <row r="74" spans="1:9">
      <c r="A74" s="2">
        <v>71</v>
      </c>
      <c r="B74" s="2">
        <v>951.8</v>
      </c>
      <c r="C74" s="2">
        <v>4.1</v>
      </c>
      <c r="D74" s="2">
        <v>285.8</v>
      </c>
      <c r="E74" s="2">
        <v>4.1</v>
      </c>
      <c r="F74" s="2">
        <v>5.4</v>
      </c>
      <c r="G74" s="2">
        <v>4.8</v>
      </c>
      <c r="H74" s="2">
        <v>5.1</v>
      </c>
      <c r="I74" s="2">
        <v>4.9</v>
      </c>
    </row>
    <row r="75" spans="1:9">
      <c r="A75" s="2">
        <v>72</v>
      </c>
      <c r="B75" s="2">
        <v>889.3</v>
      </c>
      <c r="C75" s="2">
        <v>3.4</v>
      </c>
      <c r="D75" s="2">
        <v>249</v>
      </c>
      <c r="E75" s="2">
        <v>5.5</v>
      </c>
      <c r="F75" s="2">
        <v>3.1</v>
      </c>
      <c r="G75" s="2">
        <v>4.6</v>
      </c>
      <c r="H75" s="2">
        <v>3.4</v>
      </c>
      <c r="I75" s="2">
        <v>5.9</v>
      </c>
    </row>
    <row r="76" spans="1:9">
      <c r="A76" s="2">
        <v>73</v>
      </c>
      <c r="B76" s="2">
        <v>1208.7</v>
      </c>
      <c r="C76" s="2">
        <v>5</v>
      </c>
      <c r="D76" s="2">
        <v>343.5</v>
      </c>
      <c r="E76" s="2">
        <v>4</v>
      </c>
      <c r="F76" s="2">
        <v>4</v>
      </c>
      <c r="G76" s="2">
        <v>5.9</v>
      </c>
      <c r="H76" s="2">
        <v>3.8</v>
      </c>
      <c r="I76" s="2">
        <v>5.8</v>
      </c>
    </row>
    <row r="77" spans="1:9">
      <c r="A77" s="2">
        <v>74</v>
      </c>
      <c r="B77" s="2">
        <v>1102.4</v>
      </c>
      <c r="C77" s="2">
        <v>5.6</v>
      </c>
      <c r="D77" s="2">
        <v>328.4</v>
      </c>
      <c r="E77" s="2">
        <v>4.5</v>
      </c>
      <c r="F77" s="2">
        <v>5.3</v>
      </c>
      <c r="G77" s="2">
        <v>3.2</v>
      </c>
      <c r="H77" s="2">
        <v>4.4</v>
      </c>
      <c r="I77" s="2">
        <v>5.2</v>
      </c>
    </row>
    <row r="78" spans="1:9">
      <c r="A78" s="2">
        <v>75</v>
      </c>
      <c r="B78" s="2">
        <v>996.7</v>
      </c>
      <c r="C78" s="2">
        <v>3.4</v>
      </c>
      <c r="D78" s="2">
        <v>291.6</v>
      </c>
      <c r="E78" s="2">
        <v>4.5</v>
      </c>
      <c r="F78" s="2">
        <v>4</v>
      </c>
      <c r="G78" s="2">
        <v>4.6</v>
      </c>
      <c r="H78" s="2">
        <v>3.9</v>
      </c>
      <c r="I78" s="2">
        <v>6.1</v>
      </c>
    </row>
    <row r="79" spans="1:9">
      <c r="A79" s="2">
        <v>76</v>
      </c>
      <c r="B79" s="2">
        <v>943.1</v>
      </c>
      <c r="C79" s="2">
        <v>3.9</v>
      </c>
      <c r="D79" s="2">
        <v>265.8</v>
      </c>
      <c r="E79" s="2">
        <v>5.5</v>
      </c>
      <c r="F79" s="2">
        <v>4.8</v>
      </c>
      <c r="G79" s="2">
        <v>5.4</v>
      </c>
      <c r="H79" s="2">
        <v>3.2</v>
      </c>
      <c r="I79" s="2">
        <v>5.2</v>
      </c>
    </row>
    <row r="80" spans="1:9">
      <c r="A80" s="2">
        <v>77</v>
      </c>
      <c r="B80" s="2">
        <v>1010.1</v>
      </c>
      <c r="C80" s="2">
        <v>5.3</v>
      </c>
      <c r="D80" s="2">
        <v>295.2</v>
      </c>
      <c r="E80" s="2">
        <v>4.3</v>
      </c>
      <c r="F80" s="2">
        <v>4.7</v>
      </c>
      <c r="G80" s="2">
        <v>3.9</v>
      </c>
      <c r="H80" s="2">
        <v>3</v>
      </c>
      <c r="I80" s="2">
        <v>5.2</v>
      </c>
    </row>
    <row r="81" spans="1:9">
      <c r="A81" s="2">
        <v>78</v>
      </c>
      <c r="B81" s="2">
        <v>1138.2</v>
      </c>
      <c r="C81" s="2">
        <v>4.6</v>
      </c>
      <c r="D81" s="2">
        <v>357.2</v>
      </c>
      <c r="E81" s="2">
        <v>4.4</v>
      </c>
      <c r="F81" s="2">
        <v>3.7</v>
      </c>
      <c r="G81" s="2">
        <v>3.5</v>
      </c>
      <c r="H81" s="2">
        <v>4.9</v>
      </c>
      <c r="I81" s="2">
        <v>4.8</v>
      </c>
    </row>
    <row r="82" spans="1:9">
      <c r="A82" s="2">
        <v>79</v>
      </c>
      <c r="B82" s="2">
        <v>1024.1</v>
      </c>
      <c r="C82" s="2">
        <v>4.8</v>
      </c>
      <c r="D82" s="2">
        <v>284.1</v>
      </c>
      <c r="E82" s="2">
        <v>3.4</v>
      </c>
      <c r="F82" s="2">
        <v>5.1</v>
      </c>
      <c r="G82" s="2">
        <v>4.9</v>
      </c>
      <c r="H82" s="2">
        <v>3</v>
      </c>
      <c r="I82" s="2">
        <v>6.4</v>
      </c>
    </row>
    <row r="83" spans="1:9">
      <c r="A83" s="2">
        <v>80</v>
      </c>
      <c r="B83" s="2">
        <v>1033.2</v>
      </c>
      <c r="C83" s="2">
        <v>5</v>
      </c>
      <c r="D83" s="2">
        <v>292.7</v>
      </c>
      <c r="E83" s="2">
        <v>5.1</v>
      </c>
      <c r="F83" s="2">
        <v>5</v>
      </c>
      <c r="G83" s="2">
        <v>5.6</v>
      </c>
      <c r="H83" s="2">
        <v>2.9</v>
      </c>
      <c r="I83" s="2">
        <v>4.7</v>
      </c>
    </row>
    <row r="84" spans="1:9">
      <c r="A84" s="2">
        <v>81</v>
      </c>
      <c r="B84" s="2">
        <v>1103.3</v>
      </c>
      <c r="C84" s="2">
        <v>4.8</v>
      </c>
      <c r="D84" s="2">
        <v>339.6</v>
      </c>
      <c r="E84" s="2">
        <v>3</v>
      </c>
      <c r="F84" s="2">
        <v>5</v>
      </c>
      <c r="G84" s="2">
        <v>4.5</v>
      </c>
      <c r="H84" s="2">
        <v>6.3</v>
      </c>
      <c r="I84" s="2">
        <v>4.6</v>
      </c>
    </row>
    <row r="85" spans="1:9">
      <c r="A85" s="2">
        <v>82</v>
      </c>
      <c r="B85" s="2">
        <v>958.7</v>
      </c>
      <c r="C85" s="2">
        <v>3.4</v>
      </c>
      <c r="D85" s="2">
        <v>306.4</v>
      </c>
      <c r="E85" s="2">
        <v>3.3</v>
      </c>
      <c r="F85" s="2">
        <v>5.5</v>
      </c>
      <c r="G85" s="2">
        <v>4.3</v>
      </c>
      <c r="H85" s="2">
        <v>3.3</v>
      </c>
      <c r="I85" s="2">
        <v>5.3</v>
      </c>
    </row>
    <row r="86" spans="1:9">
      <c r="A86" s="2">
        <v>83</v>
      </c>
      <c r="B86" s="2">
        <v>986.3</v>
      </c>
      <c r="C86" s="2">
        <v>5.8</v>
      </c>
      <c r="D86" s="2">
        <v>289.5</v>
      </c>
      <c r="E86" s="2">
        <v>3.9</v>
      </c>
      <c r="F86" s="2">
        <v>5.7</v>
      </c>
      <c r="G86" s="2">
        <v>3.5</v>
      </c>
      <c r="H86" s="2">
        <v>5</v>
      </c>
      <c r="I86" s="2">
        <v>4.6</v>
      </c>
    </row>
    <row r="87" spans="1:9">
      <c r="A87" s="2">
        <v>84</v>
      </c>
      <c r="B87" s="2">
        <v>1151</v>
      </c>
      <c r="C87" s="2">
        <v>6.5</v>
      </c>
      <c r="D87" s="2">
        <v>305.2</v>
      </c>
      <c r="E87" s="2">
        <v>4.3</v>
      </c>
      <c r="F87" s="2">
        <v>2.8</v>
      </c>
      <c r="G87" s="2">
        <v>4.5</v>
      </c>
      <c r="H87" s="2">
        <v>2.4</v>
      </c>
      <c r="I87" s="2">
        <v>6</v>
      </c>
    </row>
    <row r="88" spans="1:9">
      <c r="A88" s="2">
        <v>85</v>
      </c>
      <c r="B88" s="2">
        <v>933.7</v>
      </c>
      <c r="C88" s="2">
        <v>6.3</v>
      </c>
      <c r="D88" s="2">
        <v>273.3</v>
      </c>
      <c r="E88" s="2">
        <v>2.1</v>
      </c>
      <c r="F88" s="2">
        <v>4.9</v>
      </c>
      <c r="G88" s="2">
        <v>5.4</v>
      </c>
      <c r="H88" s="2">
        <v>3.2</v>
      </c>
      <c r="I88" s="2">
        <v>3.9</v>
      </c>
    </row>
    <row r="89" spans="1:9">
      <c r="A89" s="2">
        <v>86</v>
      </c>
      <c r="B89" s="2">
        <v>1023.8</v>
      </c>
      <c r="C89" s="2">
        <v>5.6</v>
      </c>
      <c r="D89" s="2">
        <v>310.5</v>
      </c>
      <c r="E89" s="2">
        <v>3.8</v>
      </c>
      <c r="F89" s="2">
        <v>4.3</v>
      </c>
      <c r="G89" s="2">
        <v>4</v>
      </c>
      <c r="H89" s="2">
        <v>2.8</v>
      </c>
      <c r="I89" s="2">
        <v>4.3</v>
      </c>
    </row>
    <row r="90" spans="1:9">
      <c r="A90" s="2">
        <v>87</v>
      </c>
      <c r="B90" s="2">
        <v>983</v>
      </c>
      <c r="C90" s="2">
        <v>4</v>
      </c>
      <c r="D90" s="2">
        <v>286.5</v>
      </c>
      <c r="E90" s="2">
        <v>3.8</v>
      </c>
      <c r="F90" s="2">
        <v>4.1</v>
      </c>
      <c r="G90" s="2">
        <v>4</v>
      </c>
      <c r="H90" s="2">
        <v>4.4</v>
      </c>
      <c r="I90" s="2">
        <v>5.8</v>
      </c>
    </row>
    <row r="91" spans="1:9">
      <c r="A91" s="2">
        <v>88</v>
      </c>
      <c r="B91" s="2">
        <v>1160.5</v>
      </c>
      <c r="C91" s="2">
        <v>5.3</v>
      </c>
      <c r="D91" s="2">
        <v>301.5</v>
      </c>
      <c r="E91" s="2">
        <v>4.7</v>
      </c>
      <c r="F91" s="2">
        <v>3.2</v>
      </c>
      <c r="G91" s="2">
        <v>5.7</v>
      </c>
      <c r="H91" s="2">
        <v>4.1</v>
      </c>
      <c r="I91" s="2">
        <v>6.2</v>
      </c>
    </row>
    <row r="92" spans="1:9">
      <c r="A92" s="2">
        <v>89</v>
      </c>
      <c r="B92" s="2">
        <v>733.9</v>
      </c>
      <c r="C92" s="2">
        <v>3.2</v>
      </c>
      <c r="D92" s="2">
        <v>289.1</v>
      </c>
      <c r="E92" s="2">
        <v>2.2</v>
      </c>
      <c r="F92" s="2">
        <v>3.5</v>
      </c>
      <c r="G92" s="2">
        <v>3.6</v>
      </c>
      <c r="H92" s="2">
        <v>2.8</v>
      </c>
      <c r="I92" s="2">
        <v>2.5</v>
      </c>
    </row>
    <row r="93" spans="1:9">
      <c r="A93" s="2">
        <v>90</v>
      </c>
      <c r="B93" s="2">
        <v>1154.7</v>
      </c>
      <c r="C93" s="2">
        <v>5.2</v>
      </c>
      <c r="D93" s="2">
        <v>341.4</v>
      </c>
      <c r="E93" s="2">
        <v>3.3</v>
      </c>
      <c r="F93" s="2">
        <v>6.6</v>
      </c>
      <c r="G93" s="2">
        <v>2.8</v>
      </c>
      <c r="H93" s="2">
        <v>1.9</v>
      </c>
      <c r="I93" s="2">
        <v>7</v>
      </c>
    </row>
    <row r="94" spans="1:9">
      <c r="A94" s="2">
        <v>91</v>
      </c>
      <c r="B94" s="2">
        <v>1040.9</v>
      </c>
      <c r="C94" s="2">
        <v>5.4</v>
      </c>
      <c r="D94" s="2">
        <v>254</v>
      </c>
      <c r="E94" s="2">
        <v>4.5</v>
      </c>
      <c r="F94" s="2">
        <v>3.6</v>
      </c>
      <c r="G94" s="2">
        <v>4.3</v>
      </c>
      <c r="H94" s="2">
        <v>3.9</v>
      </c>
      <c r="I94" s="2">
        <v>7</v>
      </c>
    </row>
    <row r="95" spans="1:9">
      <c r="A95" s="2">
        <v>92</v>
      </c>
      <c r="B95" s="2">
        <v>1058.6</v>
      </c>
      <c r="C95" s="2">
        <v>6.6</v>
      </c>
      <c r="D95" s="2">
        <v>288.9</v>
      </c>
      <c r="E95" s="2">
        <v>3.3</v>
      </c>
      <c r="F95" s="2">
        <v>4.1</v>
      </c>
      <c r="G95" s="2">
        <v>4.8</v>
      </c>
      <c r="H95" s="2">
        <v>4</v>
      </c>
      <c r="I95" s="2">
        <v>4.7</v>
      </c>
    </row>
    <row r="96" spans="1:9">
      <c r="A96" s="2">
        <v>93</v>
      </c>
      <c r="B96" s="2">
        <v>1187.9</v>
      </c>
      <c r="C96" s="2">
        <v>5.9</v>
      </c>
      <c r="D96" s="2">
        <v>324.7</v>
      </c>
      <c r="E96" s="2">
        <v>4.8</v>
      </c>
      <c r="F96" s="2">
        <v>4.6</v>
      </c>
      <c r="G96" s="2">
        <v>4.3</v>
      </c>
      <c r="H96" s="2">
        <v>3</v>
      </c>
      <c r="I96" s="2">
        <v>5.9</v>
      </c>
    </row>
    <row r="97" spans="1:9">
      <c r="A97" s="2">
        <v>94</v>
      </c>
      <c r="B97" s="2">
        <v>1041.2</v>
      </c>
      <c r="C97" s="2">
        <v>5.4</v>
      </c>
      <c r="D97" s="2">
        <v>278.6</v>
      </c>
      <c r="E97" s="2">
        <v>4.6</v>
      </c>
      <c r="F97" s="2">
        <v>5.8</v>
      </c>
      <c r="G97" s="2">
        <v>3.1</v>
      </c>
      <c r="H97" s="2">
        <v>2.9</v>
      </c>
      <c r="I97" s="2">
        <v>6.7</v>
      </c>
    </row>
    <row r="98" spans="1:9">
      <c r="A98" s="2">
        <v>95</v>
      </c>
      <c r="B98" s="2">
        <v>1074.7</v>
      </c>
      <c r="C98" s="2">
        <v>3.5</v>
      </c>
      <c r="D98" s="2">
        <v>279.9</v>
      </c>
      <c r="E98" s="2">
        <v>3.9</v>
      </c>
      <c r="F98" s="2">
        <v>4.9</v>
      </c>
      <c r="G98" s="2">
        <v>4.2</v>
      </c>
      <c r="H98" s="2">
        <v>4.6</v>
      </c>
      <c r="I98" s="2">
        <v>8.1</v>
      </c>
    </row>
    <row r="99" spans="1:9">
      <c r="A99" s="2">
        <v>96</v>
      </c>
      <c r="B99" s="2">
        <v>1009.5</v>
      </c>
      <c r="C99" s="2">
        <v>5</v>
      </c>
      <c r="D99" s="2">
        <v>287.5</v>
      </c>
      <c r="E99" s="2">
        <v>2.4</v>
      </c>
      <c r="F99" s="2">
        <v>5.2</v>
      </c>
      <c r="G99" s="2">
        <v>4.4</v>
      </c>
      <c r="H99" s="2">
        <v>4.5</v>
      </c>
      <c r="I99" s="2">
        <v>5.7</v>
      </c>
    </row>
    <row r="100" spans="1:9">
      <c r="A100" s="2">
        <v>97</v>
      </c>
      <c r="B100" s="2">
        <v>892.1</v>
      </c>
      <c r="C100" s="2">
        <v>4.9</v>
      </c>
      <c r="D100" s="2">
        <v>288</v>
      </c>
      <c r="E100" s="2">
        <v>3.4</v>
      </c>
      <c r="F100" s="2">
        <v>4.7</v>
      </c>
      <c r="G100" s="2">
        <v>2.4</v>
      </c>
      <c r="H100" s="2">
        <v>3.6</v>
      </c>
      <c r="I100" s="2">
        <v>4.3</v>
      </c>
    </row>
    <row r="101" spans="1:9">
      <c r="A101" s="2">
        <v>98</v>
      </c>
      <c r="B101" s="2">
        <v>1021.1</v>
      </c>
      <c r="C101" s="2">
        <v>4.3</v>
      </c>
      <c r="D101" s="2">
        <v>275.5</v>
      </c>
      <c r="E101" s="2">
        <v>3.9</v>
      </c>
      <c r="F101" s="2">
        <v>5.7</v>
      </c>
      <c r="G101" s="2">
        <v>2.9</v>
      </c>
      <c r="H101" s="2">
        <v>3.2</v>
      </c>
      <c r="I101" s="2">
        <v>7.7</v>
      </c>
    </row>
    <row r="102" spans="1:9">
      <c r="A102" s="2">
        <v>99</v>
      </c>
      <c r="B102" s="2">
        <v>813.8</v>
      </c>
      <c r="C102" s="2">
        <v>3.7</v>
      </c>
      <c r="D102" s="2">
        <v>299.1</v>
      </c>
      <c r="E102" s="2">
        <v>2.5</v>
      </c>
      <c r="F102" s="2">
        <v>6.6</v>
      </c>
      <c r="G102" s="2">
        <v>3.1</v>
      </c>
      <c r="H102" s="2">
        <v>2.9</v>
      </c>
      <c r="I102" s="2">
        <v>3.3</v>
      </c>
    </row>
    <row r="103" spans="1:9">
      <c r="A103" s="2">
        <v>100</v>
      </c>
      <c r="B103" s="2">
        <v>1008.5</v>
      </c>
      <c r="C103" s="2">
        <v>5.5</v>
      </c>
      <c r="D103" s="2">
        <v>262.1</v>
      </c>
      <c r="E103" s="2">
        <v>4</v>
      </c>
      <c r="F103" s="2">
        <v>4.2</v>
      </c>
      <c r="G103" s="2">
        <v>2.8</v>
      </c>
      <c r="H103" s="2">
        <v>2.3</v>
      </c>
      <c r="I103" s="2">
        <v>7.2</v>
      </c>
    </row>
    <row r="104" spans="1:9">
      <c r="A104" s="2">
        <v>101</v>
      </c>
      <c r="B104" s="2">
        <v>1008.9</v>
      </c>
      <c r="C104" s="2">
        <v>5.1</v>
      </c>
      <c r="D104" s="2">
        <v>280.6</v>
      </c>
      <c r="E104" s="2">
        <v>5.4</v>
      </c>
      <c r="F104" s="2">
        <v>5.5</v>
      </c>
      <c r="G104" s="2">
        <v>3.2</v>
      </c>
      <c r="H104" s="2">
        <v>3.4</v>
      </c>
      <c r="I104" s="2">
        <v>5.5</v>
      </c>
    </row>
    <row r="105" spans="1:9">
      <c r="A105" s="2">
        <v>102</v>
      </c>
      <c r="B105" s="2">
        <v>1166.3</v>
      </c>
      <c r="C105" s="2">
        <v>5.4</v>
      </c>
      <c r="D105" s="2">
        <v>330.5</v>
      </c>
      <c r="E105" s="2">
        <v>2.3</v>
      </c>
      <c r="F105" s="2">
        <v>4.4</v>
      </c>
      <c r="G105" s="2">
        <v>4</v>
      </c>
      <c r="H105" s="2">
        <v>3.5</v>
      </c>
      <c r="I105" s="2">
        <v>6.5</v>
      </c>
    </row>
    <row r="106" spans="1:9">
      <c r="A106" s="2">
        <v>103</v>
      </c>
      <c r="B106" s="2">
        <v>946.3</v>
      </c>
      <c r="C106" s="2">
        <v>5</v>
      </c>
      <c r="D106" s="2">
        <v>293.7</v>
      </c>
      <c r="E106" s="2">
        <v>2.9</v>
      </c>
      <c r="F106" s="2">
        <v>5.8</v>
      </c>
      <c r="G106" s="2">
        <v>4.1</v>
      </c>
      <c r="H106" s="2">
        <v>3.6</v>
      </c>
      <c r="I106" s="2">
        <v>4.1</v>
      </c>
    </row>
    <row r="107" spans="1:9">
      <c r="A107" s="2">
        <v>104</v>
      </c>
      <c r="B107" s="2">
        <v>1056.2</v>
      </c>
      <c r="C107" s="2">
        <v>3.5</v>
      </c>
      <c r="D107" s="2">
        <v>310.9</v>
      </c>
      <c r="E107" s="2">
        <v>2</v>
      </c>
      <c r="F107" s="2">
        <v>5.4</v>
      </c>
      <c r="G107" s="2">
        <v>5</v>
      </c>
      <c r="H107" s="2">
        <v>2.7</v>
      </c>
      <c r="I107" s="2">
        <v>6.7</v>
      </c>
    </row>
    <row r="108" spans="1:9">
      <c r="A108" s="2">
        <v>105</v>
      </c>
      <c r="B108" s="2">
        <v>973.2</v>
      </c>
      <c r="C108" s="2">
        <v>3.2</v>
      </c>
      <c r="D108" s="2">
        <v>305.3</v>
      </c>
      <c r="E108" s="2">
        <v>3.6</v>
      </c>
      <c r="F108" s="2">
        <v>6.4</v>
      </c>
      <c r="G108" s="2">
        <v>3.1</v>
      </c>
      <c r="H108" s="2">
        <v>1.6</v>
      </c>
      <c r="I108" s="2">
        <v>6.3</v>
      </c>
    </row>
    <row r="109" spans="1:9">
      <c r="A109" s="2">
        <v>106</v>
      </c>
      <c r="B109" s="2">
        <v>1163.1</v>
      </c>
      <c r="C109" s="2">
        <v>4.1</v>
      </c>
      <c r="D109" s="2">
        <v>304.6</v>
      </c>
      <c r="E109" s="2">
        <v>5.2</v>
      </c>
      <c r="F109" s="2">
        <v>3.7</v>
      </c>
      <c r="G109" s="2">
        <v>5.9</v>
      </c>
      <c r="H109" s="2">
        <v>3.7</v>
      </c>
      <c r="I109" s="2">
        <v>6.4</v>
      </c>
    </row>
    <row r="110" spans="1:9">
      <c r="A110" s="2">
        <v>107</v>
      </c>
      <c r="B110" s="2">
        <v>1015.4</v>
      </c>
      <c r="C110" s="2">
        <v>5</v>
      </c>
      <c r="D110" s="2">
        <v>312.9</v>
      </c>
      <c r="E110" s="2">
        <v>2.8</v>
      </c>
      <c r="F110" s="2">
        <v>6</v>
      </c>
      <c r="G110" s="2">
        <v>4.9</v>
      </c>
      <c r="H110" s="2">
        <v>2.2</v>
      </c>
      <c r="I110" s="2">
        <v>4.3</v>
      </c>
    </row>
    <row r="111" spans="1:9">
      <c r="A111" s="2">
        <v>108</v>
      </c>
      <c r="B111" s="2">
        <v>852</v>
      </c>
      <c r="C111" s="2">
        <v>3.7</v>
      </c>
      <c r="D111" s="2">
        <v>284.4</v>
      </c>
      <c r="E111" s="2">
        <v>4.1</v>
      </c>
      <c r="F111" s="2">
        <v>5.4</v>
      </c>
      <c r="G111" s="2">
        <v>2.2</v>
      </c>
      <c r="H111" s="2">
        <v>3.3</v>
      </c>
      <c r="I111" s="2">
        <v>4.3</v>
      </c>
    </row>
    <row r="112" spans="1:9">
      <c r="A112" s="2">
        <v>109</v>
      </c>
      <c r="B112" s="2">
        <v>986.8</v>
      </c>
      <c r="C112" s="2">
        <v>5.3</v>
      </c>
      <c r="D112" s="2">
        <v>270.7</v>
      </c>
      <c r="E112" s="2">
        <v>3.1</v>
      </c>
      <c r="F112" s="2">
        <v>6.3</v>
      </c>
      <c r="G112" s="2">
        <v>3.8</v>
      </c>
      <c r="H112" s="2">
        <v>3.4</v>
      </c>
      <c r="I112" s="2">
        <v>5.9</v>
      </c>
    </row>
    <row r="113" spans="1:9">
      <c r="A113" s="2">
        <v>110</v>
      </c>
      <c r="B113" s="2">
        <v>985.8</v>
      </c>
      <c r="C113" s="2">
        <v>4.4</v>
      </c>
      <c r="D113" s="2">
        <v>306</v>
      </c>
      <c r="E113" s="2">
        <v>3.8</v>
      </c>
      <c r="F113" s="2">
        <v>5.6</v>
      </c>
      <c r="G113" s="2">
        <v>2.4</v>
      </c>
      <c r="H113" s="2">
        <v>4.3</v>
      </c>
      <c r="I113" s="2">
        <v>5</v>
      </c>
    </row>
  </sheetData>
  <mergeCells count="1">
    <mergeCell ref="A1:I1"/>
  </mergeCells>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6"/>
  <sheetViews>
    <sheetView workbookViewId="0">
      <selection activeCell="D11" sqref="D11"/>
    </sheetView>
  </sheetViews>
  <sheetFormatPr defaultColWidth="9" defaultRowHeight="16.8"/>
  <cols>
    <col min="1" max="1" width="20" customWidth="1"/>
    <col min="2" max="2" width="8" customWidth="1"/>
    <col min="3" max="5" width="13" customWidth="1"/>
    <col min="6" max="7" width="10" customWidth="1"/>
    <col min="8" max="8" width="20" customWidth="1"/>
    <col min="9" max="10" width="18" customWidth="1"/>
  </cols>
  <sheetData>
    <row r="1" ht="23.2" spans="1:10">
      <c r="A1" s="1" t="s">
        <v>21</v>
      </c>
      <c r="B1" s="1"/>
      <c r="C1" s="1"/>
      <c r="D1" s="1"/>
      <c r="E1" s="1"/>
      <c r="F1" s="1"/>
      <c r="G1" s="1"/>
      <c r="H1" s="1"/>
      <c r="I1" s="1"/>
      <c r="J1" s="1"/>
    </row>
    <row r="2" spans="1:10">
      <c r="A2" s="2"/>
      <c r="B2" s="2"/>
      <c r="C2" s="2"/>
      <c r="D2" s="2"/>
      <c r="E2" s="2"/>
      <c r="F2" s="2"/>
      <c r="G2" s="2"/>
      <c r="H2" s="2"/>
      <c r="I2" s="2"/>
      <c r="J2" s="2"/>
    </row>
    <row r="3" spans="1:10">
      <c r="A3" s="4" t="s">
        <v>22</v>
      </c>
      <c r="B3" s="4"/>
      <c r="C3" s="4"/>
      <c r="D3" s="4"/>
      <c r="E3" s="4"/>
      <c r="F3" s="4"/>
      <c r="G3" s="4"/>
      <c r="H3" s="4"/>
      <c r="I3" s="4"/>
      <c r="J3" s="4"/>
    </row>
    <row r="4" spans="1:10">
      <c r="A4" s="4"/>
      <c r="B4" s="4"/>
      <c r="C4" s="4"/>
      <c r="D4" s="4"/>
      <c r="E4" s="4"/>
      <c r="F4" s="4"/>
      <c r="G4" s="4"/>
      <c r="H4" s="4"/>
      <c r="I4" s="4"/>
      <c r="J4" s="4"/>
    </row>
    <row r="5" spans="1:10">
      <c r="A5" s="4"/>
      <c r="B5" s="4"/>
      <c r="C5" s="4"/>
      <c r="D5" s="4"/>
      <c r="E5" s="4"/>
      <c r="F5" s="4"/>
      <c r="G5" s="4"/>
      <c r="H5" s="4"/>
      <c r="I5" s="4"/>
      <c r="J5" s="4"/>
    </row>
    <row r="6" spans="1:10">
      <c r="A6" s="2"/>
      <c r="B6" s="2"/>
      <c r="C6" s="2"/>
      <c r="D6" s="2"/>
      <c r="E6" s="2"/>
      <c r="F6" s="2"/>
      <c r="G6" s="2"/>
      <c r="H6" s="2"/>
      <c r="I6" s="2"/>
      <c r="J6" s="2"/>
    </row>
    <row r="7" ht="17" spans="1:10">
      <c r="A7" s="5" t="s">
        <v>23</v>
      </c>
      <c r="B7" s="5" t="s">
        <v>24</v>
      </c>
      <c r="C7" s="5" t="s">
        <v>25</v>
      </c>
      <c r="D7" s="5" t="s">
        <v>26</v>
      </c>
      <c r="E7" s="5" t="s">
        <v>27</v>
      </c>
      <c r="F7" s="5" t="s">
        <v>28</v>
      </c>
      <c r="G7" s="5" t="s">
        <v>29</v>
      </c>
      <c r="H7" s="5" t="s">
        <v>30</v>
      </c>
      <c r="I7" s="5" t="s">
        <v>31</v>
      </c>
      <c r="J7" s="5" t="s">
        <v>32</v>
      </c>
    </row>
    <row r="8" spans="1:10">
      <c r="A8" s="2" t="s">
        <v>12</v>
      </c>
      <c r="B8" s="2">
        <f>COUNT('Raw Data'!$A$4:$A$113)</f>
        <v>110</v>
      </c>
      <c r="C8" s="9">
        <f>AVERAGE('Raw Data'!$A$4:$A$113)</f>
        <v>55.5</v>
      </c>
      <c r="D8" s="9">
        <f>MEDIAN('Raw Data'!$A$4:$A$113)</f>
        <v>55.5</v>
      </c>
      <c r="E8" s="9">
        <f>_xlfn.STDEV.S('Raw Data'!$A$4:$A$113)</f>
        <v>31.8982758154732</v>
      </c>
      <c r="F8" s="9">
        <f>MIN('Raw Data'!$A$4:$A$113)</f>
        <v>1</v>
      </c>
      <c r="G8" s="9">
        <f>MAX('Raw Data'!$A$4:$A$113)</f>
        <v>110</v>
      </c>
      <c r="H8" s="9">
        <f>CORREL('Raw Data'!$A$4:$A$113,'Raw Data'!$B$4:$B$113)</f>
        <v>0.138941525761948</v>
      </c>
      <c r="I8" s="9">
        <f>ABS(H8)</f>
        <v>0.138941525761948</v>
      </c>
      <c r="J8" s="8"/>
    </row>
    <row r="9" spans="1:10">
      <c r="A9" s="2" t="s">
        <v>13</v>
      </c>
      <c r="B9" s="2">
        <f>COUNT('Raw Data'!$B$4:$B$113)</f>
        <v>110</v>
      </c>
      <c r="C9" s="9">
        <f>AVERAGE('Raw Data'!$B$4:$B$113)</f>
        <v>1001.51090909091</v>
      </c>
      <c r="D9" s="9">
        <f>MEDIAN('Raw Data'!$B$4:$B$113)</f>
        <v>1009.8</v>
      </c>
      <c r="E9" s="9">
        <f>_xlfn.STDEV.S('Raw Data'!$B$4:$B$113)</f>
        <v>99.9994893064524</v>
      </c>
      <c r="F9" s="9">
        <f>MIN('Raw Data'!$B$4:$B$113)</f>
        <v>733.9</v>
      </c>
      <c r="G9" s="9">
        <f>MAX('Raw Data'!$B$4:$B$113)</f>
        <v>1208.7</v>
      </c>
      <c r="H9" s="9"/>
      <c r="I9" s="9"/>
      <c r="J9" s="8"/>
    </row>
    <row r="10" spans="1:10">
      <c r="A10" s="2" t="s">
        <v>14</v>
      </c>
      <c r="B10" s="2">
        <f>COUNT('Raw Data'!$C$4:$C$113)</f>
        <v>110</v>
      </c>
      <c r="C10" s="9">
        <f>AVERAGE('Raw Data'!$C$4:$C$113)</f>
        <v>4.94909090909091</v>
      </c>
      <c r="D10" s="9">
        <f>MEDIAN('Raw Data'!$C$4:$C$113)</f>
        <v>5</v>
      </c>
      <c r="E10" s="9">
        <f>_xlfn.STDEV.S('Raw Data'!$C$4:$C$113)</f>
        <v>1.02157868966744</v>
      </c>
      <c r="F10" s="9">
        <f>MIN('Raw Data'!$C$4:$C$113)</f>
        <v>2.9</v>
      </c>
      <c r="G10" s="9">
        <f>MAX('Raw Data'!$C$4:$C$113)</f>
        <v>7.2</v>
      </c>
      <c r="H10" s="9">
        <f>CORREL('Raw Data'!$C$4:$C$113,'Raw Data'!$B$4:$B$113)</f>
        <v>0.401399240197374</v>
      </c>
      <c r="I10" s="9">
        <f t="shared" ref="I10:I16" si="0">ABS(H10)</f>
        <v>0.401399240197374</v>
      </c>
      <c r="J10" s="8">
        <f t="shared" ref="J10:J16" si="1">_xlfn.RANK.EQ(I10,$I$8:$I$16,0)</f>
        <v>3</v>
      </c>
    </row>
    <row r="11" spans="1:10">
      <c r="A11" s="2" t="s">
        <v>15</v>
      </c>
      <c r="B11" s="2">
        <f>COUNT('Raw Data'!$D$4:$D$113)</f>
        <v>110</v>
      </c>
      <c r="C11" s="9">
        <f>AVERAGE('Raw Data'!$D$4:$D$113)</f>
        <v>299.135454545454</v>
      </c>
      <c r="D11" s="9">
        <f>MEDIAN('Raw Data'!$D$4:$D$113)</f>
        <v>296.1</v>
      </c>
      <c r="E11" s="9">
        <f>_xlfn.STDEV.S('Raw Data'!$D$4:$D$113)</f>
        <v>26.4903499353963</v>
      </c>
      <c r="F11" s="9">
        <f>MIN('Raw Data'!$D$4:$D$113)</f>
        <v>233.7</v>
      </c>
      <c r="G11" s="9">
        <f>MAX('Raw Data'!$D$4:$D$113)</f>
        <v>362.5</v>
      </c>
      <c r="H11" s="9">
        <f>CORREL('Raw Data'!$D$4:$D$113,'Raw Data'!$B$4:$B$113)</f>
        <v>0.600685465638599</v>
      </c>
      <c r="I11" s="9">
        <f t="shared" si="0"/>
        <v>0.600685465638599</v>
      </c>
      <c r="J11" s="8">
        <f t="shared" si="1"/>
        <v>1</v>
      </c>
    </row>
    <row r="12" spans="1:10">
      <c r="A12" s="2" t="s">
        <v>16</v>
      </c>
      <c r="B12" s="2">
        <f>COUNT('Raw Data'!$E$4:$E$113)</f>
        <v>110</v>
      </c>
      <c r="C12" s="9">
        <f>AVERAGE('Raw Data'!$E$4:$E$113)</f>
        <v>3.91181818181818</v>
      </c>
      <c r="D12" s="9">
        <f>MEDIAN('Raw Data'!$E$4:$E$113)</f>
        <v>3.9</v>
      </c>
      <c r="E12" s="9">
        <f>_xlfn.STDEV.S('Raw Data'!$E$4:$E$113)</f>
        <v>0.973571107102003</v>
      </c>
      <c r="F12" s="9">
        <f>MIN('Raw Data'!$E$4:$E$113)</f>
        <v>1.4</v>
      </c>
      <c r="G12" s="9">
        <f>MAX('Raw Data'!$E$4:$E$113)</f>
        <v>7.1</v>
      </c>
      <c r="H12" s="9">
        <f>CORREL('Raw Data'!$E$4:$E$113,'Raw Data'!$B$4:$B$113)</f>
        <v>0.198390636616142</v>
      </c>
      <c r="I12" s="9">
        <f t="shared" si="0"/>
        <v>0.198390636616142</v>
      </c>
      <c r="J12" s="8">
        <f t="shared" si="1"/>
        <v>5</v>
      </c>
    </row>
    <row r="13" spans="1:10">
      <c r="A13" s="2" t="s">
        <v>17</v>
      </c>
      <c r="B13" s="2">
        <f>COUNT('Raw Data'!$F$4:$F$113)</f>
        <v>110</v>
      </c>
      <c r="C13" s="9">
        <f>AVERAGE('Raw Data'!$F$4:$F$113)</f>
        <v>4.82818181818182</v>
      </c>
      <c r="D13" s="9">
        <f>MEDIAN('Raw Data'!$F$4:$F$113)</f>
        <v>4.9</v>
      </c>
      <c r="E13" s="9">
        <f>_xlfn.STDEV.S('Raw Data'!$F$4:$F$113)</f>
        <v>1.14596474465695</v>
      </c>
      <c r="F13" s="9">
        <f>MIN('Raw Data'!$F$4:$F$113)</f>
        <v>1.3</v>
      </c>
      <c r="G13" s="9">
        <f>MAX('Raw Data'!$F$4:$F$113)</f>
        <v>7.2</v>
      </c>
      <c r="H13" s="9">
        <f>CORREL('Raw Data'!$F$4:$F$113,'Raw Data'!$B$4:$B$113)</f>
        <v>0.0433806954850636</v>
      </c>
      <c r="I13" s="9">
        <f t="shared" si="0"/>
        <v>0.0433806954850636</v>
      </c>
      <c r="J13" s="8">
        <f t="shared" si="1"/>
        <v>7</v>
      </c>
    </row>
    <row r="14" spans="1:10">
      <c r="A14" s="2" t="s">
        <v>18</v>
      </c>
      <c r="B14" s="2">
        <f>COUNT('Raw Data'!$G$4:$G$113)</f>
        <v>110</v>
      </c>
      <c r="C14" s="9">
        <f>AVERAGE('Raw Data'!$G$4:$G$113)</f>
        <v>4.12727272727273</v>
      </c>
      <c r="D14" s="9">
        <f>MEDIAN('Raw Data'!$G$4:$G$113)</f>
        <v>4.15</v>
      </c>
      <c r="E14" s="9">
        <f>_xlfn.STDEV.S('Raw Data'!$G$4:$G$113)</f>
        <v>0.954170862597046</v>
      </c>
      <c r="F14" s="9">
        <f>MIN('Raw Data'!$G$4:$G$113)</f>
        <v>2.2</v>
      </c>
      <c r="G14" s="9">
        <f>MAX('Raw Data'!$G$4:$G$113)</f>
        <v>7</v>
      </c>
      <c r="H14" s="9">
        <f>CORREL('Raw Data'!$G$4:$G$113,'Raw Data'!$B$4:$B$113)</f>
        <v>0.201032210835815</v>
      </c>
      <c r="I14" s="9">
        <f t="shared" si="0"/>
        <v>0.201032210835815</v>
      </c>
      <c r="J14" s="8">
        <f t="shared" si="1"/>
        <v>4</v>
      </c>
    </row>
    <row r="15" spans="1:10">
      <c r="A15" s="2" t="s">
        <v>19</v>
      </c>
      <c r="B15" s="2">
        <f>COUNT('Raw Data'!$H$4:$H$113)</f>
        <v>110</v>
      </c>
      <c r="C15" s="9">
        <f>AVERAGE('Raw Data'!$H$4:$H$113)</f>
        <v>3.70090909090909</v>
      </c>
      <c r="D15" s="9">
        <f>MEDIAN('Raw Data'!$H$4:$H$113)</f>
        <v>3.7</v>
      </c>
      <c r="E15" s="9">
        <f>_xlfn.STDEV.S('Raw Data'!$H$4:$H$113)</f>
        <v>0.904067815770989</v>
      </c>
      <c r="F15" s="9">
        <f>MIN('Raw Data'!$H$4:$H$113)</f>
        <v>1.6</v>
      </c>
      <c r="G15" s="9">
        <f>MAX('Raw Data'!$H$4:$H$113)</f>
        <v>6.3</v>
      </c>
      <c r="H15" s="9">
        <f>CORREL('Raw Data'!$H$4:$H$113,'Raw Data'!$B$4:$B$113)</f>
        <v>0.034102806772365</v>
      </c>
      <c r="I15" s="9">
        <f t="shared" si="0"/>
        <v>0.034102806772365</v>
      </c>
      <c r="J15" s="8">
        <f t="shared" si="1"/>
        <v>8</v>
      </c>
    </row>
    <row r="16" spans="1:10">
      <c r="A16" s="2" t="s">
        <v>20</v>
      </c>
      <c r="B16" s="2">
        <f>COUNT('Raw Data'!$I$4:$I$113)</f>
        <v>110</v>
      </c>
      <c r="C16" s="9">
        <f>AVERAGE('Raw Data'!$I$4:$I$113)</f>
        <v>5.54909090909091</v>
      </c>
      <c r="D16" s="9">
        <f>MEDIAN('Raw Data'!$I$4:$I$113)</f>
        <v>5.6</v>
      </c>
      <c r="E16" s="9">
        <f>_xlfn.STDEV.S('Raw Data'!$I$4:$I$113)</f>
        <v>1.07998857066204</v>
      </c>
      <c r="F16" s="9">
        <f>MIN('Raw Data'!$I$4:$I$113)</f>
        <v>2.5</v>
      </c>
      <c r="G16" s="9">
        <f>MAX('Raw Data'!$I$4:$I$113)</f>
        <v>8.1</v>
      </c>
      <c r="H16" s="9">
        <f>CORREL('Raw Data'!$I$4:$I$113,'Raw Data'!$B$4:$B$113)</f>
        <v>0.500679032052407</v>
      </c>
      <c r="I16" s="9">
        <f t="shared" si="0"/>
        <v>0.500679032052407</v>
      </c>
      <c r="J16" s="8">
        <f t="shared" si="1"/>
        <v>2</v>
      </c>
    </row>
    <row r="17" spans="1:10">
      <c r="A17" s="2"/>
      <c r="B17" s="2"/>
      <c r="C17" s="2"/>
      <c r="D17" s="2"/>
      <c r="E17" s="2"/>
      <c r="F17" s="2"/>
      <c r="G17" s="2"/>
      <c r="H17" s="2"/>
      <c r="I17" s="2"/>
      <c r="J17" s="2"/>
    </row>
    <row r="18" spans="1:10">
      <c r="A18" s="2"/>
      <c r="B18" s="2"/>
      <c r="C18" s="2"/>
      <c r="D18" s="2"/>
      <c r="E18" s="2"/>
      <c r="F18" s="2"/>
      <c r="G18" s="2"/>
      <c r="H18" s="2"/>
      <c r="I18" s="2"/>
      <c r="J18" s="2"/>
    </row>
    <row r="19" spans="1:10">
      <c r="A19" s="2"/>
      <c r="B19" s="2"/>
      <c r="C19" s="2"/>
      <c r="D19" s="2"/>
      <c r="E19" s="2"/>
      <c r="F19" s="2"/>
      <c r="G19" s="2"/>
      <c r="H19" s="2"/>
      <c r="I19" s="2"/>
      <c r="J19" s="2"/>
    </row>
    <row r="20" ht="51" spans="1:10">
      <c r="A20" s="5" t="s">
        <v>33</v>
      </c>
      <c r="B20" s="5" t="s">
        <v>30</v>
      </c>
      <c r="C20" s="2"/>
      <c r="D20" s="2"/>
      <c r="E20" s="2"/>
      <c r="F20" s="2"/>
      <c r="G20" s="2"/>
      <c r="H20" s="2"/>
      <c r="I20" s="2"/>
      <c r="J20" s="2"/>
    </row>
    <row r="21" spans="1:10">
      <c r="A21" s="2" t="s">
        <v>14</v>
      </c>
      <c r="B21" s="10">
        <f t="shared" ref="B21:B27" si="2">H10</f>
        <v>0.401399240197374</v>
      </c>
      <c r="C21" s="2"/>
      <c r="D21" s="2"/>
      <c r="E21" s="2"/>
      <c r="F21" s="2"/>
      <c r="G21" s="2"/>
      <c r="H21" s="2"/>
      <c r="I21" s="2"/>
      <c r="J21" s="2"/>
    </row>
    <row r="22" spans="1:10">
      <c r="A22" s="2" t="s">
        <v>15</v>
      </c>
      <c r="B22" s="10">
        <f t="shared" si="2"/>
        <v>0.600685465638599</v>
      </c>
      <c r="C22" s="2"/>
      <c r="D22" s="2"/>
      <c r="E22" s="2"/>
      <c r="F22" s="2"/>
      <c r="G22" s="2"/>
      <c r="H22" s="2"/>
      <c r="I22" s="2"/>
      <c r="J22" s="2"/>
    </row>
    <row r="23" spans="1:10">
      <c r="A23" s="2" t="s">
        <v>16</v>
      </c>
      <c r="B23" s="10">
        <f t="shared" si="2"/>
        <v>0.198390636616142</v>
      </c>
      <c r="C23" s="2"/>
      <c r="D23" s="2"/>
      <c r="E23" s="2"/>
      <c r="F23" s="2"/>
      <c r="G23" s="2"/>
      <c r="H23" s="2"/>
      <c r="I23" s="2"/>
      <c r="J23" s="2"/>
    </row>
    <row r="24" spans="1:10">
      <c r="A24" s="2" t="s">
        <v>17</v>
      </c>
      <c r="B24" s="10">
        <f t="shared" si="2"/>
        <v>0.0433806954850636</v>
      </c>
      <c r="C24" s="2"/>
      <c r="D24" s="2"/>
      <c r="E24" s="2"/>
      <c r="F24" s="2"/>
      <c r="G24" s="2"/>
      <c r="H24" s="2"/>
      <c r="I24" s="2"/>
      <c r="J24" s="2"/>
    </row>
    <row r="25" spans="1:10">
      <c r="A25" s="2" t="s">
        <v>18</v>
      </c>
      <c r="B25" s="10">
        <f t="shared" si="2"/>
        <v>0.201032210835815</v>
      </c>
      <c r="C25" s="2"/>
      <c r="D25" s="2"/>
      <c r="E25" s="2"/>
      <c r="F25" s="2"/>
      <c r="G25" s="2"/>
      <c r="H25" s="2"/>
      <c r="I25" s="2"/>
      <c r="J25" s="2"/>
    </row>
    <row r="26" spans="1:10">
      <c r="A26" s="2" t="s">
        <v>19</v>
      </c>
      <c r="B26" s="10">
        <f t="shared" si="2"/>
        <v>0.034102806772365</v>
      </c>
      <c r="C26" s="2"/>
      <c r="D26" s="2"/>
      <c r="E26" s="2"/>
      <c r="F26" s="2"/>
      <c r="G26" s="2"/>
      <c r="H26" s="2"/>
      <c r="I26" s="2"/>
      <c r="J26" s="2"/>
    </row>
    <row r="27" spans="1:10">
      <c r="A27" s="2" t="s">
        <v>20</v>
      </c>
      <c r="B27" s="10">
        <f t="shared" si="2"/>
        <v>0.500679032052407</v>
      </c>
      <c r="C27" s="2"/>
      <c r="D27" s="2"/>
      <c r="E27" s="2"/>
      <c r="F27" s="2"/>
      <c r="G27" s="2"/>
      <c r="H27" s="2"/>
      <c r="I27" s="2"/>
      <c r="J27" s="2"/>
    </row>
    <row r="28" spans="1:10">
      <c r="A28" s="2"/>
      <c r="B28" s="2"/>
      <c r="C28" s="2"/>
      <c r="D28" s="2"/>
      <c r="E28" s="2"/>
      <c r="F28" s="2"/>
      <c r="G28" s="2"/>
      <c r="H28" s="2"/>
      <c r="I28" s="2"/>
      <c r="J28" s="2"/>
    </row>
    <row r="29" spans="1:10">
      <c r="A29" s="2"/>
      <c r="B29" s="2"/>
      <c r="C29" s="2"/>
      <c r="D29" s="2"/>
      <c r="E29" s="2"/>
      <c r="F29" s="2"/>
      <c r="G29" s="2"/>
      <c r="H29" s="2"/>
      <c r="I29" s="2"/>
      <c r="J29" s="2"/>
    </row>
    <row r="30" spans="1:10">
      <c r="A30" s="2"/>
      <c r="B30" s="2"/>
      <c r="C30" s="2"/>
      <c r="D30" s="2"/>
      <c r="E30" s="2"/>
      <c r="F30" s="2"/>
      <c r="G30" s="2"/>
      <c r="H30" s="2"/>
      <c r="I30" s="2"/>
      <c r="J30" s="2"/>
    </row>
    <row r="31" spans="1:10">
      <c r="A31" s="2"/>
      <c r="B31" s="2"/>
      <c r="C31" s="2"/>
      <c r="D31" s="2"/>
      <c r="E31" s="2"/>
      <c r="F31" s="2"/>
      <c r="G31" s="2"/>
      <c r="H31" s="2"/>
      <c r="I31" s="2"/>
      <c r="J31" s="2"/>
    </row>
    <row r="32" spans="1:10">
      <c r="A32" s="2"/>
      <c r="B32" s="2"/>
      <c r="C32" s="2"/>
      <c r="D32" s="2"/>
      <c r="E32" s="2"/>
      <c r="F32" s="2"/>
      <c r="G32" s="2"/>
      <c r="H32" s="2"/>
      <c r="I32" s="2"/>
      <c r="J32" s="2"/>
    </row>
    <row r="33" spans="1:10">
      <c r="A33" s="2"/>
      <c r="B33" s="2"/>
      <c r="C33" s="2"/>
      <c r="D33" s="2"/>
      <c r="E33" s="2"/>
      <c r="F33" s="2"/>
      <c r="G33" s="2"/>
      <c r="H33" s="2"/>
      <c r="I33" s="2"/>
      <c r="J33" s="2"/>
    </row>
    <row r="34" spans="1:10">
      <c r="A34" s="2"/>
      <c r="B34" s="2"/>
      <c r="C34" s="2"/>
      <c r="D34" s="2"/>
      <c r="E34" s="2"/>
      <c r="F34" s="2"/>
      <c r="G34" s="2"/>
      <c r="H34" s="2"/>
      <c r="I34" s="2"/>
      <c r="J34" s="2"/>
    </row>
    <row r="35" spans="1:10">
      <c r="A35" s="2"/>
      <c r="B35" s="2"/>
      <c r="C35" s="2"/>
      <c r="D35" s="2"/>
      <c r="E35" s="2"/>
      <c r="F35" s="2"/>
      <c r="G35" s="2"/>
      <c r="H35" s="2"/>
      <c r="I35" s="2"/>
      <c r="J35" s="2"/>
    </row>
    <row r="36" spans="1:10">
      <c r="A36" s="2"/>
      <c r="B36" s="2"/>
      <c r="C36" s="2"/>
      <c r="D36" s="2"/>
      <c r="E36" s="2"/>
      <c r="F36" s="2"/>
      <c r="G36" s="2"/>
      <c r="H36" s="2"/>
      <c r="I36" s="2"/>
      <c r="J36" s="2"/>
    </row>
  </sheetData>
  <mergeCells count="2">
    <mergeCell ref="A1:J1"/>
    <mergeCell ref="A3:J5"/>
  </mergeCell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0"/>
  <sheetViews>
    <sheetView workbookViewId="0">
      <selection activeCell="A7" sqref="A7"/>
    </sheetView>
  </sheetViews>
  <sheetFormatPr defaultColWidth="9" defaultRowHeight="16.8"/>
  <cols>
    <col min="1" max="1" width="20" customWidth="1"/>
    <col min="2" max="5" width="16" customWidth="1"/>
    <col min="6" max="6" width="20" customWidth="1"/>
    <col min="7" max="7" width="16" customWidth="1"/>
  </cols>
  <sheetData>
    <row r="1" ht="23.2" spans="1:10">
      <c r="A1" s="1" t="s">
        <v>34</v>
      </c>
      <c r="B1" s="1"/>
      <c r="C1" s="1"/>
      <c r="D1" s="1"/>
      <c r="E1" s="1"/>
      <c r="F1" s="1"/>
      <c r="G1" s="1"/>
      <c r="H1" s="1"/>
      <c r="I1" s="1"/>
      <c r="J1" s="1"/>
    </row>
    <row r="2" spans="1:10">
      <c r="A2" s="2"/>
      <c r="B2" s="2"/>
      <c r="C2" s="2"/>
      <c r="D2" s="2"/>
      <c r="E2" s="2"/>
      <c r="F2" s="2"/>
      <c r="G2" s="2"/>
      <c r="H2" s="2"/>
      <c r="I2" s="2"/>
      <c r="J2" s="2"/>
    </row>
    <row r="3" spans="1:10">
      <c r="A3" s="4" t="s">
        <v>35</v>
      </c>
      <c r="B3" s="4"/>
      <c r="C3" s="4"/>
      <c r="D3" s="4"/>
      <c r="E3" s="4"/>
      <c r="F3" s="4"/>
      <c r="G3" s="4"/>
      <c r="H3" s="4"/>
      <c r="I3" s="4"/>
      <c r="J3" s="4"/>
    </row>
    <row r="4" spans="1:10">
      <c r="A4" s="4"/>
      <c r="B4" s="4"/>
      <c r="C4" s="4"/>
      <c r="D4" s="4"/>
      <c r="E4" s="4"/>
      <c r="F4" s="4"/>
      <c r="G4" s="4"/>
      <c r="H4" s="4"/>
      <c r="I4" s="4"/>
      <c r="J4" s="4"/>
    </row>
    <row r="5" spans="1:10">
      <c r="A5" s="4"/>
      <c r="B5" s="4"/>
      <c r="C5" s="4"/>
      <c r="D5" s="4"/>
      <c r="E5" s="4"/>
      <c r="F5" s="4"/>
      <c r="G5" s="4"/>
      <c r="H5" s="4"/>
      <c r="I5" s="4"/>
      <c r="J5" s="4"/>
    </row>
    <row r="6" spans="1:10">
      <c r="A6" s="4"/>
      <c r="B6" s="4"/>
      <c r="C6" s="4"/>
      <c r="D6" s="4"/>
      <c r="E6" s="4"/>
      <c r="F6" s="4"/>
      <c r="G6" s="4"/>
      <c r="H6" s="4"/>
      <c r="I6" s="4"/>
      <c r="J6" s="4"/>
    </row>
    <row r="7" spans="1:10">
      <c r="A7" s="2"/>
      <c r="B7" s="2"/>
      <c r="C7" s="2"/>
      <c r="D7" s="2"/>
      <c r="E7" s="2"/>
      <c r="F7" s="2"/>
      <c r="G7" s="2"/>
      <c r="H7" s="2"/>
      <c r="I7" s="2"/>
      <c r="J7" s="2"/>
    </row>
    <row r="8" ht="17" spans="1:10">
      <c r="A8" s="5" t="s">
        <v>36</v>
      </c>
      <c r="B8" s="5" t="s">
        <v>37</v>
      </c>
      <c r="C8" s="5" t="s">
        <v>38</v>
      </c>
      <c r="D8" s="5" t="s">
        <v>38</v>
      </c>
      <c r="E8" s="5" t="s">
        <v>38</v>
      </c>
      <c r="F8" s="5" t="s">
        <v>38</v>
      </c>
      <c r="G8" s="2"/>
      <c r="H8" s="2"/>
      <c r="I8" s="2"/>
      <c r="J8" s="2"/>
    </row>
    <row r="9" spans="1:10">
      <c r="A9" s="2" t="s">
        <v>39</v>
      </c>
      <c r="B9" s="2">
        <v>110</v>
      </c>
      <c r="C9" s="2"/>
      <c r="D9" s="2"/>
      <c r="E9" s="2"/>
      <c r="F9" s="2"/>
      <c r="G9" s="2"/>
      <c r="H9" s="2"/>
      <c r="I9" s="2"/>
      <c r="J9" s="2"/>
    </row>
    <row r="10" spans="1:10">
      <c r="A10" s="2" t="s">
        <v>40</v>
      </c>
      <c r="B10" s="6">
        <v>0.999608893414228</v>
      </c>
      <c r="C10" s="2"/>
      <c r="D10" s="2"/>
      <c r="E10" s="2"/>
      <c r="F10" s="2"/>
      <c r="G10" s="2"/>
      <c r="H10" s="2"/>
      <c r="I10" s="2"/>
      <c r="J10" s="2"/>
    </row>
    <row r="11" spans="1:10">
      <c r="A11" s="2" t="s">
        <v>41</v>
      </c>
      <c r="B11" s="6">
        <v>0.99957791467476</v>
      </c>
      <c r="C11" s="2"/>
      <c r="D11" s="2"/>
      <c r="E11" s="2"/>
      <c r="F11" s="2"/>
      <c r="G11" s="2"/>
      <c r="H11" s="2"/>
      <c r="I11" s="2"/>
      <c r="J11" s="2"/>
    </row>
    <row r="12" spans="1:10">
      <c r="A12" s="2" t="s">
        <v>42</v>
      </c>
      <c r="B12" s="7">
        <v>32267.5780425121</v>
      </c>
      <c r="C12" s="2"/>
      <c r="D12" s="2"/>
      <c r="E12" s="2"/>
      <c r="F12" s="2"/>
      <c r="G12" s="2"/>
      <c r="H12" s="2"/>
      <c r="I12" s="2"/>
      <c r="J12" s="2"/>
    </row>
    <row r="13" spans="1:10">
      <c r="A13" s="2" t="s">
        <v>43</v>
      </c>
      <c r="B13" s="7">
        <v>1.96143225120243e-168</v>
      </c>
      <c r="C13" s="2"/>
      <c r="D13" s="2"/>
      <c r="E13" s="2"/>
      <c r="F13" s="2"/>
      <c r="G13" s="2"/>
      <c r="H13" s="2"/>
      <c r="I13" s="2"/>
      <c r="J13" s="2"/>
    </row>
    <row r="14" spans="1:10">
      <c r="A14" s="2"/>
      <c r="B14" s="2"/>
      <c r="C14" s="2"/>
      <c r="D14" s="2"/>
      <c r="E14" s="2"/>
      <c r="F14" s="2"/>
      <c r="G14" s="2"/>
      <c r="H14" s="2"/>
      <c r="I14" s="2"/>
      <c r="J14" s="2"/>
    </row>
    <row r="15" spans="1:10">
      <c r="A15" s="2"/>
      <c r="B15" s="2"/>
      <c r="C15" s="2"/>
      <c r="D15" s="2"/>
      <c r="E15" s="2"/>
      <c r="F15" s="2"/>
      <c r="G15" s="2"/>
      <c r="H15" s="2"/>
      <c r="I15" s="2"/>
      <c r="J15" s="2"/>
    </row>
    <row r="16" ht="17" spans="1:10">
      <c r="A16" s="5" t="s">
        <v>23</v>
      </c>
      <c r="B16" s="5" t="s">
        <v>44</v>
      </c>
      <c r="C16" s="5" t="s">
        <v>45</v>
      </c>
      <c r="D16" s="5" t="s">
        <v>46</v>
      </c>
      <c r="E16" s="5" t="s">
        <v>47</v>
      </c>
      <c r="F16" s="5" t="s">
        <v>48</v>
      </c>
      <c r="G16" s="5" t="s">
        <v>49</v>
      </c>
      <c r="H16" s="2"/>
      <c r="I16" s="2"/>
      <c r="J16" s="2"/>
    </row>
    <row r="17" spans="1:10">
      <c r="A17" s="2" t="s">
        <v>50</v>
      </c>
      <c r="B17" s="6">
        <v>-541.974657111414</v>
      </c>
      <c r="C17" s="6">
        <v>3.30885409939801</v>
      </c>
      <c r="D17" s="6">
        <v>-163.795271967422</v>
      </c>
      <c r="E17" s="6">
        <v>2.4597256687459e-124</v>
      </c>
      <c r="F17" s="6"/>
      <c r="G17" s="8"/>
      <c r="H17" s="2"/>
      <c r="I17" s="2"/>
      <c r="J17" s="2"/>
    </row>
    <row r="18" spans="1:10">
      <c r="A18" s="2" t="s">
        <v>12</v>
      </c>
      <c r="B18" s="6">
        <v>1.15173572741545</v>
      </c>
      <c r="C18" s="6">
        <v>0.00638691791933752</v>
      </c>
      <c r="D18" s="6">
        <v>180.327309973465</v>
      </c>
      <c r="E18" s="6">
        <v>1.53945797564449e-128</v>
      </c>
      <c r="F18" s="6">
        <v>0.367385715211458</v>
      </c>
      <c r="G18" s="8"/>
      <c r="H18" s="2"/>
      <c r="I18" s="2"/>
      <c r="J18" s="2"/>
    </row>
    <row r="19" spans="1:10">
      <c r="A19" s="2" t="s">
        <v>14</v>
      </c>
      <c r="B19" s="6">
        <v>41.7512588424655</v>
      </c>
      <c r="C19" s="6">
        <v>0.202455085533749</v>
      </c>
      <c r="D19" s="6">
        <v>206.2247966377</v>
      </c>
      <c r="E19" s="6">
        <v>2.07484664944949e-134</v>
      </c>
      <c r="F19" s="6">
        <v>0.426524141233795</v>
      </c>
      <c r="G19" s="8">
        <f>1+--(ABS(F20)&gt;ABS(F19))+--(ABS(F21)&gt;ABS(F19))+--(ABS(F22)&gt;ABS(F19))+--(ABS(F23)&gt;ABS(F19))+--(ABS(F24)&gt;ABS(F19))+--(ABS(F25)&gt;ABS(F19))</f>
        <v>3</v>
      </c>
      <c r="H19" s="2"/>
      <c r="I19" s="2"/>
      <c r="J19" s="2"/>
    </row>
    <row r="20" spans="1:10">
      <c r="A20" s="2" t="s">
        <v>15</v>
      </c>
      <c r="B20" s="6">
        <v>2.61309046374685</v>
      </c>
      <c r="C20" s="6">
        <v>0.00779769961674023</v>
      </c>
      <c r="D20" s="6">
        <v>335.110428995882</v>
      </c>
      <c r="E20" s="6">
        <v>1.13090612797734e-155</v>
      </c>
      <c r="F20" s="6">
        <v>0.692220343099637</v>
      </c>
      <c r="G20" s="8">
        <f>1+--(ABS(F19)&gt;ABS(F20))+--(ABS(F21)&gt;ABS(F20))+--(ABS(F22)&gt;ABS(F20))+--(ABS(F23)&gt;ABS(F20))+--(ABS(F24)&gt;ABS(F20))+--(ABS(F25)&gt;ABS(F20))</f>
        <v>1</v>
      </c>
      <c r="H20" s="2"/>
      <c r="I20" s="2"/>
      <c r="J20" s="2"/>
    </row>
    <row r="21" spans="1:10">
      <c r="A21" s="2" t="s">
        <v>16</v>
      </c>
      <c r="B21" s="6">
        <v>21.3040228562531</v>
      </c>
      <c r="C21" s="6">
        <v>0.20896430071776</v>
      </c>
      <c r="D21" s="6">
        <v>101.95053788172</v>
      </c>
      <c r="E21" s="6">
        <v>1.14699854891935e-103</v>
      </c>
      <c r="F21" s="6">
        <v>0.207410870412818</v>
      </c>
      <c r="G21" s="8">
        <f>1+--(ABS(F19)&gt;ABS(F21))+--(ABS(F20)&gt;ABS(F21))+--(ABS(F22)&gt;ABS(F21))+--(ABS(F23)&gt;ABS(F21))+--(ABS(F24)&gt;ABS(F21))+--(ABS(F25)&gt;ABS(F21))</f>
        <v>5</v>
      </c>
      <c r="H21" s="2"/>
      <c r="I21" s="2"/>
      <c r="J21" s="2"/>
    </row>
    <row r="22" spans="1:10">
      <c r="A22" s="2" t="s">
        <v>17</v>
      </c>
      <c r="B22" s="6">
        <v>-4.24154903057302</v>
      </c>
      <c r="C22" s="6">
        <v>0.184932243769031</v>
      </c>
      <c r="D22" s="6">
        <v>-22.9356922520793</v>
      </c>
      <c r="E22" s="6">
        <v>7.77403814026456e-42</v>
      </c>
      <c r="F22" s="6">
        <v>-0.0486069047500333</v>
      </c>
      <c r="G22" s="8">
        <f>1+--(ABS(F19)&gt;ABS(F22))+--(ABS(F20)&gt;ABS(F22))+--(ABS(F21)&gt;ABS(F22))+--(ABS(F23)&gt;ABS(F22))+--(ABS(F24)&gt;ABS(F22))+--(ABS(F25)&gt;ABS(F22))</f>
        <v>7</v>
      </c>
      <c r="H22" s="2"/>
      <c r="I22" s="2"/>
      <c r="J22" s="2"/>
    </row>
    <row r="23" spans="1:10">
      <c r="A23" s="2" t="s">
        <v>18</v>
      </c>
      <c r="B23" s="6">
        <v>28.3286046450981</v>
      </c>
      <c r="C23" s="6">
        <v>0.210820517288445</v>
      </c>
      <c r="D23" s="6">
        <v>134.373091430844</v>
      </c>
      <c r="E23" s="6">
        <v>1.08702739664152e-115</v>
      </c>
      <c r="F23" s="6">
        <v>0.270304671732356</v>
      </c>
      <c r="G23" s="8">
        <f>1+--(ABS(F19)&gt;ABS(F23))+--(ABS(F20)&gt;ABS(F23))+--(ABS(F21)&gt;ABS(F23))+--(ABS(F22)&gt;ABS(F23))+--(ABS(F24)&gt;ABS(F23))+--(ABS(F25)&gt;ABS(F23))</f>
        <v>4</v>
      </c>
      <c r="H23" s="2"/>
      <c r="I23" s="2"/>
      <c r="J23" s="2"/>
    </row>
    <row r="24" spans="1:10">
      <c r="A24" s="2" t="s">
        <v>19</v>
      </c>
      <c r="B24" s="6">
        <v>10.7207213380127</v>
      </c>
      <c r="C24" s="6">
        <v>0.229184526363335</v>
      </c>
      <c r="D24" s="6">
        <v>46.7776839393456</v>
      </c>
      <c r="E24" s="6">
        <v>2.90383423793718e-70</v>
      </c>
      <c r="F24" s="6">
        <v>0.0969230862154124</v>
      </c>
      <c r="G24" s="8">
        <f>1+--(ABS(F19)&gt;ABS(F24))+--(ABS(F20)&gt;ABS(F24))+--(ABS(F21)&gt;ABS(F24))+--(ABS(F22)&gt;ABS(F24))+--(ABS(F23)&gt;ABS(F24))+--(ABS(F25)&gt;ABS(F24))</f>
        <v>6</v>
      </c>
      <c r="H24" s="2"/>
      <c r="I24" s="2"/>
      <c r="J24" s="2"/>
    </row>
    <row r="25" spans="1:10">
      <c r="A25" s="2" t="s">
        <v>20</v>
      </c>
      <c r="B25" s="6">
        <v>48.9829184821668</v>
      </c>
      <c r="C25" s="6">
        <v>0.184907299250587</v>
      </c>
      <c r="D25" s="6">
        <v>264.905272429429</v>
      </c>
      <c r="E25" s="6">
        <v>2.2570758972938e-145</v>
      </c>
      <c r="F25" s="6">
        <v>0.529012622817436</v>
      </c>
      <c r="G25" s="8">
        <f>1+--(ABS(F19)&gt;ABS(F25))+--(ABS(F20)&gt;ABS(F25))+--(ABS(F21)&gt;ABS(F25))+--(ABS(F22)&gt;ABS(F25))+--(ABS(F23)&gt;ABS(F25))+--(ABS(F24)&gt;ABS(F25))</f>
        <v>2</v>
      </c>
      <c r="H25" s="2"/>
      <c r="I25" s="2"/>
      <c r="J25" s="2"/>
    </row>
    <row r="26" spans="1:10">
      <c r="A26" s="2"/>
      <c r="B26" s="2"/>
      <c r="C26" s="2"/>
      <c r="D26" s="2"/>
      <c r="E26" s="2"/>
      <c r="F26" s="2"/>
      <c r="G26" s="2"/>
      <c r="H26" s="2"/>
      <c r="I26" s="2"/>
      <c r="J26" s="2"/>
    </row>
    <row r="27" spans="1:10">
      <c r="A27" s="2"/>
      <c r="B27" s="2"/>
      <c r="C27" s="2"/>
      <c r="D27" s="2"/>
      <c r="E27" s="2"/>
      <c r="F27" s="2"/>
      <c r="G27" s="2"/>
      <c r="H27" s="2"/>
      <c r="I27" s="2"/>
      <c r="J27" s="2"/>
    </row>
    <row r="28" spans="1:10">
      <c r="A28" s="2"/>
      <c r="B28" s="2"/>
      <c r="C28" s="2"/>
      <c r="D28" s="2"/>
      <c r="E28" s="2"/>
      <c r="F28" s="2"/>
      <c r="G28" s="2"/>
      <c r="H28" s="2"/>
      <c r="I28" s="2"/>
      <c r="J28" s="2"/>
    </row>
    <row r="29" ht="17" spans="1:10">
      <c r="A29" s="5" t="s">
        <v>23</v>
      </c>
      <c r="B29" s="5" t="s">
        <v>47</v>
      </c>
      <c r="C29" s="5" t="s">
        <v>51</v>
      </c>
      <c r="D29" s="5" t="s">
        <v>52</v>
      </c>
      <c r="E29" s="2"/>
      <c r="F29" s="2"/>
      <c r="G29" s="2"/>
      <c r="H29" s="2"/>
      <c r="I29" s="2"/>
      <c r="J29" s="2"/>
    </row>
    <row r="30" spans="1:10">
      <c r="A30" s="2" t="s">
        <v>12</v>
      </c>
      <c r="B30" s="6">
        <f t="shared" ref="B30:B37" si="0">E18</f>
        <v>1.53945797564449e-128</v>
      </c>
      <c r="C30" s="2" t="str">
        <f t="shared" ref="C30:C37" si="1">IF(B30&lt;0.05,"Yes","No")</f>
        <v>Yes</v>
      </c>
      <c r="D30" s="2" t="str">
        <f t="shared" ref="D30:D37" si="2">IF(B30&gt;=0.05,"Yes","No")</f>
        <v>No</v>
      </c>
      <c r="E30" s="2"/>
      <c r="F30" s="2"/>
      <c r="G30" s="2"/>
      <c r="H30" s="2"/>
      <c r="I30" s="2"/>
      <c r="J30" s="2"/>
    </row>
    <row r="31" spans="1:10">
      <c r="A31" s="2" t="s">
        <v>14</v>
      </c>
      <c r="B31" s="6">
        <f t="shared" si="0"/>
        <v>2.07484664944949e-134</v>
      </c>
      <c r="C31" s="2" t="str">
        <f t="shared" si="1"/>
        <v>Yes</v>
      </c>
      <c r="D31" s="2" t="str">
        <f t="shared" si="2"/>
        <v>No</v>
      </c>
      <c r="E31" s="2"/>
      <c r="F31" s="2"/>
      <c r="G31" s="2"/>
      <c r="H31" s="2"/>
      <c r="I31" s="2"/>
      <c r="J31" s="2"/>
    </row>
    <row r="32" spans="1:10">
      <c r="A32" s="2" t="s">
        <v>15</v>
      </c>
      <c r="B32" s="6">
        <f t="shared" si="0"/>
        <v>1.13090612797734e-155</v>
      </c>
      <c r="C32" s="2" t="str">
        <f t="shared" si="1"/>
        <v>Yes</v>
      </c>
      <c r="D32" s="2" t="str">
        <f t="shared" si="2"/>
        <v>No</v>
      </c>
      <c r="E32" s="2"/>
      <c r="F32" s="2"/>
      <c r="G32" s="2"/>
      <c r="H32" s="2"/>
      <c r="I32" s="2"/>
      <c r="J32" s="2"/>
    </row>
    <row r="33" spans="1:10">
      <c r="A33" s="2" t="s">
        <v>16</v>
      </c>
      <c r="B33" s="6">
        <f t="shared" si="0"/>
        <v>1.14699854891935e-103</v>
      </c>
      <c r="C33" s="2" t="str">
        <f t="shared" si="1"/>
        <v>Yes</v>
      </c>
      <c r="D33" s="2" t="str">
        <f t="shared" si="2"/>
        <v>No</v>
      </c>
      <c r="E33" s="2"/>
      <c r="F33" s="2"/>
      <c r="G33" s="2"/>
      <c r="H33" s="2"/>
      <c r="I33" s="2"/>
      <c r="J33" s="2"/>
    </row>
    <row r="34" spans="1:10">
      <c r="A34" s="2" t="s">
        <v>17</v>
      </c>
      <c r="B34" s="6">
        <f t="shared" si="0"/>
        <v>7.77403814026456e-42</v>
      </c>
      <c r="C34" s="2" t="str">
        <f t="shared" si="1"/>
        <v>Yes</v>
      </c>
      <c r="D34" s="2" t="str">
        <f t="shared" si="2"/>
        <v>No</v>
      </c>
      <c r="E34" s="2"/>
      <c r="F34" s="2"/>
      <c r="G34" s="2"/>
      <c r="H34" s="2"/>
      <c r="I34" s="2"/>
      <c r="J34" s="2"/>
    </row>
    <row r="35" spans="1:10">
      <c r="A35" s="2" t="s">
        <v>18</v>
      </c>
      <c r="B35" s="6">
        <f t="shared" si="0"/>
        <v>1.08702739664152e-115</v>
      </c>
      <c r="C35" s="2" t="str">
        <f t="shared" si="1"/>
        <v>Yes</v>
      </c>
      <c r="D35" s="2" t="str">
        <f t="shared" si="2"/>
        <v>No</v>
      </c>
      <c r="E35" s="2"/>
      <c r="F35" s="2"/>
      <c r="G35" s="2"/>
      <c r="H35" s="2"/>
      <c r="I35" s="2"/>
      <c r="J35" s="2"/>
    </row>
    <row r="36" spans="1:10">
      <c r="A36" s="2" t="s">
        <v>19</v>
      </c>
      <c r="B36" s="6">
        <f t="shared" si="0"/>
        <v>2.90383423793718e-70</v>
      </c>
      <c r="C36" s="2" t="str">
        <f t="shared" si="1"/>
        <v>Yes</v>
      </c>
      <c r="D36" s="2" t="str">
        <f t="shared" si="2"/>
        <v>No</v>
      </c>
      <c r="E36" s="2"/>
      <c r="F36" s="2"/>
      <c r="G36" s="2"/>
      <c r="H36" s="2"/>
      <c r="I36" s="2"/>
      <c r="J36" s="2"/>
    </row>
    <row r="37" spans="1:10">
      <c r="A37" s="2" t="s">
        <v>20</v>
      </c>
      <c r="B37" s="6">
        <f t="shared" si="0"/>
        <v>2.2570758972938e-145</v>
      </c>
      <c r="C37" s="2" t="str">
        <f t="shared" si="1"/>
        <v>Yes</v>
      </c>
      <c r="D37" s="2" t="str">
        <f t="shared" si="2"/>
        <v>No</v>
      </c>
      <c r="E37" s="2"/>
      <c r="F37" s="2"/>
      <c r="G37" s="2"/>
      <c r="H37" s="2"/>
      <c r="I37" s="2"/>
      <c r="J37" s="2"/>
    </row>
    <row r="38" spans="1:10">
      <c r="A38" s="2"/>
      <c r="B38" s="2"/>
      <c r="C38" s="2"/>
      <c r="D38" s="2"/>
      <c r="E38" s="2"/>
      <c r="F38" s="2"/>
      <c r="G38" s="2"/>
      <c r="H38" s="2"/>
      <c r="I38" s="2"/>
      <c r="J38" s="2"/>
    </row>
    <row r="39" spans="1:10">
      <c r="A39" s="2"/>
      <c r="B39" s="2"/>
      <c r="C39" s="2"/>
      <c r="D39" s="2"/>
      <c r="E39" s="2"/>
      <c r="F39" s="2"/>
      <c r="G39" s="2"/>
      <c r="H39" s="2"/>
      <c r="I39" s="2"/>
      <c r="J39" s="2"/>
    </row>
    <row r="40" spans="1:10">
      <c r="A40" s="2"/>
      <c r="B40" s="2"/>
      <c r="C40" s="2"/>
      <c r="D40" s="2"/>
      <c r="E40" s="2"/>
      <c r="F40" s="2"/>
      <c r="G40" s="2"/>
      <c r="H40" s="2"/>
      <c r="I40" s="2"/>
      <c r="J40" s="2"/>
    </row>
  </sheetData>
  <mergeCells count="2">
    <mergeCell ref="A1:J1"/>
    <mergeCell ref="A3:J6"/>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9"/>
  <sheetViews>
    <sheetView workbookViewId="0">
      <selection activeCell="A30" sqref="A30"/>
    </sheetView>
  </sheetViews>
  <sheetFormatPr defaultColWidth="9" defaultRowHeight="16.8" outlineLevelCol="7"/>
  <cols>
    <col min="1" max="8" width="16" customWidth="1"/>
  </cols>
  <sheetData>
    <row r="1" ht="23.2" spans="1:8">
      <c r="A1" s="1" t="s">
        <v>53</v>
      </c>
      <c r="B1" s="1"/>
      <c r="C1" s="1"/>
      <c r="D1" s="1"/>
      <c r="E1" s="1"/>
      <c r="F1" s="1"/>
      <c r="G1" s="1"/>
      <c r="H1" s="1"/>
    </row>
    <row r="2" spans="1:8">
      <c r="A2" s="2"/>
      <c r="B2" s="2"/>
      <c r="C2" s="2"/>
      <c r="D2" s="2"/>
      <c r="E2" s="2"/>
      <c r="F2" s="2"/>
      <c r="G2" s="2"/>
      <c r="H2" s="2"/>
    </row>
    <row r="3" spans="1:8">
      <c r="A3" s="3" t="s">
        <v>54</v>
      </c>
      <c r="B3" s="3"/>
      <c r="C3" s="3"/>
      <c r="D3" s="3"/>
      <c r="E3" s="3"/>
      <c r="F3" s="3"/>
      <c r="G3" s="3"/>
      <c r="H3" s="3"/>
    </row>
    <row r="4" spans="1:8">
      <c r="A4" s="4" t="s">
        <v>55</v>
      </c>
      <c r="B4" s="4"/>
      <c r="C4" s="4"/>
      <c r="D4" s="4"/>
      <c r="E4" s="4"/>
      <c r="F4" s="4"/>
      <c r="G4" s="4"/>
      <c r="H4" s="4"/>
    </row>
    <row r="5" spans="1:8">
      <c r="A5" s="4"/>
      <c r="B5" s="4"/>
      <c r="C5" s="4"/>
      <c r="D5" s="4"/>
      <c r="E5" s="4"/>
      <c r="F5" s="4"/>
      <c r="G5" s="4"/>
      <c r="H5" s="4"/>
    </row>
    <row r="6" spans="1:8">
      <c r="A6" s="4"/>
      <c r="B6" s="4"/>
      <c r="C6" s="4"/>
      <c r="D6" s="4"/>
      <c r="E6" s="4"/>
      <c r="F6" s="4"/>
      <c r="G6" s="4"/>
      <c r="H6" s="4"/>
    </row>
    <row r="7" spans="1:8">
      <c r="A7" s="4"/>
      <c r="B7" s="4"/>
      <c r="C7" s="4"/>
      <c r="D7" s="4"/>
      <c r="E7" s="4"/>
      <c r="F7" s="4"/>
      <c r="G7" s="4"/>
      <c r="H7" s="4"/>
    </row>
    <row r="8" spans="1:8">
      <c r="A8" s="2"/>
      <c r="B8" s="2"/>
      <c r="C8" s="2"/>
      <c r="D8" s="2"/>
      <c r="E8" s="2"/>
      <c r="F8" s="2"/>
      <c r="G8" s="2"/>
      <c r="H8" s="2"/>
    </row>
    <row r="9" spans="1:8">
      <c r="A9" s="3" t="s">
        <v>56</v>
      </c>
      <c r="B9" s="3"/>
      <c r="C9" s="3"/>
      <c r="D9" s="3"/>
      <c r="E9" s="3"/>
      <c r="F9" s="3"/>
      <c r="G9" s="3"/>
      <c r="H9" s="3"/>
    </row>
    <row r="10" spans="1:8">
      <c r="A10" s="4" t="s">
        <v>57</v>
      </c>
      <c r="B10" s="4"/>
      <c r="C10" s="4"/>
      <c r="D10" s="4"/>
      <c r="E10" s="4"/>
      <c r="F10" s="4"/>
      <c r="G10" s="4"/>
      <c r="H10" s="4"/>
    </row>
    <row r="11" spans="1:8">
      <c r="A11" s="4"/>
      <c r="B11" s="4"/>
      <c r="C11" s="4"/>
      <c r="D11" s="4"/>
      <c r="E11" s="4"/>
      <c r="F11" s="4"/>
      <c r="G11" s="4"/>
      <c r="H11" s="4"/>
    </row>
    <row r="12" spans="1:8">
      <c r="A12" s="4"/>
      <c r="B12" s="4"/>
      <c r="C12" s="4"/>
      <c r="D12" s="4"/>
      <c r="E12" s="4"/>
      <c r="F12" s="4"/>
      <c r="G12" s="4"/>
      <c r="H12" s="4"/>
    </row>
    <row r="13" spans="1:8">
      <c r="A13" s="4"/>
      <c r="B13" s="4"/>
      <c r="C13" s="4"/>
      <c r="D13" s="4"/>
      <c r="E13" s="4"/>
      <c r="F13" s="4"/>
      <c r="G13" s="4"/>
      <c r="H13" s="4"/>
    </row>
    <row r="14" spans="1:8">
      <c r="A14" s="4"/>
      <c r="B14" s="4"/>
      <c r="C14" s="4"/>
      <c r="D14" s="4"/>
      <c r="E14" s="4"/>
      <c r="F14" s="4"/>
      <c r="G14" s="4"/>
      <c r="H14" s="4"/>
    </row>
    <row r="15" spans="1:8">
      <c r="A15" s="4"/>
      <c r="B15" s="4"/>
      <c r="C15" s="4"/>
      <c r="D15" s="4"/>
      <c r="E15" s="4"/>
      <c r="F15" s="4"/>
      <c r="G15" s="4"/>
      <c r="H15" s="4"/>
    </row>
    <row r="16" spans="1:8">
      <c r="A16" s="2"/>
      <c r="B16" s="2"/>
      <c r="C16" s="2"/>
      <c r="D16" s="2"/>
      <c r="E16" s="2"/>
      <c r="F16" s="2"/>
      <c r="G16" s="2"/>
      <c r="H16" s="2"/>
    </row>
    <row r="17" spans="1:8">
      <c r="A17" s="3" t="s">
        <v>58</v>
      </c>
      <c r="B17" s="3"/>
      <c r="C17" s="3"/>
      <c r="D17" s="3"/>
      <c r="E17" s="3"/>
      <c r="F17" s="3"/>
      <c r="G17" s="3"/>
      <c r="H17" s="3"/>
    </row>
    <row r="18" spans="1:8">
      <c r="A18" s="4" t="s">
        <v>59</v>
      </c>
      <c r="B18" s="4"/>
      <c r="C18" s="4"/>
      <c r="D18" s="4"/>
      <c r="E18" s="4"/>
      <c r="F18" s="4"/>
      <c r="G18" s="4"/>
      <c r="H18" s="4"/>
    </row>
    <row r="19" spans="1:8">
      <c r="A19" s="4"/>
      <c r="B19" s="4"/>
      <c r="C19" s="4"/>
      <c r="D19" s="4"/>
      <c r="E19" s="4"/>
      <c r="F19" s="4"/>
      <c r="G19" s="4"/>
      <c r="H19" s="4"/>
    </row>
    <row r="20" spans="1:8">
      <c r="A20" s="4"/>
      <c r="B20" s="4"/>
      <c r="C20" s="4"/>
      <c r="D20" s="4"/>
      <c r="E20" s="4"/>
      <c r="F20" s="4"/>
      <c r="G20" s="4"/>
      <c r="H20" s="4"/>
    </row>
    <row r="21" spans="1:8">
      <c r="A21" s="4"/>
      <c r="B21" s="4"/>
      <c r="C21" s="4"/>
      <c r="D21" s="4"/>
      <c r="E21" s="4"/>
      <c r="F21" s="4"/>
      <c r="G21" s="4"/>
      <c r="H21" s="4"/>
    </row>
    <row r="22" spans="1:8">
      <c r="A22" s="4"/>
      <c r="B22" s="4"/>
      <c r="C22" s="4"/>
      <c r="D22" s="4"/>
      <c r="E22" s="4"/>
      <c r="F22" s="4"/>
      <c r="G22" s="4"/>
      <c r="H22" s="4"/>
    </row>
    <row r="23" spans="1:8">
      <c r="A23" s="2"/>
      <c r="B23" s="2"/>
      <c r="C23" s="2"/>
      <c r="D23" s="2"/>
      <c r="E23" s="2"/>
      <c r="F23" s="2"/>
      <c r="G23" s="2"/>
      <c r="H23" s="2"/>
    </row>
    <row r="24" spans="1:8">
      <c r="A24" s="3" t="s">
        <v>60</v>
      </c>
      <c r="B24" s="3"/>
      <c r="C24" s="3"/>
      <c r="D24" s="3"/>
      <c r="E24" s="3"/>
      <c r="F24" s="3"/>
      <c r="G24" s="3"/>
      <c r="H24" s="3"/>
    </row>
    <row r="25" spans="1:8">
      <c r="A25" s="4" t="s">
        <v>61</v>
      </c>
      <c r="B25" s="4"/>
      <c r="C25" s="4"/>
      <c r="D25" s="4"/>
      <c r="E25" s="4"/>
      <c r="F25" s="4"/>
      <c r="G25" s="4"/>
      <c r="H25" s="4"/>
    </row>
    <row r="26" spans="1:8">
      <c r="A26" s="4"/>
      <c r="B26" s="4"/>
      <c r="C26" s="4"/>
      <c r="D26" s="4"/>
      <c r="E26" s="4"/>
      <c r="F26" s="4"/>
      <c r="G26" s="4"/>
      <c r="H26" s="4"/>
    </row>
    <row r="27" spans="1:8">
      <c r="A27" s="4"/>
      <c r="B27" s="4"/>
      <c r="C27" s="4"/>
      <c r="D27" s="4"/>
      <c r="E27" s="4"/>
      <c r="F27" s="4"/>
      <c r="G27" s="4"/>
      <c r="H27" s="4"/>
    </row>
    <row r="28" spans="1:8">
      <c r="A28" s="4"/>
      <c r="B28" s="4"/>
      <c r="C28" s="4"/>
      <c r="D28" s="4"/>
      <c r="E28" s="4"/>
      <c r="F28" s="4"/>
      <c r="G28" s="4"/>
      <c r="H28" s="4"/>
    </row>
    <row r="29" spans="1:8">
      <c r="A29" s="4"/>
      <c r="B29" s="4"/>
      <c r="C29" s="4"/>
      <c r="D29" s="4"/>
      <c r="E29" s="4"/>
      <c r="F29" s="4"/>
      <c r="G29" s="4"/>
      <c r="H29" s="4"/>
    </row>
  </sheetData>
  <mergeCells count="9">
    <mergeCell ref="A1:H1"/>
    <mergeCell ref="A3:H3"/>
    <mergeCell ref="A9:H9"/>
    <mergeCell ref="A17:H17"/>
    <mergeCell ref="A24:H24"/>
    <mergeCell ref="A4:H7"/>
    <mergeCell ref="A10:H15"/>
    <mergeCell ref="A18:H22"/>
    <mergeCell ref="A25:H29"/>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5</vt:i4>
      </vt:variant>
    </vt:vector>
  </HeadingPairs>
  <TitlesOfParts>
    <vt:vector size="5" baseType="lpstr">
      <vt:lpstr>Project Overview</vt:lpstr>
      <vt:lpstr>Raw Data</vt:lpstr>
      <vt:lpstr>Descriptive &amp; Correlation</vt:lpstr>
      <vt:lpstr>Regression Analysis</vt:lpstr>
      <vt:lpstr>Assignment Answers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哀マミムメ</cp:lastModifiedBy>
  <dcterms:created xsi:type="dcterms:W3CDTF">2026-09-24T18:50:54Z</dcterms:created>
  <dcterms:modified xsi:type="dcterms:W3CDTF">2026-09-24T18:55:39Z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496EF432BDB8650C0201B56A78F70430_42</vt:lpwstr>
  </property>
  <property fmtid="{D5CDD505-2E9C-101B-9397-08002B2CF9AE}" pid="3" name="KSOProductBuildVer">
    <vt:lpwstr>1033-6.14.0.8924</vt:lpwstr>
  </property>
</Properties>
</file>