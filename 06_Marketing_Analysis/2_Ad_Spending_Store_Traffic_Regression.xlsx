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bookViews>
  <sheets>
    <sheet name="Project Overview" sheetId="1" r:id="rId1"/>
    <sheet name="Raw Data" sheetId="2" r:id="rId2"/>
    <sheet name="Regression Analysi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<sst xmlns="http://schemas.openxmlformats.org/spreadsheetml/2006/main" count="124" uniqueCount="78">
  <si>
    <t>MGT 209 Exercise — Advertising Spending and Store Traffic Regression</t>
  </si>
  <si>
    <t>Project Background</t>
  </si>
  <si>
    <t>This Session 2 in-class regression exercise was from MGT 209: Marketing Management (Winter 2023), MBA. The course case describes a consumer electronics retailer in the Midwest that wants to understand the relationship between advertising spending and store traffic. The dataset records monthly advertising spending and store traffic for 36 months. The analytical objective is to estimate a simple linear regression model and use it for prediction.</t>
  </si>
  <si>
    <t>Project Question</t>
  </si>
  <si>
    <t>How is monthly advertising spending related to store traffic, and how much store traffic does the regression model predict at selected advertising-spending levels?</t>
  </si>
  <si>
    <t>Workflow</t>
  </si>
  <si>
    <t>Step</t>
  </si>
  <si>
    <t>Description</t>
  </si>
  <si>
    <t/>
  </si>
  <si>
    <t>1</t>
  </si>
  <si>
    <t>Preserve and inspect the 36 monthly observations in the original course dataset.</t>
  </si>
  <si>
    <t>2</t>
  </si>
  <si>
    <t>Summarize advertising spending and store traffic using descriptive statistics.</t>
  </si>
  <si>
    <t>3</t>
  </si>
  <si>
    <t>Estimate a simple linear regression with Ad Spending as the independent variable and Store Traffic as the dependent variable.</t>
  </si>
  <si>
    <t>4</t>
  </si>
  <si>
    <t>Evaluate model fit (R²), overall regression significance, and the Ad Spending coefficient.</t>
  </si>
  <si>
    <t>5</t>
  </si>
  <si>
    <t>Use the fitted model to predict store traffic at $100,000 and $300,000 in advertising spending and interpret the results.</t>
  </si>
  <si>
    <t>Source / Provenance</t>
  </si>
  <si>
    <t>Course-provided instructional dataset: Ad Spending versus Store Traffic.csv, used in MGT 209 Session 2 (“Marketing Metrics and Consumer Demand Drivers”), UC Riverside, Winter 2023.</t>
  </si>
  <si>
    <t>Original Raw Data — 36 Months</t>
  </si>
  <si>
    <t>Months</t>
  </si>
  <si>
    <t>AdSpending</t>
  </si>
  <si>
    <t>StoreTraffic</t>
  </si>
  <si>
    <t>Simple Linear Regression Analysis</t>
  </si>
  <si>
    <t>Descriptive Statistics</t>
  </si>
  <si>
    <t>Variable</t>
  </si>
  <si>
    <t>N</t>
  </si>
  <si>
    <t>Mean</t>
  </si>
  <si>
    <t>Std. Dev.</t>
  </si>
  <si>
    <t>Range</t>
  </si>
  <si>
    <t>Ad Spending ($)</t>
  </si>
  <si>
    <t>52,000–290,000</t>
  </si>
  <si>
    <t>Store Traffic</t>
  </si>
  <si>
    <t>135,143–164,855</t>
  </si>
  <si>
    <t>Regression Model</t>
  </si>
  <si>
    <t>Metric</t>
  </si>
  <si>
    <t>Result</t>
  </si>
  <si>
    <t>Course-style Model</t>
  </si>
  <si>
    <t>Dependent Variable</t>
  </si>
  <si>
    <t>Store Traffic = 144,700 + 0.061 × Ad Spending</t>
  </si>
  <si>
    <t>Independent Variable</t>
  </si>
  <si>
    <t>Ad Spending</t>
  </si>
  <si>
    <t>Exact fitted model</t>
  </si>
  <si>
    <t>Intercept</t>
  </si>
  <si>
    <t>Store Traffic = 144,682.870 + 0.060895 × Ad Spending</t>
  </si>
  <si>
    <t>Ad Spending Coefficient</t>
  </si>
  <si>
    <t>Interpretation of slope</t>
  </si>
  <si>
    <t>R²</t>
  </si>
  <si>
    <t>Each additional $1 of ad spending is associated with about 0.061 additional store visits in the fitted model.</t>
  </si>
  <si>
    <t>ANOVA / Significance</t>
  </si>
  <si>
    <t>Source</t>
  </si>
  <si>
    <t>df</t>
  </si>
  <si>
    <t>SS</t>
  </si>
  <si>
    <t>MS</t>
  </si>
  <si>
    <t>F</t>
  </si>
  <si>
    <t>Significance F</t>
  </si>
  <si>
    <t>Regression</t>
  </si>
  <si>
    <t>Residual</t>
  </si>
  <si>
    <t>Total</t>
  </si>
  <si>
    <t>Fitted Store Traffic</t>
  </si>
  <si>
    <t>Coefficient Test</t>
  </si>
  <si>
    <t>Term</t>
  </si>
  <si>
    <t>Coefficient</t>
  </si>
  <si>
    <t>Std. Error</t>
  </si>
  <si>
    <t>t Stat</t>
  </si>
  <si>
    <t>p-value</t>
  </si>
  <si>
    <t>Result (α = .05)</t>
  </si>
  <si>
    <t>Significant</t>
  </si>
  <si>
    <t>Course Prediction Questions</t>
  </si>
  <si>
    <t>Predicted Store Traffic (exact model)</t>
  </si>
  <si>
    <t>Using slide-rounded model</t>
  </si>
  <si>
    <t>Interpretation</t>
  </si>
  <si>
    <t>Predicted monthly store traffic at $100,000 advertising spending.</t>
  </si>
  <si>
    <t>Predicted monthly store traffic at $300,000 advertising spending.</t>
  </si>
  <si>
    <t>Final Interpretation</t>
  </si>
  <si>
    <t>The fitted regression is Store Traffic = 144,682.870 + 0.060895 × Ad Spending, which rounds to the course-slide model Store Traffic = 144,700 + 0.061 × Ad Spending. R² = 0.540, so advertising spending explains about 54.0% of the variation in store traffic across these 36 monthly observations. The overall regression is statistically significant (F = 39.91, p &lt; .001), and the Ad Spending coefficient is also statistically significant (p &lt; .001). Using the exact fitted model, predicted store traffic is approximately 150,772 at $100,000 of advertising spending and 162,951 at $300,000. The relationship is positive, but this observational regression exercise establishes association and prediction rather than causation.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</si>
</sst>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0"/>
    <numFmt numFmtId="179" formatCode="0.000000"/>
    <numFmt numFmtId="180" formatCode="0.000"/>
    <numFmt numFmtId="181" formatCode="0.000000000"/>
  </numFmts>
  <fonts count="26">
    <font>
      <sz val="11"/>
      <name val="Carlito"/>
      <charset val="134"/>
    </font>
    <font>
      <b/>
      <sz val="16"/>
      <color rgb="FFFFFFFF"/>
      <name val="Arial"/>
      <charset val="134"/>
    </font>
    <font>
      <sz val="11"/>
      <name val="Arial"/>
      <charset val="134"/>
    </font>
    <font>
      <b/>
      <sz val="11"/>
      <color rgb="FF17365D"/>
      <name val="Arial"/>
      <charset val="134"/>
    </font>
    <font>
      <b/>
      <sz val="11"/>
      <color rgb="FFFFFFFF"/>
      <name val="Arial"/>
      <charset val="134"/>
    </font>
    <font>
      <sz val="11"/>
      <color rgb="FF40404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5B9BD5"/>
        <bgColor indexed="64"/>
      </patternFill>
    </fill>
    <fill>
      <patternFill patternType="solid">
        <fgColor rgb="FFF3F6F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6"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7" borderId="4" applyNumberFormat="0" applyAlignment="0" applyProtection="0">
      <alignment vertical="center"/>
    </xf>
    <xf numFmtId="0" fontId="16" fillId="8" borderId="5" applyNumberFormat="0" applyAlignment="0" applyProtection="0">
      <alignment vertical="center"/>
    </xf>
    <xf numFmtId="0" fontId="17" fillId="8" borderId="4" applyNumberFormat="0" applyAlignment="0" applyProtection="0">
      <alignment vertical="center"/>
    </xf>
    <xf numFmtId="0" fontId="18" fillId="9"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7">
    <xf numFmtId="0" fontId="0" fillId="0" borderId="0" xfId="0"/>
    <xf numFmtId="0" fontId="1" fillId="2" borderId="0" xfId="0" applyNumberFormat="1" applyFont="1" applyFill="1" applyBorder="1" applyAlignment="1">
      <alignment vertical="center"/>
    </xf>
    <xf numFmtId="0" fontId="2" fillId="0" borderId="0" xfId="0" applyNumberFormat="1" applyFont="1" applyFill="1" applyBorder="1"/>
    <xf numFmtId="0" fontId="3" fillId="3" borderId="0" xfId="0" applyNumberFormat="1" applyFont="1" applyFill="1" applyBorder="1" applyAlignment="1">
      <alignment vertical="center"/>
    </xf>
    <xf numFmtId="0" fontId="4" fillId="4" borderId="0" xfId="0" applyNumberFormat="1" applyFont="1" applyFill="1" applyBorder="1" applyAlignment="1">
      <alignment horizontal="center" vertical="center"/>
    </xf>
    <xf numFmtId="4" fontId="2" fillId="0" borderId="0" xfId="0" applyNumberFormat="1" applyFont="1" applyFill="1" applyBorder="1"/>
    <xf numFmtId="0" fontId="5" fillId="5" borderId="0" xfId="0" applyNumberFormat="1" applyFont="1" applyFill="1" applyBorder="1" applyAlignment="1">
      <alignment vertical="top" wrapText="1"/>
    </xf>
    <xf numFmtId="178" fontId="2" fillId="0" borderId="0" xfId="0" applyNumberFormat="1" applyFont="1" applyFill="1" applyBorder="1"/>
    <xf numFmtId="179" fontId="2" fillId="0" borderId="0" xfId="0" applyNumberFormat="1" applyFont="1" applyFill="1" applyBorder="1"/>
    <xf numFmtId="180" fontId="2" fillId="0" borderId="0" xfId="0" applyNumberFormat="1" applyFont="1" applyFill="1" applyBorder="1"/>
    <xf numFmtId="0" fontId="4" fillId="4" borderId="0" xfId="0" applyNumberFormat="1" applyFont="1" applyFill="1" applyBorder="1" applyAlignment="1">
      <alignment horizontal="center" vertical="center" wrapText="1"/>
    </xf>
    <xf numFmtId="0" fontId="2" fillId="0" borderId="0" xfId="0" applyNumberFormat="1" applyFont="1" applyFill="1" applyBorder="1" applyAlignment="1">
      <alignment wrapText="1"/>
    </xf>
    <xf numFmtId="179" fontId="2" fillId="0" borderId="0" xfId="0" applyNumberFormat="1" applyFont="1" applyFill="1" applyBorder="1" applyAlignment="1">
      <alignment wrapText="1"/>
    </xf>
    <xf numFmtId="180" fontId="2" fillId="0" borderId="0" xfId="0" applyNumberFormat="1" applyFont="1" applyFill="1" applyBorder="1" applyAlignment="1">
      <alignment wrapText="1"/>
    </xf>
    <xf numFmtId="3" fontId="2" fillId="0" borderId="0" xfId="0" applyNumberFormat="1" applyFont="1" applyFill="1" applyBorder="1"/>
    <xf numFmtId="181" fontId="2" fillId="0" borderId="0" xfId="0" applyNumberFormat="1" applyFont="1" applyFill="1" applyBorder="1"/>
    <xf numFmtId="181" fontId="2" fillId="0" borderId="0" xfId="0" applyNumberFormat="1" applyFont="1" applyFill="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Ad Spending vs. Store Traffic</a:t>
            </a:r>
          </a:p>
        </c:rich>
      </c:tx>
      <c:layout/>
      <c:overlay val="0"/>
    </c:title>
    <c:autoTitleDeleted val="0"/>
    <c:plotArea>
      <c:layout/>
      <c:scatterChart>
        <c:scatterStyle val="lineMarker"/>
        <c:varyColors val="0"/>
        <c:ser>
          <c:idx val="0"/>
          <c:order val="0"/>
          <c:tx>
            <c:strRef>
              <c:f>"StoreTraffic"</c:f>
              <c:strCache>
                <c:ptCount val="1"/>
                <c:pt idx="0">
                  <c:v>StoreTraffic</c:v>
                </c:pt>
              </c:strCache>
            </c:strRef>
          </c:tx>
          <c:dLbls>
            <c:delete val="1"/>
          </c:dLbls>
          <c:yVal>
            <c:numRef>
              <c:f>'Raw Data'!$C$4:$C$39</c:f>
              <c:numCache>
                <c:formatCode>#,##0</c:formatCode>
                <c:ptCount val="36"/>
                <c:pt idx="0">
                  <c:v>159101</c:v>
                </c:pt>
                <c:pt idx="1">
                  <c:v>142375</c:v>
                </c:pt>
                <c:pt idx="2">
                  <c:v>154191</c:v>
                </c:pt>
                <c:pt idx="3">
                  <c:v>157685</c:v>
                </c:pt>
                <c:pt idx="4">
                  <c:v>153255</c:v>
                </c:pt>
                <c:pt idx="5">
                  <c:v>154252</c:v>
                </c:pt>
                <c:pt idx="6">
                  <c:v>157111</c:v>
                </c:pt>
                <c:pt idx="7">
                  <c:v>164855</c:v>
                </c:pt>
                <c:pt idx="8">
                  <c:v>148964</c:v>
                </c:pt>
                <c:pt idx="9">
                  <c:v>154899</c:v>
                </c:pt>
                <c:pt idx="10">
                  <c:v>161065</c:v>
                </c:pt>
                <c:pt idx="11">
                  <c:v>149133</c:v>
                </c:pt>
                <c:pt idx="12">
                  <c:v>157140</c:v>
                </c:pt>
                <c:pt idx="13">
                  <c:v>157399</c:v>
                </c:pt>
                <c:pt idx="14">
                  <c:v>155129</c:v>
                </c:pt>
                <c:pt idx="15">
                  <c:v>159773</c:v>
                </c:pt>
                <c:pt idx="16">
                  <c:v>161288</c:v>
                </c:pt>
                <c:pt idx="17">
                  <c:v>150775</c:v>
                </c:pt>
                <c:pt idx="18">
                  <c:v>155651</c:v>
                </c:pt>
                <c:pt idx="19">
                  <c:v>155314</c:v>
                </c:pt>
                <c:pt idx="20">
                  <c:v>155596</c:v>
                </c:pt>
                <c:pt idx="21">
                  <c:v>162306</c:v>
                </c:pt>
                <c:pt idx="22">
                  <c:v>157170</c:v>
                </c:pt>
                <c:pt idx="23">
                  <c:v>151819</c:v>
                </c:pt>
                <c:pt idx="24">
                  <c:v>161104</c:v>
                </c:pt>
                <c:pt idx="25">
                  <c:v>164731</c:v>
                </c:pt>
                <c:pt idx="26">
                  <c:v>135143</c:v>
                </c:pt>
                <c:pt idx="27">
                  <c:v>146219</c:v>
                </c:pt>
                <c:pt idx="28">
                  <c:v>158776</c:v>
                </c:pt>
                <c:pt idx="29">
                  <c:v>157299</c:v>
                </c:pt>
                <c:pt idx="30">
                  <c:v>158297</c:v>
                </c:pt>
                <c:pt idx="31">
                  <c:v>155934</c:v>
                </c:pt>
                <c:pt idx="32">
                  <c:v>154010</c:v>
                </c:pt>
                <c:pt idx="33">
                  <c:v>147744</c:v>
                </c:pt>
                <c:pt idx="34">
                  <c:v>154427</c:v>
                </c:pt>
                <c:pt idx="35">
                  <c:v>149080</c:v>
                </c:pt>
              </c:numCache>
            </c:numRef>
          </c:yVal>
          <c:smooth val="1"/>
        </c:ser>
        <c:ser>
          <c:idx val="1"/>
          <c:order val="1"/>
          <c:tx>
            <c:strRef>
              <c:f>"Fitted Regression"</c:f>
              <c:strCache>
                <c:ptCount val="1"/>
                <c:pt idx="0">
                  <c:v>Fitted Regression</c:v>
                </c:pt>
              </c:strCache>
            </c:strRef>
          </c:tx>
          <c:dLbls>
            <c:delete val="1"/>
          </c:dLbls>
          <c:smooth val="1"/>
        </c:ser>
        <c:dLbls>
          <c:showLegendKey val="0"/>
          <c:showVal val="0"/>
          <c:showCatName val="0"/>
          <c:showSerName val="0"/>
          <c:showPercent val="0"/>
          <c:showBubbleSize val="0"/>
        </c:dLbls>
        <c:axId val="48650112"/>
        <c:axId val="48672768"/>
      </c:scatterChart>
      <c:val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crossBetween val="midCat"/>
      </c:valAx>
      <c:valAx>
        <c:axId val="48672768"/>
        <c:scaling>
          <c:orientation val="minMax"/>
        </c:scaling>
        <c:delete val="0"/>
        <c:axPos val="l"/>
        <c:majorGridlines>
          <c:spPr>
            <a:ln w="9525">
              <a:solidFill>
                <a:srgbClr val="CCCCCC"/>
              </a:solidFill>
              <a:prstDash val="dash"/>
              <a:round/>
            </a:ln>
          </c:spPr>
        </c:majorGridlines>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midCat"/>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0c5d7af5-0151-4dbb-b02a-8bc83fcc6dca}"/>
      </c:ext>
    </c:extLst>
  </c:chart>
  <c:spPr>
    <a:ln w="9525">
      <a:solidFill>
        <a:srgbClr val="D9D9D9"/>
      </a:solidFill>
      <a:prstDash val="solid"/>
      <a:round/>
    </a:ln>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2</xdr:row>
      <xdr:rowOff>0</xdr:rowOff>
    </xdr:from>
    <xdr:to>
      <xdr:col>14</xdr:col>
      <xdr:colOff>0</xdr:colOff>
      <xdr:row>18</xdr:row>
      <xdr:rowOff>0</xdr:rowOff>
    </xdr:to>
    <xdr:graphicFrame>
      <xdr:nvGraphicFramePr>
        <xdr:cNvPr id="2" name="Chart"/>
        <xdr:cNvGraphicFramePr/>
      </xdr:nvGraphicFramePr>
      <xdr:xfrm>
        <a:off x="10881360" y="508000"/>
        <a:ext cx="6350000" cy="3413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AdTrafficRawData" displayName="AdTrafficRawData" ref="A3:C39" totalsRowShown="0">
  <tableColumns count="3">
    <tableColumn id="1" name="Months"/>
    <tableColumn id="2" name="AdSpending"/>
    <tableColumn id="3" name="StoreTraffic"/>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
  <sheetViews>
    <sheetView tabSelected="1" workbookViewId="0">
      <selection activeCell="A10" sqref="A10:F11"/>
    </sheetView>
  </sheetViews>
  <sheetFormatPr defaultColWidth="9" defaultRowHeight="16.8" outlineLevelCol="5"/>
  <cols>
    <col min="1" max="1" width="12" customWidth="1"/>
    <col min="2" max="6" width="18" customWidth="1"/>
  </cols>
  <sheetData>
    <row r="1" ht="28" customHeight="1" spans="1:6">
      <c r="A1" s="1" t="s">
        <v>0</v>
      </c>
      <c r="B1" s="1"/>
      <c r="C1" s="1"/>
      <c r="D1" s="1"/>
      <c r="E1" s="1"/>
      <c r="F1" s="1"/>
    </row>
    <row r="2" spans="1:6">
      <c r="A2" s="2"/>
      <c r="B2" s="2"/>
      <c r="C2" s="2"/>
      <c r="D2" s="2"/>
      <c r="E2" s="2"/>
      <c r="F2" s="2"/>
    </row>
    <row r="3" spans="1:6">
      <c r="A3" s="3" t="s">
        <v>1</v>
      </c>
      <c r="B3" s="3"/>
      <c r="C3" s="3"/>
      <c r="D3" s="3"/>
      <c r="E3" s="3"/>
      <c r="F3" s="3"/>
    </row>
    <row r="4" spans="1:6">
      <c r="A4" s="6" t="s">
        <v>2</v>
      </c>
      <c r="B4" s="6"/>
      <c r="C4" s="6"/>
      <c r="D4" s="6"/>
      <c r="E4" s="6"/>
      <c r="F4" s="6"/>
    </row>
    <row r="5" spans="1:6">
      <c r="A5" s="6"/>
      <c r="B5" s="6"/>
      <c r="C5" s="6"/>
      <c r="D5" s="6"/>
      <c r="E5" s="6"/>
      <c r="F5" s="6"/>
    </row>
    <row r="6" spans="1:6">
      <c r="A6" s="6"/>
      <c r="B6" s="6"/>
      <c r="C6" s="6"/>
      <c r="D6" s="6"/>
      <c r="E6" s="6"/>
      <c r="F6" s="6"/>
    </row>
    <row r="7" spans="1:6">
      <c r="A7" s="6"/>
      <c r="B7" s="6"/>
      <c r="C7" s="6"/>
      <c r="D7" s="6"/>
      <c r="E7" s="6"/>
      <c r="F7" s="6"/>
    </row>
    <row r="8" spans="1:6">
      <c r="A8" s="2"/>
      <c r="B8" s="2"/>
      <c r="C8" s="2"/>
      <c r="D8" s="2"/>
      <c r="E8" s="2"/>
      <c r="F8" s="2"/>
    </row>
    <row r="9" spans="1:6">
      <c r="A9" s="3" t="s">
        <v>3</v>
      </c>
      <c r="B9" s="3"/>
      <c r="C9" s="3"/>
      <c r="D9" s="3"/>
      <c r="E9" s="3"/>
      <c r="F9" s="3"/>
    </row>
    <row r="10" spans="1:6">
      <c r="A10" s="6" t="s">
        <v>4</v>
      </c>
      <c r="B10" s="6"/>
      <c r="C10" s="6"/>
      <c r="D10" s="6"/>
      <c r="E10" s="6"/>
      <c r="F10" s="6"/>
    </row>
    <row r="11" spans="1:6">
      <c r="A11" s="6"/>
      <c r="B11" s="6"/>
      <c r="C11" s="6"/>
      <c r="D11" s="6"/>
      <c r="E11" s="6"/>
      <c r="F11" s="6"/>
    </row>
    <row r="12" spans="1:6">
      <c r="A12" s="2"/>
      <c r="B12" s="2"/>
      <c r="C12" s="2"/>
      <c r="D12" s="2"/>
      <c r="E12" s="2"/>
      <c r="F12" s="2"/>
    </row>
    <row r="13" spans="1:6">
      <c r="A13" s="3" t="s">
        <v>5</v>
      </c>
      <c r="B13" s="3"/>
      <c r="C13" s="3"/>
      <c r="D13" s="3"/>
      <c r="E13" s="3"/>
      <c r="F13" s="3"/>
    </row>
    <row r="14" spans="1:6">
      <c r="A14" s="4" t="s">
        <v>6</v>
      </c>
      <c r="B14" s="4" t="s">
        <v>7</v>
      </c>
      <c r="C14" s="4" t="s">
        <v>8</v>
      </c>
      <c r="D14" s="4" t="s">
        <v>8</v>
      </c>
      <c r="E14" s="4" t="s">
        <v>8</v>
      </c>
      <c r="F14" s="4" t="s">
        <v>8</v>
      </c>
    </row>
    <row r="15" ht="17" spans="1:6">
      <c r="A15" s="11" t="s">
        <v>9</v>
      </c>
      <c r="B15" s="11" t="s">
        <v>10</v>
      </c>
      <c r="C15" s="11" t="s">
        <v>8</v>
      </c>
      <c r="D15" s="11" t="s">
        <v>8</v>
      </c>
      <c r="E15" s="11" t="s">
        <v>8</v>
      </c>
      <c r="F15" s="11" t="s">
        <v>8</v>
      </c>
    </row>
    <row r="16" ht="17" spans="1:6">
      <c r="A16" s="11" t="s">
        <v>11</v>
      </c>
      <c r="B16" s="11" t="s">
        <v>12</v>
      </c>
      <c r="C16" s="11" t="s">
        <v>8</v>
      </c>
      <c r="D16" s="11" t="s">
        <v>8</v>
      </c>
      <c r="E16" s="11" t="s">
        <v>8</v>
      </c>
      <c r="F16" s="11" t="s">
        <v>8</v>
      </c>
    </row>
    <row r="17" ht="17" spans="1:6">
      <c r="A17" s="11" t="s">
        <v>13</v>
      </c>
      <c r="B17" s="11" t="s">
        <v>14</v>
      </c>
      <c r="C17" s="11" t="s">
        <v>8</v>
      </c>
      <c r="D17" s="11" t="s">
        <v>8</v>
      </c>
      <c r="E17" s="11" t="s">
        <v>8</v>
      </c>
      <c r="F17" s="11" t="s">
        <v>8</v>
      </c>
    </row>
    <row r="18" ht="17" spans="1:6">
      <c r="A18" s="11" t="s">
        <v>15</v>
      </c>
      <c r="B18" s="11" t="s">
        <v>16</v>
      </c>
      <c r="C18" s="11" t="s">
        <v>8</v>
      </c>
      <c r="D18" s="11" t="s">
        <v>8</v>
      </c>
      <c r="E18" s="11" t="s">
        <v>8</v>
      </c>
      <c r="F18" s="11" t="s">
        <v>8</v>
      </c>
    </row>
    <row r="19" ht="17" spans="1:6">
      <c r="A19" s="11" t="s">
        <v>17</v>
      </c>
      <c r="B19" s="11" t="s">
        <v>18</v>
      </c>
      <c r="C19" s="11" t="s">
        <v>8</v>
      </c>
      <c r="D19" s="11" t="s">
        <v>8</v>
      </c>
      <c r="E19" s="11" t="s">
        <v>8</v>
      </c>
      <c r="F19" s="11" t="s">
        <v>8</v>
      </c>
    </row>
    <row r="20" spans="1:6">
      <c r="A20" s="2"/>
      <c r="B20" s="2"/>
      <c r="C20" s="2"/>
      <c r="D20" s="2"/>
      <c r="E20" s="2"/>
      <c r="F20" s="2"/>
    </row>
    <row r="21" spans="1:6">
      <c r="A21" s="3" t="s">
        <v>19</v>
      </c>
      <c r="B21" s="3"/>
      <c r="C21" s="3"/>
      <c r="D21" s="3"/>
      <c r="E21" s="3"/>
      <c r="F21" s="3"/>
    </row>
    <row r="22" spans="1:6">
      <c r="A22" s="6" t="s">
        <v>20</v>
      </c>
      <c r="B22" s="6"/>
      <c r="C22" s="6"/>
      <c r="D22" s="6"/>
      <c r="E22" s="6"/>
      <c r="F22" s="6"/>
    </row>
    <row r="23" spans="1:6">
      <c r="A23" s="6"/>
      <c r="B23" s="6"/>
      <c r="C23" s="6"/>
      <c r="D23" s="6"/>
      <c r="E23" s="6"/>
      <c r="F23" s="6"/>
    </row>
    <row r="24" spans="1:6">
      <c r="A24" s="6"/>
      <c r="B24" s="6"/>
      <c r="C24" s="6"/>
      <c r="D24" s="6"/>
      <c r="E24" s="6"/>
      <c r="F24" s="6"/>
    </row>
  </sheetData>
  <mergeCells count="14">
    <mergeCell ref="A1:F1"/>
    <mergeCell ref="A3:F3"/>
    <mergeCell ref="A9:F9"/>
    <mergeCell ref="A13:F13"/>
    <mergeCell ref="B14:F14"/>
    <mergeCell ref="B15:F15"/>
    <mergeCell ref="B16:F16"/>
    <mergeCell ref="B17:F17"/>
    <mergeCell ref="B18:F18"/>
    <mergeCell ref="B19:F19"/>
    <mergeCell ref="A21:F21"/>
    <mergeCell ref="A4:F7"/>
    <mergeCell ref="A10:F11"/>
    <mergeCell ref="A22:F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9"/>
  <sheetViews>
    <sheetView workbookViewId="0">
      <selection activeCell="A1" sqref="A1:C1"/>
    </sheetView>
  </sheetViews>
  <sheetFormatPr defaultColWidth="9" defaultRowHeight="16.8" outlineLevelCol="2"/>
  <cols>
    <col min="1" max="1" width="12" customWidth="1"/>
    <col min="2" max="3" width="20" customWidth="1"/>
  </cols>
  <sheetData>
    <row r="1" ht="23.2" spans="1:3">
      <c r="A1" s="1" t="s">
        <v>21</v>
      </c>
      <c r="B1" s="1"/>
      <c r="C1" s="1"/>
    </row>
    <row r="2" spans="1:3">
      <c r="A2" s="2"/>
      <c r="B2" s="2"/>
      <c r="C2" s="2"/>
    </row>
    <row r="3" spans="1:3">
      <c r="A3" s="4" t="s">
        <v>22</v>
      </c>
      <c r="B3" s="4" t="s">
        <v>23</v>
      </c>
      <c r="C3" s="4" t="s">
        <v>24</v>
      </c>
    </row>
    <row r="4" spans="1:3">
      <c r="A4" s="2">
        <v>1</v>
      </c>
      <c r="B4" s="14">
        <v>230000</v>
      </c>
      <c r="C4" s="14">
        <v>159101</v>
      </c>
    </row>
    <row r="5" spans="1:3">
      <c r="A5" s="2">
        <v>2</v>
      </c>
      <c r="B5" s="14">
        <v>68000</v>
      </c>
      <c r="C5" s="14">
        <v>142375</v>
      </c>
    </row>
    <row r="6" spans="1:3">
      <c r="A6" s="2">
        <v>3</v>
      </c>
      <c r="B6" s="14">
        <v>153000</v>
      </c>
      <c r="C6" s="14">
        <v>154191</v>
      </c>
    </row>
    <row r="7" spans="1:3">
      <c r="A7" s="2">
        <v>4</v>
      </c>
      <c r="B7" s="14">
        <v>234000</v>
      </c>
      <c r="C7" s="14">
        <v>157685</v>
      </c>
    </row>
    <row r="8" spans="1:3">
      <c r="A8" s="2">
        <v>5</v>
      </c>
      <c r="B8" s="14">
        <v>114000</v>
      </c>
      <c r="C8" s="14">
        <v>153255</v>
      </c>
    </row>
    <row r="9" spans="1:3">
      <c r="A9" s="2">
        <v>6</v>
      </c>
      <c r="B9" s="14">
        <v>249000</v>
      </c>
      <c r="C9" s="14">
        <v>154252</v>
      </c>
    </row>
    <row r="10" spans="1:3">
      <c r="A10" s="2">
        <v>7</v>
      </c>
      <c r="B10" s="14">
        <v>189000</v>
      </c>
      <c r="C10" s="14">
        <v>157111</v>
      </c>
    </row>
    <row r="11" spans="1:3">
      <c r="A11" s="2">
        <v>8</v>
      </c>
      <c r="B11" s="14">
        <v>249000</v>
      </c>
      <c r="C11" s="14">
        <v>164855</v>
      </c>
    </row>
    <row r="12" spans="1:3">
      <c r="A12" s="2">
        <v>9</v>
      </c>
      <c r="B12" s="14">
        <v>74000</v>
      </c>
      <c r="C12" s="14">
        <v>148964</v>
      </c>
    </row>
    <row r="13" spans="1:3">
      <c r="A13" s="2">
        <v>10</v>
      </c>
      <c r="B13" s="14">
        <v>182000</v>
      </c>
      <c r="C13" s="14">
        <v>154899</v>
      </c>
    </row>
    <row r="14" spans="1:3">
      <c r="A14" s="2">
        <v>11</v>
      </c>
      <c r="B14" s="14">
        <v>228000</v>
      </c>
      <c r="C14" s="14">
        <v>161065</v>
      </c>
    </row>
    <row r="15" spans="1:3">
      <c r="A15" s="2">
        <v>12</v>
      </c>
      <c r="B15" s="14">
        <v>111000</v>
      </c>
      <c r="C15" s="14">
        <v>149133</v>
      </c>
    </row>
    <row r="16" spans="1:3">
      <c r="A16" s="2">
        <v>13</v>
      </c>
      <c r="B16" s="14">
        <v>248000</v>
      </c>
      <c r="C16" s="14">
        <v>157140</v>
      </c>
    </row>
    <row r="17" spans="1:3">
      <c r="A17" s="2">
        <v>14</v>
      </c>
      <c r="B17" s="14">
        <v>168000</v>
      </c>
      <c r="C17" s="14">
        <v>157399</v>
      </c>
    </row>
    <row r="18" spans="1:3">
      <c r="A18" s="2">
        <v>15</v>
      </c>
      <c r="B18" s="14">
        <v>128000</v>
      </c>
      <c r="C18" s="14">
        <v>155129</v>
      </c>
    </row>
    <row r="19" spans="1:3">
      <c r="A19" s="2">
        <v>16</v>
      </c>
      <c r="B19" s="14">
        <v>254000</v>
      </c>
      <c r="C19" s="14">
        <v>159773</v>
      </c>
    </row>
    <row r="20" spans="1:3">
      <c r="A20" s="2">
        <v>17</v>
      </c>
      <c r="B20" s="14">
        <v>282000</v>
      </c>
      <c r="C20" s="14">
        <v>161288</v>
      </c>
    </row>
    <row r="21" spans="1:3">
      <c r="A21" s="2">
        <v>18</v>
      </c>
      <c r="B21" s="14">
        <v>63000</v>
      </c>
      <c r="C21" s="14">
        <v>150775</v>
      </c>
    </row>
    <row r="22" spans="1:3">
      <c r="A22" s="2">
        <v>19</v>
      </c>
      <c r="B22" s="14">
        <v>195000</v>
      </c>
      <c r="C22" s="14">
        <v>155651</v>
      </c>
    </row>
    <row r="23" spans="1:3">
      <c r="A23" s="2">
        <v>20</v>
      </c>
      <c r="B23" s="14">
        <v>98000</v>
      </c>
      <c r="C23" s="14">
        <v>155314</v>
      </c>
    </row>
    <row r="24" spans="1:3">
      <c r="A24" s="2">
        <v>21</v>
      </c>
      <c r="B24" s="14">
        <v>176000</v>
      </c>
      <c r="C24" s="14">
        <v>155596</v>
      </c>
    </row>
    <row r="25" spans="1:3">
      <c r="A25" s="2">
        <v>22</v>
      </c>
      <c r="B25" s="14">
        <v>172000</v>
      </c>
      <c r="C25" s="14">
        <v>162306</v>
      </c>
    </row>
    <row r="26" spans="1:3">
      <c r="A26" s="2">
        <v>23</v>
      </c>
      <c r="B26" s="14">
        <v>160000</v>
      </c>
      <c r="C26" s="14">
        <v>157170</v>
      </c>
    </row>
    <row r="27" spans="1:3">
      <c r="A27" s="2">
        <v>24</v>
      </c>
      <c r="B27" s="14">
        <v>246000</v>
      </c>
      <c r="C27" s="14">
        <v>151819</v>
      </c>
    </row>
    <row r="28" spans="1:3">
      <c r="A28" s="2">
        <v>25</v>
      </c>
      <c r="B28" s="14">
        <v>279000</v>
      </c>
      <c r="C28" s="14">
        <v>161104</v>
      </c>
    </row>
    <row r="29" spans="1:3">
      <c r="A29" s="2">
        <v>26</v>
      </c>
      <c r="B29" s="14">
        <v>290000</v>
      </c>
      <c r="C29" s="14">
        <v>164731</v>
      </c>
    </row>
    <row r="30" spans="1:3">
      <c r="A30" s="2">
        <v>27</v>
      </c>
      <c r="B30" s="14">
        <v>52000</v>
      </c>
      <c r="C30" s="14">
        <v>135143</v>
      </c>
    </row>
    <row r="31" spans="1:3">
      <c r="A31" s="2">
        <v>28</v>
      </c>
      <c r="B31" s="14">
        <v>77000</v>
      </c>
      <c r="C31" s="14">
        <v>146219</v>
      </c>
    </row>
    <row r="32" spans="1:3">
      <c r="A32" s="2">
        <v>29</v>
      </c>
      <c r="B32" s="14">
        <v>286000</v>
      </c>
      <c r="C32" s="14">
        <v>158776</v>
      </c>
    </row>
    <row r="33" spans="1:3">
      <c r="A33" s="2">
        <v>30</v>
      </c>
      <c r="B33" s="14">
        <v>116000</v>
      </c>
      <c r="C33" s="14">
        <v>157299</v>
      </c>
    </row>
    <row r="34" spans="1:3">
      <c r="A34" s="2">
        <v>31</v>
      </c>
      <c r="B34" s="14">
        <v>147000</v>
      </c>
      <c r="C34" s="14">
        <v>158297</v>
      </c>
    </row>
    <row r="35" spans="1:3">
      <c r="A35" s="2">
        <v>32</v>
      </c>
      <c r="B35" s="14">
        <v>90000</v>
      </c>
      <c r="C35" s="14">
        <v>155934</v>
      </c>
    </row>
    <row r="36" spans="1:3">
      <c r="A36" s="2">
        <v>33</v>
      </c>
      <c r="B36" s="14">
        <v>160000</v>
      </c>
      <c r="C36" s="14">
        <v>154010</v>
      </c>
    </row>
    <row r="37" spans="1:3">
      <c r="A37" s="2">
        <v>34</v>
      </c>
      <c r="B37" s="14">
        <v>118000</v>
      </c>
      <c r="C37" s="14">
        <v>147744</v>
      </c>
    </row>
    <row r="38" spans="1:3">
      <c r="A38" s="2">
        <v>35</v>
      </c>
      <c r="B38" s="14">
        <v>104000</v>
      </c>
      <c r="C38" s="14">
        <v>154427</v>
      </c>
    </row>
    <row r="39" spans="1:3">
      <c r="A39" s="2">
        <v>36</v>
      </c>
      <c r="B39" s="14">
        <v>93000</v>
      </c>
      <c r="C39" s="14">
        <v>149080</v>
      </c>
    </row>
  </sheetData>
  <mergeCells count="1">
    <mergeCell ref="A1:C1"/>
  </mergeCell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H25" sqref="H25"/>
    </sheetView>
  </sheetViews>
  <sheetFormatPr defaultColWidth="9" defaultRowHeight="16.8"/>
  <cols>
    <col min="1" max="1" width="21" customWidth="1"/>
    <col min="2" max="2" width="24" customWidth="1"/>
    <col min="3" max="6" width="18" customWidth="1"/>
    <col min="8" max="8" width="11.7647058823529" customWidth="1"/>
    <col min="9" max="9" width="16.7647058823529" customWidth="1"/>
  </cols>
  <sheetData>
    <row r="1" ht="23.2" spans="1:14">
      <c r="A1" s="1" t="s">
        <v>25</v>
      </c>
      <c r="B1" s="1"/>
      <c r="C1" s="1"/>
      <c r="D1" s="1"/>
      <c r="E1" s="1"/>
      <c r="F1" s="1"/>
      <c r="G1" s="2"/>
      <c r="H1" s="2"/>
      <c r="I1" s="2"/>
      <c r="J1" s="2"/>
      <c r="K1" s="2"/>
      <c r="L1" s="2"/>
      <c r="M1" s="2"/>
      <c r="N1" s="2"/>
    </row>
    <row r="2" spans="1:14">
      <c r="A2" s="2"/>
      <c r="B2" s="2"/>
      <c r="C2" s="2"/>
      <c r="D2" s="2"/>
      <c r="E2" s="2"/>
      <c r="F2" s="2"/>
      <c r="G2" s="2"/>
      <c r="H2" s="2"/>
      <c r="I2" s="2"/>
      <c r="J2" s="2"/>
      <c r="K2" s="2"/>
      <c r="L2" s="2"/>
      <c r="M2" s="2"/>
      <c r="N2" s="2"/>
    </row>
    <row r="3" spans="1:14">
      <c r="A3" s="3" t="s">
        <v>26</v>
      </c>
      <c r="B3" s="3"/>
      <c r="C3" s="3"/>
      <c r="D3" s="3"/>
      <c r="E3" s="3"/>
      <c r="F3" s="3"/>
      <c r="G3" s="2"/>
      <c r="H3" s="2"/>
      <c r="I3" s="2"/>
      <c r="J3" s="2"/>
      <c r="K3" s="2"/>
      <c r="L3" s="2"/>
      <c r="M3" s="2"/>
      <c r="N3" s="2"/>
    </row>
    <row r="4" spans="1:14">
      <c r="A4" s="4" t="s">
        <v>27</v>
      </c>
      <c r="B4" s="4" t="s">
        <v>28</v>
      </c>
      <c r="C4" s="4" t="s">
        <v>29</v>
      </c>
      <c r="D4" s="4" t="s">
        <v>30</v>
      </c>
      <c r="E4" s="4" t="s">
        <v>31</v>
      </c>
      <c r="F4" s="2"/>
      <c r="G4" s="2"/>
      <c r="H4" s="2"/>
      <c r="I4" s="2"/>
      <c r="J4" s="2"/>
      <c r="K4" s="2"/>
      <c r="L4" s="2"/>
      <c r="M4" s="2"/>
      <c r="N4" s="2"/>
    </row>
    <row r="5" spans="1:14">
      <c r="A5" s="2" t="s">
        <v>32</v>
      </c>
      <c r="B5" s="2">
        <v>36</v>
      </c>
      <c r="C5" s="5">
        <v>168972.222222222</v>
      </c>
      <c r="D5" s="5">
        <v>72978.4649688273</v>
      </c>
      <c r="E5" s="2" t="s">
        <v>33</v>
      </c>
      <c r="F5" s="2"/>
      <c r="G5" s="2"/>
      <c r="H5" s="2"/>
      <c r="I5" s="2"/>
      <c r="J5" s="2"/>
      <c r="K5" s="2"/>
      <c r="L5" s="2"/>
      <c r="M5" s="2"/>
      <c r="N5" s="2"/>
    </row>
    <row r="6" spans="1:14">
      <c r="A6" s="2" t="s">
        <v>34</v>
      </c>
      <c r="B6" s="2">
        <v>36</v>
      </c>
      <c r="C6" s="5">
        <v>154972.5</v>
      </c>
      <c r="D6" s="5">
        <v>6047.73898010063</v>
      </c>
      <c r="E6" s="2" t="s">
        <v>35</v>
      </c>
      <c r="F6" s="2"/>
      <c r="G6" s="2"/>
      <c r="H6" s="2"/>
      <c r="I6" s="2"/>
      <c r="J6" s="2"/>
      <c r="K6" s="2"/>
      <c r="L6" s="2"/>
      <c r="M6" s="2"/>
      <c r="N6" s="2"/>
    </row>
    <row r="7" spans="1:14">
      <c r="A7" s="2"/>
      <c r="B7" s="2"/>
      <c r="C7" s="2"/>
      <c r="D7" s="2"/>
      <c r="E7" s="2"/>
      <c r="F7" s="2"/>
      <c r="G7" s="2"/>
      <c r="H7" s="2"/>
      <c r="I7" s="2"/>
      <c r="J7" s="2"/>
      <c r="K7" s="2"/>
      <c r="L7" s="2"/>
      <c r="M7" s="2"/>
      <c r="N7" s="2"/>
    </row>
    <row r="8" spans="1:14">
      <c r="A8" s="3" t="s">
        <v>36</v>
      </c>
      <c r="B8" s="3"/>
      <c r="C8" s="3"/>
      <c r="D8" s="3"/>
      <c r="E8" s="3"/>
      <c r="F8" s="3"/>
      <c r="G8" s="2"/>
      <c r="H8" s="2"/>
      <c r="I8" s="2"/>
      <c r="J8" s="2"/>
      <c r="K8" s="2"/>
      <c r="L8" s="2"/>
      <c r="M8" s="2"/>
      <c r="N8" s="2"/>
    </row>
    <row r="9" spans="1:14">
      <c r="A9" s="4" t="s">
        <v>37</v>
      </c>
      <c r="B9" s="4" t="s">
        <v>38</v>
      </c>
      <c r="C9" s="2"/>
      <c r="D9" s="4" t="s">
        <v>39</v>
      </c>
      <c r="E9" s="4" t="s">
        <v>8</v>
      </c>
      <c r="F9" s="4" t="s">
        <v>8</v>
      </c>
      <c r="G9" s="2"/>
      <c r="H9" s="2"/>
      <c r="I9" s="2"/>
      <c r="J9" s="2"/>
      <c r="K9" s="2"/>
      <c r="L9" s="2"/>
      <c r="M9" s="2"/>
      <c r="N9" s="2"/>
    </row>
    <row r="10" spans="1:14">
      <c r="A10" s="2" t="s">
        <v>40</v>
      </c>
      <c r="B10" s="2" t="s">
        <v>34</v>
      </c>
      <c r="C10" s="2"/>
      <c r="D10" s="6" t="s">
        <v>41</v>
      </c>
      <c r="E10" s="6" t="s">
        <v>8</v>
      </c>
      <c r="F10" s="6" t="s">
        <v>8</v>
      </c>
      <c r="G10" s="2"/>
      <c r="H10" s="2"/>
      <c r="I10" s="2"/>
      <c r="J10" s="2"/>
      <c r="K10" s="2"/>
      <c r="L10" s="2"/>
      <c r="M10" s="2"/>
      <c r="N10" s="2"/>
    </row>
    <row r="11" spans="1:14">
      <c r="A11" s="2" t="s">
        <v>42</v>
      </c>
      <c r="B11" s="2" t="s">
        <v>43</v>
      </c>
      <c r="C11" s="2"/>
      <c r="D11" s="4" t="s">
        <v>44</v>
      </c>
      <c r="E11" s="4" t="s">
        <v>8</v>
      </c>
      <c r="F11" s="4" t="s">
        <v>8</v>
      </c>
      <c r="G11" s="2"/>
      <c r="H11" s="2"/>
      <c r="I11" s="2"/>
      <c r="J11" s="2"/>
      <c r="K11" s="2"/>
      <c r="L11" s="2"/>
      <c r="M11" s="2"/>
      <c r="N11" s="2"/>
    </row>
    <row r="12" spans="1:14">
      <c r="A12" s="2" t="s">
        <v>45</v>
      </c>
      <c r="B12" s="7">
        <v>144682.869705282</v>
      </c>
      <c r="C12" s="2"/>
      <c r="D12" s="6" t="s">
        <v>46</v>
      </c>
      <c r="E12" s="6" t="s">
        <v>8</v>
      </c>
      <c r="F12" s="6" t="s">
        <v>8</v>
      </c>
      <c r="G12" s="2"/>
      <c r="H12" s="2"/>
      <c r="I12" s="2"/>
      <c r="J12" s="2"/>
      <c r="K12" s="2"/>
      <c r="L12" s="2"/>
      <c r="M12" s="2"/>
      <c r="N12" s="2"/>
    </row>
    <row r="13" spans="1:14">
      <c r="A13" s="2" t="s">
        <v>47</v>
      </c>
      <c r="B13" s="8">
        <v>0.0608953954643854</v>
      </c>
      <c r="C13" s="2"/>
      <c r="D13" s="4" t="s">
        <v>48</v>
      </c>
      <c r="E13" s="4" t="s">
        <v>8</v>
      </c>
      <c r="F13" s="4" t="s">
        <v>8</v>
      </c>
      <c r="G13" s="2"/>
      <c r="H13" s="2"/>
      <c r="I13" s="2"/>
      <c r="J13" s="2"/>
      <c r="K13" s="2"/>
      <c r="L13" s="2"/>
      <c r="M13" s="2"/>
      <c r="N13" s="2"/>
    </row>
    <row r="14" spans="1:14">
      <c r="A14" s="2" t="s">
        <v>49</v>
      </c>
      <c r="B14" s="9">
        <v>0.539973294156273</v>
      </c>
      <c r="C14" s="2"/>
      <c r="D14" s="6" t="s">
        <v>50</v>
      </c>
      <c r="E14" s="6" t="s">
        <v>8</v>
      </c>
      <c r="F14" s="6" t="s">
        <v>8</v>
      </c>
      <c r="G14" s="2"/>
      <c r="H14" s="2"/>
      <c r="I14" s="2"/>
      <c r="J14" s="2"/>
      <c r="K14" s="2"/>
      <c r="L14" s="2"/>
      <c r="M14" s="2"/>
      <c r="N14" s="2"/>
    </row>
    <row r="15" spans="1:14">
      <c r="A15" s="2"/>
      <c r="B15" s="2"/>
      <c r="C15" s="2"/>
      <c r="D15" s="2"/>
      <c r="E15" s="2"/>
      <c r="F15" s="2"/>
      <c r="G15" s="2"/>
      <c r="H15" s="2"/>
      <c r="I15" s="2"/>
      <c r="J15" s="2"/>
      <c r="K15" s="2"/>
      <c r="L15" s="2"/>
      <c r="M15" s="2"/>
      <c r="N15" s="2"/>
    </row>
    <row r="16" spans="1:14">
      <c r="A16" s="3" t="s">
        <v>51</v>
      </c>
      <c r="B16" s="3"/>
      <c r="C16" s="3"/>
      <c r="D16" s="3"/>
      <c r="E16" s="3"/>
      <c r="F16" s="3"/>
      <c r="G16" s="2"/>
      <c r="H16" s="2"/>
      <c r="I16" s="2"/>
      <c r="J16" s="2"/>
      <c r="K16" s="2"/>
      <c r="L16" s="2"/>
      <c r="M16" s="2"/>
      <c r="N16" s="2"/>
    </row>
    <row r="17" spans="1:14">
      <c r="A17" s="4" t="s">
        <v>52</v>
      </c>
      <c r="B17" s="4" t="s">
        <v>53</v>
      </c>
      <c r="C17" s="4" t="s">
        <v>54</v>
      </c>
      <c r="D17" s="4" t="s">
        <v>55</v>
      </c>
      <c r="E17" s="4" t="s">
        <v>56</v>
      </c>
      <c r="F17" s="4" t="s">
        <v>57</v>
      </c>
      <c r="G17" s="2"/>
      <c r="H17" s="2"/>
      <c r="I17" s="2"/>
      <c r="J17" s="2"/>
      <c r="K17" s="2"/>
      <c r="L17" s="2"/>
      <c r="M17" s="2"/>
      <c r="N17" s="2"/>
    </row>
    <row r="18" spans="1:14">
      <c r="A18" s="2" t="s">
        <v>58</v>
      </c>
      <c r="B18" s="2">
        <v>1</v>
      </c>
      <c r="C18" s="5">
        <v>691236087.024611</v>
      </c>
      <c r="D18" s="5">
        <v>691236087.024611</v>
      </c>
      <c r="E18" s="5">
        <v>39.9087526182664</v>
      </c>
      <c r="F18" s="15">
        <v>3.34482533589236e-7</v>
      </c>
      <c r="G18" s="2"/>
      <c r="H18" s="2"/>
      <c r="I18" s="2"/>
      <c r="J18" s="2"/>
      <c r="K18" s="2"/>
      <c r="L18" s="2"/>
      <c r="M18" s="2"/>
      <c r="N18" s="2"/>
    </row>
    <row r="19" spans="1:14">
      <c r="A19" s="2" t="s">
        <v>59</v>
      </c>
      <c r="B19" s="2">
        <v>34</v>
      </c>
      <c r="C19" s="5">
        <v>588894049.975389</v>
      </c>
      <c r="D19" s="5">
        <v>17320413.2345703</v>
      </c>
      <c r="E19" s="5" t="s">
        <v>8</v>
      </c>
      <c r="F19" s="2" t="s">
        <v>8</v>
      </c>
      <c r="G19" s="2"/>
      <c r="H19" s="2"/>
      <c r="I19" s="2"/>
      <c r="J19" s="2"/>
      <c r="K19" s="2"/>
      <c r="L19" s="2"/>
      <c r="M19" s="2"/>
      <c r="N19" s="2"/>
    </row>
    <row r="20" spans="1:14">
      <c r="A20" s="2" t="s">
        <v>60</v>
      </c>
      <c r="B20" s="2">
        <v>35</v>
      </c>
      <c r="C20" s="5">
        <v>1280130137</v>
      </c>
      <c r="D20" s="5" t="s">
        <v>8</v>
      </c>
      <c r="E20" s="5" t="s">
        <v>8</v>
      </c>
      <c r="F20" s="2" t="s">
        <v>8</v>
      </c>
      <c r="G20" s="2"/>
      <c r="H20" s="2"/>
      <c r="I20" s="2"/>
      <c r="J20" s="2"/>
      <c r="K20" s="2"/>
      <c r="L20" s="2"/>
      <c r="M20" s="2"/>
      <c r="N20" s="2"/>
    </row>
    <row r="21" spans="1:14">
      <c r="A21" s="2"/>
      <c r="B21" s="2"/>
      <c r="C21" s="2"/>
      <c r="D21" s="2"/>
      <c r="E21" s="2"/>
      <c r="F21" s="2"/>
      <c r="G21" s="2"/>
      <c r="H21" s="4" t="s">
        <v>43</v>
      </c>
      <c r="I21" s="4" t="s">
        <v>61</v>
      </c>
      <c r="J21" s="2"/>
      <c r="K21" s="2"/>
      <c r="L21" s="2"/>
      <c r="M21" s="2"/>
      <c r="N21" s="2"/>
    </row>
    <row r="22" spans="1:14">
      <c r="A22" s="3" t="s">
        <v>62</v>
      </c>
      <c r="B22" s="3"/>
      <c r="C22" s="3"/>
      <c r="D22" s="3"/>
      <c r="E22" s="3"/>
      <c r="F22" s="3"/>
      <c r="G22" s="2"/>
      <c r="H22" s="2">
        <v>52000</v>
      </c>
      <c r="I22" s="2">
        <v>147849.43026943</v>
      </c>
      <c r="J22" s="2"/>
      <c r="K22" s="2"/>
      <c r="L22" s="2"/>
      <c r="M22" s="2"/>
      <c r="N22" s="2"/>
    </row>
    <row r="23" ht="17" spans="1:14">
      <c r="A23" s="10" t="s">
        <v>63</v>
      </c>
      <c r="B23" s="10" t="s">
        <v>64</v>
      </c>
      <c r="C23" s="10" t="s">
        <v>65</v>
      </c>
      <c r="D23" s="10" t="s">
        <v>66</v>
      </c>
      <c r="E23" s="10" t="s">
        <v>67</v>
      </c>
      <c r="F23" s="10" t="s">
        <v>68</v>
      </c>
      <c r="G23" s="2"/>
      <c r="H23" s="2">
        <v>290000</v>
      </c>
      <c r="I23" s="2">
        <v>162342.534389954</v>
      </c>
      <c r="J23" s="2"/>
      <c r="K23" s="2"/>
      <c r="L23" s="2"/>
      <c r="M23" s="2"/>
      <c r="N23" s="2"/>
    </row>
    <row r="24" ht="17" spans="1:14">
      <c r="A24" s="11" t="s">
        <v>45</v>
      </c>
      <c r="B24" s="12">
        <v>144682.869705282</v>
      </c>
      <c r="C24" s="13">
        <v>1770.33521707195</v>
      </c>
      <c r="D24" s="13">
        <v>81.7262563101355</v>
      </c>
      <c r="E24" s="16">
        <v>1.29243425854349e-40</v>
      </c>
      <c r="F24" s="11" t="s">
        <v>69</v>
      </c>
      <c r="G24" s="2"/>
      <c r="H24" s="2"/>
      <c r="I24" s="2"/>
      <c r="J24" s="2"/>
      <c r="K24" s="2"/>
      <c r="L24" s="2"/>
      <c r="M24" s="2"/>
      <c r="N24" s="2"/>
    </row>
    <row r="25" ht="17" spans="1:14">
      <c r="A25" s="11" t="s">
        <v>43</v>
      </c>
      <c r="B25" s="12">
        <v>0.0608953954643854</v>
      </c>
      <c r="C25" s="13">
        <v>0.00963940834623004</v>
      </c>
      <c r="D25" s="13">
        <v>6.31733746275014</v>
      </c>
      <c r="E25" s="16">
        <v>3.34482533589238e-7</v>
      </c>
      <c r="F25" s="11" t="s">
        <v>69</v>
      </c>
      <c r="G25" s="2"/>
      <c r="H25" s="2"/>
      <c r="I25" s="2"/>
      <c r="J25" s="2"/>
      <c r="K25" s="2"/>
      <c r="L25" s="2"/>
      <c r="M25" s="2"/>
      <c r="N25" s="2"/>
    </row>
    <row r="26" spans="1:14">
      <c r="A26" s="2"/>
      <c r="B26" s="2"/>
      <c r="C26" s="2"/>
      <c r="D26" s="2"/>
      <c r="E26" s="2"/>
      <c r="F26" s="2"/>
      <c r="G26" s="2"/>
      <c r="H26" s="2"/>
      <c r="I26" s="2"/>
      <c r="J26" s="2"/>
      <c r="K26" s="2"/>
      <c r="L26" s="2"/>
      <c r="M26" s="2"/>
      <c r="N26" s="2"/>
    </row>
    <row r="27" spans="1:14">
      <c r="A27" s="3" t="s">
        <v>70</v>
      </c>
      <c r="B27" s="3"/>
      <c r="C27" s="3"/>
      <c r="D27" s="3"/>
      <c r="E27" s="3"/>
      <c r="F27" s="3"/>
      <c r="G27" s="2"/>
      <c r="H27" s="2"/>
      <c r="I27" s="2"/>
      <c r="J27" s="2"/>
      <c r="K27" s="2"/>
      <c r="L27" s="2"/>
      <c r="M27" s="2"/>
      <c r="N27" s="2"/>
    </row>
    <row r="28" spans="1:14">
      <c r="A28" s="4" t="s">
        <v>43</v>
      </c>
      <c r="B28" s="4" t="s">
        <v>71</v>
      </c>
      <c r="C28" s="4" t="s">
        <v>72</v>
      </c>
      <c r="D28" s="4" t="s">
        <v>73</v>
      </c>
      <c r="E28" s="2"/>
      <c r="F28" s="2"/>
      <c r="G28" s="2"/>
      <c r="H28" s="2"/>
      <c r="I28" s="2"/>
      <c r="J28" s="2"/>
      <c r="K28" s="2"/>
      <c r="L28" s="2"/>
      <c r="M28" s="2"/>
      <c r="N28" s="2"/>
    </row>
    <row r="29" ht="68" spans="1:14">
      <c r="A29" s="14">
        <v>100000</v>
      </c>
      <c r="B29" s="14">
        <v>150772.40925172</v>
      </c>
      <c r="C29" s="14">
        <v>150800</v>
      </c>
      <c r="D29" s="11" t="s">
        <v>74</v>
      </c>
      <c r="E29" s="2"/>
      <c r="F29" s="2"/>
      <c r="G29" s="2"/>
      <c r="H29" s="2"/>
      <c r="I29" s="2"/>
      <c r="J29" s="2"/>
      <c r="K29" s="2"/>
      <c r="L29" s="2"/>
      <c r="M29" s="2"/>
      <c r="N29" s="2"/>
    </row>
    <row r="30" ht="68" spans="1:14">
      <c r="A30" s="14">
        <v>300000</v>
      </c>
      <c r="B30" s="14">
        <v>162951.488344597</v>
      </c>
      <c r="C30" s="14">
        <v>163000</v>
      </c>
      <c r="D30" s="11" t="s">
        <v>75</v>
      </c>
      <c r="E30" s="2"/>
      <c r="F30" s="2"/>
      <c r="G30" s="2"/>
      <c r="H30" s="2"/>
      <c r="I30" s="2"/>
      <c r="J30" s="2"/>
      <c r="K30" s="2"/>
      <c r="L30" s="2"/>
      <c r="M30" s="2"/>
      <c r="N30" s="2"/>
    </row>
    <row r="31" spans="1:14">
      <c r="A31" s="2"/>
      <c r="B31" s="2"/>
      <c r="C31" s="2"/>
      <c r="D31" s="2"/>
      <c r="E31" s="2"/>
      <c r="F31" s="2"/>
      <c r="G31" s="2"/>
      <c r="H31" s="2"/>
      <c r="I31" s="2"/>
      <c r="J31" s="2"/>
      <c r="K31" s="2"/>
      <c r="L31" s="2"/>
      <c r="M31" s="2"/>
      <c r="N31" s="2"/>
    </row>
    <row r="32" spans="1:14">
      <c r="A32" s="3" t="s">
        <v>76</v>
      </c>
      <c r="B32" s="3"/>
      <c r="C32" s="3"/>
      <c r="D32" s="3"/>
      <c r="E32" s="3"/>
      <c r="F32" s="3"/>
      <c r="G32" s="2"/>
      <c r="H32" s="2"/>
      <c r="I32" s="2"/>
      <c r="J32" s="2"/>
      <c r="K32" s="2"/>
      <c r="L32" s="2"/>
      <c r="M32" s="2"/>
      <c r="N32" s="2"/>
    </row>
    <row r="33" spans="1:14">
      <c r="A33" s="6" t="s">
        <v>77</v>
      </c>
      <c r="B33" s="6"/>
      <c r="C33" s="6"/>
      <c r="D33" s="6"/>
      <c r="E33" s="6"/>
      <c r="F33" s="6"/>
      <c r="G33" s="2"/>
      <c r="H33" s="2"/>
      <c r="I33" s="2"/>
      <c r="J33" s="2"/>
      <c r="K33" s="2"/>
      <c r="L33" s="2"/>
      <c r="M33" s="2"/>
      <c r="N33" s="2"/>
    </row>
    <row r="34" spans="1:14">
      <c r="A34" s="6"/>
      <c r="B34" s="6"/>
      <c r="C34" s="6"/>
      <c r="D34" s="6"/>
      <c r="E34" s="6"/>
      <c r="F34" s="6"/>
      <c r="G34" s="2"/>
      <c r="H34" s="2"/>
      <c r="I34" s="2"/>
      <c r="J34" s="2"/>
      <c r="K34" s="2"/>
      <c r="L34" s="2"/>
      <c r="M34" s="2"/>
      <c r="N34" s="2"/>
    </row>
    <row r="35" spans="1:14">
      <c r="A35" s="6"/>
      <c r="B35" s="6"/>
      <c r="C35" s="6"/>
      <c r="D35" s="6"/>
      <c r="E35" s="6"/>
      <c r="F35" s="6"/>
      <c r="G35" s="2"/>
      <c r="H35" s="2"/>
      <c r="I35" s="2"/>
      <c r="J35" s="2"/>
      <c r="K35" s="2"/>
      <c r="L35" s="2"/>
      <c r="M35" s="2"/>
      <c r="N35" s="2"/>
    </row>
    <row r="36" spans="1:14">
      <c r="A36" s="6"/>
      <c r="B36" s="6"/>
      <c r="C36" s="6"/>
      <c r="D36" s="6"/>
      <c r="E36" s="6"/>
      <c r="F36" s="6"/>
      <c r="G36" s="2"/>
      <c r="H36" s="2"/>
      <c r="I36" s="2"/>
      <c r="J36" s="2"/>
      <c r="K36" s="2"/>
      <c r="L36" s="2"/>
      <c r="M36" s="2"/>
      <c r="N36" s="2"/>
    </row>
    <row r="37" spans="1:14">
      <c r="A37" s="6"/>
      <c r="B37" s="6"/>
      <c r="C37" s="6"/>
      <c r="D37" s="6"/>
      <c r="E37" s="6"/>
      <c r="F37" s="6"/>
      <c r="G37" s="2"/>
      <c r="H37" s="2"/>
      <c r="I37" s="2"/>
      <c r="J37" s="2"/>
      <c r="K37" s="2"/>
      <c r="L37" s="2"/>
      <c r="M37" s="2"/>
      <c r="N37" s="2"/>
    </row>
    <row r="38" spans="1:14">
      <c r="A38" s="6"/>
      <c r="B38" s="6"/>
      <c r="C38" s="6"/>
      <c r="D38" s="6"/>
      <c r="E38" s="6"/>
      <c r="F38" s="6"/>
      <c r="G38" s="2"/>
      <c r="H38" s="2"/>
      <c r="I38" s="2"/>
      <c r="J38" s="2"/>
      <c r="K38" s="2"/>
      <c r="L38" s="2"/>
      <c r="M38" s="2"/>
      <c r="N38" s="2"/>
    </row>
  </sheetData>
  <mergeCells count="14">
    <mergeCell ref="A1:F1"/>
    <mergeCell ref="A3:F3"/>
    <mergeCell ref="A8:F8"/>
    <mergeCell ref="D9:F9"/>
    <mergeCell ref="D10:F10"/>
    <mergeCell ref="D11:F11"/>
    <mergeCell ref="D12:F12"/>
    <mergeCell ref="D13:F13"/>
    <mergeCell ref="D14:F14"/>
    <mergeCell ref="A16:F16"/>
    <mergeCell ref="A22:F22"/>
    <mergeCell ref="A27:F27"/>
    <mergeCell ref="A32:F32"/>
    <mergeCell ref="A33:F38"/>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WPS Writer</Application>
  <HeadingPairs>
    <vt:vector size="2" baseType="variant">
      <vt:variant>
        <vt:lpstr>工作表</vt:lpstr>
      </vt:variant>
      <vt:variant>
        <vt:i4>3</vt:i4>
      </vt:variant>
    </vt:vector>
  </HeadingPairs>
  <TitlesOfParts>
    <vt:vector size="3" baseType="lpstr">
      <vt:lpstr>Project Overview</vt:lpstr>
      <vt:lpstr>Raw Data</vt:lpstr>
      <vt:lpstr>Regression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2026-09-24T17:08:02Z</dcterms:created>
  <dcterms:modified xsi:type="dcterms:W3CDTF">2026-09-24T17:08:40Z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C79CC0EF960F7F2C94E8B46A4686602C_42</vt:lpwstr>
  </property>
  <property fmtid="{D5CDD505-2E9C-101B-9397-08002B2CF9AE}" pid="3" name="KSOProductBuildVer">
    <vt:lpwstr>1033-6.14.0.8924</vt:lpwstr>
  </property>
</Properties>
</file>