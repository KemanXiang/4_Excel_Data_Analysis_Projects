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Instruction" sheetId="3" r:id="rId1"/>
    <sheet name="Data" sheetId="1" r:id="rId2"/>
    <sheet name="Chart" sheetId="2" r:id="rId3"/>
  </sheets>
  <definedNames>
    <definedName name="_xlnm._FilterDatabase" localSheetId="2" hidden="1">Chart!$B$20:$C$24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<sst xmlns="http://schemas.openxmlformats.org/spreadsheetml/2006/main" count="139" uniqueCount="101">
  <si>
    <t>Create, filter, and customize charts</t>
  </si>
  <si>
    <t>Activity overview</t>
  </si>
  <si>
    <t>Objective:</t>
  </si>
  <si>
    <t xml:space="preserve">Create a chart in a spreadsheet and customize it by using filters and applying different styles. </t>
  </si>
  <si>
    <t>Creating a chart in a spreadsheet</t>
  </si>
  <si>
    <r>
      <t xml:space="preserve">1. Highlight cells </t>
    </r>
    <r>
      <rPr>
        <b/>
        <sz val="12"/>
        <color rgb="FF0D0F12"/>
        <rFont val="unset"/>
        <charset val="134"/>
      </rPr>
      <t>B3</t>
    </r>
    <r>
      <rPr>
        <sz val="12"/>
        <color rgb="FF0D0F12"/>
        <rFont val="Arial"/>
        <charset val="134"/>
      </rPr>
      <t xml:space="preserve"> through </t>
    </r>
    <r>
      <rPr>
        <b/>
        <sz val="12"/>
        <color rgb="FF0D0F12"/>
        <rFont val="unset"/>
        <charset val="134"/>
      </rPr>
      <t>C7</t>
    </r>
    <r>
      <rPr>
        <sz val="12"/>
        <color rgb="FF0D0F12"/>
        <rFont val="Arial"/>
        <charset val="134"/>
      </rPr>
      <t xml:space="preserve"> as the data for the chart.</t>
    </r>
  </si>
  <si>
    <t>2. From the main menu, click Insert, and select Chart.</t>
  </si>
  <si>
    <t xml:space="preserve">3. A chart is created automatically and a chart editor opens on the right so we can change the chart type. </t>
  </si>
  <si>
    <t>If a pie chart is displayed, click the Chart type drop-down and select a column chart.</t>
  </si>
  <si>
    <r>
      <t>4.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 xml:space="preserve">To filter the data shown in the column chart, make sure the </t>
    </r>
    <r>
      <rPr>
        <b/>
        <sz val="12"/>
        <color rgb="FF0D0F12"/>
        <rFont val="unset"/>
        <charset val="134"/>
      </rPr>
      <t xml:space="preserve">pink row 3 </t>
    </r>
    <r>
      <rPr>
        <sz val="12"/>
        <color rgb="FF0D0F12"/>
        <rFont val="Arial"/>
        <charset val="134"/>
      </rPr>
      <t xml:space="preserve">is highlighted and then click the </t>
    </r>
    <r>
      <rPr>
        <b/>
        <sz val="12"/>
        <color rgb="FF0D0F12"/>
        <rFont val="unset"/>
        <charset val="134"/>
      </rPr>
      <t>filter</t>
    </r>
    <r>
      <rPr>
        <sz val="12"/>
        <color rgb="FF0D0F12"/>
        <rFont val="Arial"/>
        <charset val="134"/>
      </rPr>
      <t xml:space="preserve"> </t>
    </r>
    <r>
      <rPr>
        <b/>
        <sz val="12"/>
        <color rgb="FF0D0F12"/>
        <rFont val="unset"/>
        <charset val="134"/>
      </rPr>
      <t>icon</t>
    </r>
    <r>
      <rPr>
        <sz val="12"/>
        <color rgb="FF0D0F12"/>
        <rFont val="Arial"/>
        <charset val="134"/>
      </rPr>
      <t xml:space="preserve"> in the toolbar. (The filter icon is the second icon from the right in the toolbar.) This adds a filter icon in each column of the data.</t>
    </r>
  </si>
  <si>
    <r>
      <t xml:space="preserve">5. Click the filter icon for </t>
    </r>
    <r>
      <rPr>
        <b/>
        <sz val="12"/>
        <color rgb="FF0D0F12"/>
        <rFont val="unset"/>
        <charset val="134"/>
      </rPr>
      <t>Store Name</t>
    </r>
    <r>
      <rPr>
        <sz val="12"/>
        <color rgb="FF0D0F12"/>
        <rFont val="Arial"/>
        <charset val="134"/>
      </rPr>
      <t xml:space="preserve"> and uncheck </t>
    </r>
    <r>
      <rPr>
        <b/>
        <sz val="12"/>
        <color rgb="FF0D0F12"/>
        <rFont val="unset"/>
        <charset val="134"/>
      </rPr>
      <t>Candy's Beauty Supply</t>
    </r>
    <r>
      <rPr>
        <sz val="12"/>
        <color rgb="FF0D0F12"/>
        <rFont val="Arial"/>
        <charset val="134"/>
      </rPr>
      <t>.</t>
    </r>
  </si>
  <si>
    <r>
      <t>6.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 xml:space="preserve">Click </t>
    </r>
    <r>
      <rPr>
        <b/>
        <sz val="12"/>
        <color rgb="FF0D0F12"/>
        <rFont val="unset"/>
        <charset val="134"/>
      </rPr>
      <t>OK</t>
    </r>
    <r>
      <rPr>
        <sz val="12"/>
        <color rgb="FF0D0F12"/>
        <rFont val="Arial"/>
        <charset val="134"/>
      </rPr>
      <t xml:space="preserve"> and the chart will automatically update to exclude the data for Candy's Beauty Supply</t>
    </r>
  </si>
  <si>
    <r>
      <t>Note:</t>
    </r>
    <r>
      <rPr>
        <sz val="12"/>
        <color rgb="FF0D0F12"/>
        <rFont val="Arial"/>
        <charset val="134"/>
      </rPr>
      <t xml:space="preserve"> To include the data for Candy's Beauty Supply again, simply click the filter icon for Store Name and click Candy's Beauty Supply to add the check mark back.</t>
    </r>
  </si>
  <si>
    <t>Applying Styles</t>
  </si>
  <si>
    <t>We can also apply different styles to the chart. For example, the default blue in the chart isn't the most appropriate for accessibility when the background is white.</t>
  </si>
  <si>
    <t>1. Double-click the chart to open the chart editor.</t>
  </si>
  <si>
    <r>
      <t xml:space="preserve">2. Click </t>
    </r>
    <r>
      <rPr>
        <b/>
        <sz val="12"/>
        <color rgb="FF0D0F12"/>
        <rFont val="unset"/>
        <charset val="134"/>
      </rPr>
      <t>Series</t>
    </r>
    <r>
      <rPr>
        <sz val="12"/>
        <color rgb="FF0D0F12"/>
        <rFont val="Arial"/>
        <charset val="134"/>
      </rPr>
      <t xml:space="preserve"> in the chart editor to expand the options.</t>
    </r>
  </si>
  <si>
    <r>
      <t>3.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 xml:space="preserve">Under </t>
    </r>
    <r>
      <rPr>
        <b/>
        <sz val="12"/>
        <color rgb="FF0D0F12"/>
        <rFont val="unset"/>
        <charset val="134"/>
      </rPr>
      <t>Format</t>
    </r>
    <r>
      <rPr>
        <sz val="12"/>
        <color rgb="FF0D0F12"/>
        <rFont val="Arial"/>
        <charset val="134"/>
      </rPr>
      <t xml:space="preserve">, click the drop-down for </t>
    </r>
    <r>
      <rPr>
        <b/>
        <sz val="12"/>
        <color rgb="FF0D0F12"/>
        <rFont val="unset"/>
        <charset val="134"/>
      </rPr>
      <t>Fill color</t>
    </r>
    <r>
      <rPr>
        <sz val="12"/>
        <color rgb="FF0D0F12"/>
        <rFont val="Arial"/>
        <charset val="134"/>
      </rPr>
      <t xml:space="preserve">, and select </t>
    </r>
    <r>
      <rPr>
        <b/>
        <sz val="12"/>
        <color rgb="FF0D0F12"/>
        <rFont val="unset"/>
        <charset val="134"/>
      </rPr>
      <t>Custom</t>
    </r>
    <r>
      <rPr>
        <sz val="12"/>
        <color rgb="FF0D0F12"/>
        <rFont val="Arial"/>
        <charset val="134"/>
      </rPr>
      <t>.</t>
    </r>
  </si>
  <si>
    <t xml:space="preserve">4. Change the Hex value for the color from #4a86e8 to one of the blue hues recommended for use on white backgrounds for accessibility. </t>
  </si>
  <si>
    <t xml:space="preserve">The difference between the current color and these accessible colors may seem minimal, but a contrast ratio of 4.5:1 is important for people who cannot see the full color spectrum. </t>
  </si>
  <si>
    <t>#0071bc</t>
  </si>
  <si>
    <t>#046b99</t>
  </si>
  <si>
    <t>#205493</t>
  </si>
  <si>
    <r>
      <t>5.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 xml:space="preserve">Click </t>
    </r>
    <r>
      <rPr>
        <b/>
        <sz val="12"/>
        <color rgb="FF0D0F12"/>
        <rFont val="unset"/>
        <charset val="134"/>
      </rPr>
      <t>OK</t>
    </r>
    <r>
      <rPr>
        <sz val="12"/>
        <color rgb="FF0D0F12"/>
        <rFont val="Arial"/>
        <charset val="134"/>
      </rPr>
      <t xml:space="preserve"> and the chart will automatically update with the newly assigned color.</t>
    </r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</si>
  <si>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</si>
  <si>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</si>
  <si>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</si>
  <si>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</si>
  <si>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</si>
  <si>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</si>
  <si>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</si>
  <si>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</si>
  <si>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</si>
  <si>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Store Name</t>
  </si>
  <si>
    <t>Total Purchases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</si>
  <si>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</si>
  <si>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</si>
  <si>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</si>
  <si>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</si>
  <si>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</si>
  <si>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</si>
  <si>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</si>
  <si>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</si>
  <si>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</si>
  <si>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</si>
  <si>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</si>
  <si>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</si>
  <si>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</si>
  <si>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</si>
  <si>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</si>
  <si>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</si>
  <si>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</si>
  <si>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</si>
  <si>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</si>
  <si>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</si>
  <si>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</si>
  <si>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</si>
  <si>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</si>
  <si>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</si>
  <si>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</si>
  <si>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</si>
  <si>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</si>
  <si>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</si>
  <si>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</si>
  <si>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</si>
  <si>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</si>
  <si>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</si>
  <si>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</si>
  <si>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</si>
  <si>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</si>
  <si>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</si>
  <si>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</si>
  <si>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</si>
  <si>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</si>
  <si>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</si>
  <si>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</si>
  <si>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</si>
  <si>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</si>
  <si>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</si>
  <si>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</si>
  <si>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</si>
  <si>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</si>
  <si>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</si>
  <si>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</si>
  <si>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</si>
  <si>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</si>
  <si>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</si>
  <si>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</si>
  <si>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</si>
  <si>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</si>
  <si>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</si>
  <si>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</si>
  <si>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</si>
  <si>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</si>
  <si>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</si>
  <si>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</si>
  <si>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</si>
  <si>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</si>
  <si>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</si>
  <si>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Use this data to create and insert the chart on this sheet</t>
  </si>
  <si>
    <t>Filtered: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</si>
</sst>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30"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Monospace"/>
      <charset val="134"/>
    </font>
    <font>
      <b/>
      <sz val="16"/>
      <color rgb="FF0D0F12"/>
      <name val="Arial"/>
      <charset val="134"/>
    </font>
    <font>
      <b/>
      <sz val="15"/>
      <color rgb="FF0D0F12"/>
      <name val="Arial"/>
      <charset val="134"/>
    </font>
    <font>
      <b/>
      <sz val="12"/>
      <color rgb="FF0D0F12"/>
      <name val="Arial"/>
      <charset val="134"/>
    </font>
    <font>
      <sz val="12"/>
      <color rgb="FF0D0F12"/>
      <name val="Arial"/>
      <charset val="134"/>
    </font>
    <font>
      <b/>
      <sz val="12"/>
      <color rgb="FF0D0F12"/>
      <name val="unse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/>
    <xf numFmtId="0" fontId="2" fillId="2" borderId="0" xfId="0" applyFont="1" applyFill="1" applyAlignment="1"/>
    <xf numFmtId="178" fontId="1" fillId="0" borderId="0" xfId="0" applyNumberFormat="1" applyFont="1" applyAlignment="1">
      <alignment horizontal="right"/>
    </xf>
    <xf numFmtId="0" fontId="3" fillId="0" borderId="0" xfId="0" applyFont="1" applyAlignment="1"/>
    <xf numFmtId="178" fontId="1" fillId="0" borderId="0" xfId="0" applyNumberFormat="1" applyFont="1" applyAlignment="1"/>
    <xf numFmtId="0" fontId="1" fillId="0" borderId="0" xfId="0" applyFont="1"/>
    <xf numFmtId="178" fontId="0" fillId="0" borderId="0" xfId="0" applyNumberFormat="1" applyFont="1" applyAlignment="1"/>
    <xf numFmtId="178" fontId="1" fillId="0" borderId="0" xfId="0" applyNumberFormat="1" applyFont="1"/>
    <xf numFmtId="178" fontId="0" fillId="0" borderId="0" xfId="0" applyNumberFormat="1" applyFont="1"/>
    <xf numFmtId="0" fontId="4" fillId="3" borderId="0" xfId="0" applyFont="1" applyFill="1" applyAlignment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71B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Purchases vs. Store Name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Chart!$C$3</c:f>
              <c:strCache>
                <c:ptCount val="1"/>
                <c:pt idx="0">
                  <c:v>Total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Chart!$B$4:$B$7</c:f>
              <c:strCache>
                <c:ptCount val="4"/>
                <c:pt idx="0">
                  <c:v>Candy's Beauty Supply</c:v>
                </c:pt>
                <c:pt idx="1">
                  <c:v>Rockland's</c:v>
                </c:pt>
                <c:pt idx="2">
                  <c:v>Rudiger Pharmacy</c:v>
                </c:pt>
                <c:pt idx="3">
                  <c:v>Elizabethtown Supply</c:v>
                </c:pt>
              </c:strCache>
            </c:strRef>
          </c:cat>
          <c:val>
            <c:numRef>
              <c:f>Chart!$C$4:$C$7</c:f>
              <c:numCache>
                <c:formatCode>"$"#,##0.00</c:formatCode>
                <c:ptCount val="4"/>
                <c:pt idx="0">
                  <c:v>23541.02</c:v>
                </c:pt>
                <c:pt idx="1">
                  <c:v>12794.67</c:v>
                </c:pt>
                <c:pt idx="2">
                  <c:v>48753.88</c:v>
                </c:pt>
                <c:pt idx="3">
                  <c:v>46644.42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7288523"/>
        <c:axId val="509092242"/>
      </c:barChart>
      <c:catAx>
        <c:axId val="3572885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092242"/>
        <c:crosses val="autoZero"/>
        <c:auto val="1"/>
        <c:lblAlgn val="ctr"/>
        <c:lblOffset val="100"/>
        <c:noMultiLvlLbl val="0"/>
      </c:catAx>
      <c:valAx>
        <c:axId val="5090922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2885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Purchases vs. Store Name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Chart!$C$20</c:f>
              <c:strCache>
                <c:ptCount val="1"/>
                <c:pt idx="0">
                  <c:v>Total Purchases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Chart!$B$21:$B$24</c:f>
              <c:strCache>
                <c:ptCount val="3"/>
                <c:pt idx="0">
                  <c:v>Rockland's</c:v>
                </c:pt>
                <c:pt idx="1">
                  <c:v>Rudiger Pharmacy</c:v>
                </c:pt>
                <c:pt idx="2">
                  <c:v>Elizabethtown Supply</c:v>
                </c:pt>
              </c:strCache>
            </c:strRef>
          </c:cat>
          <c:val>
            <c:numRef>
              <c:f>Chart!$C$21:$C$24</c:f>
              <c:numCache>
                <c:formatCode>General</c:formatCode>
                <c:ptCount val="3"/>
                <c:pt idx="0">
                  <c:v>12794.67</c:v>
                </c:pt>
                <c:pt idx="1">
                  <c:v>48753.88</c:v>
                </c:pt>
                <c:pt idx="2">
                  <c:v>46644.42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7085960"/>
        <c:axId val="878879392"/>
      </c:barChart>
      <c:catAx>
        <c:axId val="257085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879392"/>
        <c:crosses val="autoZero"/>
        <c:auto val="1"/>
        <c:lblAlgn val="ctr"/>
        <c:lblOffset val="100"/>
        <c:noMultiLvlLbl val="0"/>
      </c:catAx>
      <c:valAx>
        <c:axId val="8788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0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406400</xdr:colOff>
      <xdr:row>17</xdr:row>
      <xdr:rowOff>177800</xdr:rowOff>
    </xdr:to>
    <xdr:pic>
      <xdr:nvPicPr>
        <xdr:cNvPr id="5" name="Picture 4" descr="Store name column is highlighted and filter drop-down menu is selected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204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406400</xdr:colOff>
      <xdr:row>18</xdr:row>
      <xdr:rowOff>177800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064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406400</xdr:colOff>
      <xdr:row>25</xdr:row>
      <xdr:rowOff>177800</xdr:rowOff>
    </xdr:to>
    <xdr:pic>
      <xdr:nvPicPr>
        <xdr:cNvPr id="8" name="Picture 7" descr="A chart (total purchases vs store name) is on the left and a chart editor is on the right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5084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406400</xdr:colOff>
      <xdr:row>26</xdr:row>
      <xdr:rowOff>182880</xdr:rowOff>
    </xdr:to>
    <xdr:pic>
      <xdr:nvPicPr>
        <xdr:cNvPr id="9" name="Picture 8" descr="screenshot of color editor featuring lots of different colors. A custom option is on the bottom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944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406400</xdr:colOff>
      <xdr:row>31</xdr:row>
      <xdr:rowOff>177800</xdr:rowOff>
    </xdr:to>
    <xdr:pic>
      <xdr:nvPicPr>
        <xdr:cNvPr id="10" name="Picture 9" descr="Image of custom color box with different shades of blue. Hex #4a86e8 is selected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9704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406400</xdr:colOff>
      <xdr:row>5</xdr:row>
      <xdr:rowOff>213360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012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556895</xdr:colOff>
      <xdr:row>0</xdr:row>
      <xdr:rowOff>55245</xdr:rowOff>
    </xdr:from>
    <xdr:to>
      <xdr:col>9</xdr:col>
      <xdr:colOff>927100</xdr:colOff>
      <xdr:row>18</xdr:row>
      <xdr:rowOff>107950</xdr:rowOff>
    </xdr:to>
    <xdr:graphicFrame>
      <xdr:nvGraphicFramePr>
        <xdr:cNvPr id="2" name="Chart 1"/>
        <xdr:cNvGraphicFramePr/>
      </xdr:nvGraphicFramePr>
      <xdr:xfrm>
        <a:off x="4295775" y="55245"/>
        <a:ext cx="6527165" cy="3653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538480</xdr:colOff>
      <xdr:row>20</xdr:row>
      <xdr:rowOff>22225</xdr:rowOff>
    </xdr:from>
    <xdr:to>
      <xdr:col>9</xdr:col>
      <xdr:colOff>856615</xdr:colOff>
      <xdr:row>40</xdr:row>
      <xdr:rowOff>23495</xdr:rowOff>
    </xdr:to>
    <xdr:graphicFrame>
      <xdr:nvGraphicFramePr>
        <xdr:cNvPr id="3" name="Chart 2"/>
        <xdr:cNvGraphicFramePr/>
      </xdr:nvGraphicFramePr>
      <xdr:xfrm>
        <a:off x="4277360" y="4000500"/>
        <a:ext cx="6475095" cy="3823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eb-accessibility.carnegiemuseums.org/design/color/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1"/>
    </sheetView>
  </sheetViews>
  <sheetFormatPr defaultColWidth="9.14285714285714" defaultRowHeight="15.2"/>
  <cols>
    <col min="1" max="1" width="36.4553571428571" customWidth="1"/>
  </cols>
  <sheetData>
    <row r="1" ht="23.2" spans="1:1">
      <c r="A1" s="13" t="s">
        <v>0</v>
      </c>
    </row>
    <row r="4" ht="22" spans="1:1">
      <c r="A4" s="14" t="s">
        <v>1</v>
      </c>
    </row>
    <row r="5" spans="1:1">
      <c r="A5" s="15"/>
    </row>
    <row r="6" ht="17.6" spans="1:1">
      <c r="A6" s="16" t="s">
        <v>2</v>
      </c>
    </row>
    <row r="7" ht="17.6" spans="1:1">
      <c r="A7" s="17" t="s">
        <v>3</v>
      </c>
    </row>
    <row r="9" ht="22" spans="1:1">
      <c r="A9" s="14" t="s">
        <v>4</v>
      </c>
    </row>
    <row r="10" spans="1:1">
      <c r="A10" s="15"/>
    </row>
    <row r="11" ht="18" spans="1:1">
      <c r="A11" s="18" t="s">
        <v>5</v>
      </c>
    </row>
    <row r="12" ht="17.6" spans="1:1">
      <c r="A12" s="17" t="s">
        <v>6</v>
      </c>
    </row>
    <row r="13" ht="17.6" spans="1:1">
      <c r="A13" s="18" t="s">
        <v>7</v>
      </c>
    </row>
    <row r="14" ht="17.6" spans="1:1">
      <c r="A14" s="18" t="s">
        <v>8</v>
      </c>
    </row>
    <row r="15" ht="18" spans="1:1">
      <c r="A15" s="18" t="s">
        <v>9</v>
      </c>
    </row>
    <row r="16" ht="18" spans="1:1">
      <c r="A16" s="18" t="s">
        <v>10</v>
      </c>
    </row>
    <row r="17" ht="18" spans="1:1">
      <c r="A17" s="18" t="s">
        <v>11</v>
      </c>
    </row>
    <row r="18" ht="18" spans="1:1">
      <c r="A18" s="19" t="s">
        <v>12</v>
      </c>
    </row>
    <row r="19" ht="17.6" spans="1:1">
      <c r="A19" s="19"/>
    </row>
    <row r="20" ht="22" spans="1:1">
      <c r="A20" s="14" t="s">
        <v>13</v>
      </c>
    </row>
    <row r="21" spans="1:1">
      <c r="A21" s="15"/>
    </row>
    <row r="22" ht="17.6" spans="1:1">
      <c r="A22" s="17" t="s">
        <v>14</v>
      </c>
    </row>
    <row r="23" ht="17.6" spans="1:1">
      <c r="A23" s="17" t="s">
        <v>15</v>
      </c>
    </row>
    <row r="24" ht="18" spans="1:1">
      <c r="A24" s="17" t="s">
        <v>16</v>
      </c>
    </row>
    <row r="25" ht="18" spans="1:1">
      <c r="A25" s="17" t="s">
        <v>17</v>
      </c>
    </row>
    <row r="26" ht="17.6" spans="1:1">
      <c r="A26" s="17" t="s">
        <v>18</v>
      </c>
    </row>
    <row r="27" ht="17.6" spans="1:1">
      <c r="A27" s="17" t="s">
        <v>19</v>
      </c>
    </row>
    <row r="28" ht="17.6" spans="1:1">
      <c r="A28" s="20" t="s">
        <v>20</v>
      </c>
    </row>
    <row r="29" ht="17.6" spans="1:1">
      <c r="A29" s="20" t="s">
        <v>21</v>
      </c>
    </row>
    <row r="30" ht="17.6" spans="1:1">
      <c r="A30" s="20" t="s">
        <v>22</v>
      </c>
    </row>
    <row r="31" ht="18" spans="1:1">
      <c r="A31" s="17" t="s">
        <v>23</v>
      </c>
    </row>
  </sheetData>
  <hyperlinks>
    <hyperlink ref="A26" r:id="rId2" display="4. Change the Hex value for the color from #4a86e8 to one of the blue hues recommended for use on white backgrounds for accessibility. " tooltip="http://web-accessibility.carnegiemuseums.org/design/color/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31"/>
  <sheetViews>
    <sheetView workbookViewId="0">
      <selection activeCell="J24" sqref="J24"/>
    </sheetView>
  </sheetViews>
  <sheetFormatPr defaultColWidth="14.4285714285714" defaultRowHeight="15.75" customHeight="1"/>
  <cols>
    <col min="1" max="1" width="18.2857142857143" customWidth="1"/>
    <col min="2" max="2" width="8.85714285714286" customWidth="1"/>
    <col min="3" max="3" width="22.4285714285714" customWidth="1"/>
    <col min="4" max="4" width="13.2857142857143" customWidth="1"/>
    <col min="5" max="5" width="8.28571428571429" customWidth="1"/>
    <col min="6" max="6" width="12.1428571428571" customWidth="1"/>
    <col min="7" max="7" width="13.7142857142857" customWidth="1"/>
    <col min="8" max="8" width="13" customWidth="1"/>
    <col min="9" max="9" width="14.1428571428571" customWidth="1"/>
    <col min="10" max="10" width="21" customWidth="1"/>
    <col min="11" max="11" width="17.8571428571429" customWidth="1"/>
    <col min="12" max="12" width="22.2857142857143" customWidth="1"/>
    <col min="13" max="13" width="26.1428571428571" customWidth="1"/>
  </cols>
  <sheetData>
    <row r="1" customHeight="1" spans="1:2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2"/>
      <c r="K1" s="2"/>
      <c r="L1" s="3" t="s">
        <v>33</v>
      </c>
      <c r="M1" s="3" t="s">
        <v>34</v>
      </c>
      <c r="N1" s="12"/>
      <c r="O1" s="12"/>
      <c r="P1" s="12"/>
      <c r="Q1" s="12"/>
      <c r="R1" s="12"/>
      <c r="S1" s="12"/>
      <c r="T1" s="12"/>
      <c r="U1" s="12"/>
      <c r="V1" s="12"/>
    </row>
    <row r="2" customHeight="1" spans="1:13">
      <c r="A2" s="1" t="s">
        <v>35</v>
      </c>
      <c r="B2" s="6">
        <v>9.98</v>
      </c>
      <c r="C2" s="1" t="s">
        <v>36</v>
      </c>
      <c r="D2" s="7" t="s">
        <v>37</v>
      </c>
      <c r="E2" s="1">
        <v>191</v>
      </c>
      <c r="F2" s="9">
        <v>1906.18</v>
      </c>
      <c r="G2" s="7" t="str">
        <f t="shared" ref="G2:G31" si="0">LEFT(A2,5)</f>
        <v>51993</v>
      </c>
      <c r="H2" s="7" t="str">
        <f t="shared" ref="H2:H31" si="1">RIGHT(A2,4)</f>
        <v>Masc</v>
      </c>
      <c r="I2" s="11" t="str">
        <f t="shared" ref="I2:I31" si="2">MID(D2,4,2)</f>
        <v>NC</v>
      </c>
      <c r="L2" s="1" t="str">
        <f t="shared" ref="L2:L5" si="3">TRIM(C2)</f>
        <v>Candy's Beauty Supply</v>
      </c>
      <c r="M2" s="4">
        <f>SUM(F2,F7,F9,F15,F23,F28)</f>
        <v>23541.02</v>
      </c>
    </row>
    <row r="3" customHeight="1" spans="1:13">
      <c r="A3" s="1" t="s">
        <v>38</v>
      </c>
      <c r="B3" s="6">
        <v>14.49</v>
      </c>
      <c r="C3" s="1" t="s">
        <v>39</v>
      </c>
      <c r="D3" s="7" t="s">
        <v>40</v>
      </c>
      <c r="E3" s="1">
        <v>15</v>
      </c>
      <c r="F3" s="6">
        <v>202.48</v>
      </c>
      <c r="G3" s="7" t="str">
        <f t="shared" si="0"/>
        <v>49631</v>
      </c>
      <c r="H3" s="7" t="str">
        <f t="shared" si="1"/>
        <v>Foun</v>
      </c>
      <c r="I3" s="11" t="str">
        <f t="shared" si="2"/>
        <v>VA</v>
      </c>
      <c r="L3" s="1" t="str">
        <f t="shared" si="3"/>
        <v>Rockland's</v>
      </c>
      <c r="M3" s="4">
        <f>SUM(F3,F6,F10,F11,F14,F19,F30)</f>
        <v>12794.67</v>
      </c>
    </row>
    <row r="4" customHeight="1" spans="1:13">
      <c r="A4" s="1" t="s">
        <v>41</v>
      </c>
      <c r="B4" s="6">
        <v>6.74</v>
      </c>
      <c r="C4" s="1" t="s">
        <v>42</v>
      </c>
      <c r="D4" s="7" t="s">
        <v>43</v>
      </c>
      <c r="E4" s="1">
        <v>758</v>
      </c>
      <c r="F4" s="9">
        <v>5108.92</v>
      </c>
      <c r="G4" s="7" t="str">
        <f t="shared" si="0"/>
        <v>42292</v>
      </c>
      <c r="H4" s="7" t="str">
        <f t="shared" si="1"/>
        <v>Glos</v>
      </c>
      <c r="I4" s="11" t="str">
        <f t="shared" si="2"/>
        <v>MD</v>
      </c>
      <c r="L4" s="1" t="str">
        <f t="shared" si="3"/>
        <v>Rudiger Pharmacy</v>
      </c>
      <c r="M4" s="4">
        <f>SUM(F4,F12,F17,F22,F25,F29,F31)</f>
        <v>48753.88</v>
      </c>
    </row>
    <row r="5" customHeight="1" spans="1:13">
      <c r="A5" s="1" t="s">
        <v>44</v>
      </c>
      <c r="B5" s="6">
        <v>5.71</v>
      </c>
      <c r="C5" s="1" t="s">
        <v>45</v>
      </c>
      <c r="D5" s="7" t="s">
        <v>46</v>
      </c>
      <c r="E5" s="1">
        <v>308</v>
      </c>
      <c r="F5" s="9">
        <v>1758.68</v>
      </c>
      <c r="G5" s="7" t="str">
        <f t="shared" si="0"/>
        <v>86661</v>
      </c>
      <c r="H5" s="7" t="str">
        <f t="shared" si="1"/>
        <v>Shad</v>
      </c>
      <c r="I5" s="11" t="str">
        <f t="shared" si="2"/>
        <v>SC</v>
      </c>
      <c r="L5" s="1" t="str">
        <f t="shared" si="3"/>
        <v>Elizabethtown Supply</v>
      </c>
      <c r="M5" s="4">
        <f>SUM(F5,F8,F13,F16,F18,F20,F21,F24,F26,F27)</f>
        <v>46644.42</v>
      </c>
    </row>
    <row r="6" customHeight="1" spans="1:9">
      <c r="A6" s="1" t="s">
        <v>47</v>
      </c>
      <c r="B6" s="6">
        <v>7.94</v>
      </c>
      <c r="C6" s="1" t="s">
        <v>39</v>
      </c>
      <c r="D6" s="7" t="s">
        <v>48</v>
      </c>
      <c r="E6" s="1">
        <v>5</v>
      </c>
      <c r="F6" s="6">
        <v>97</v>
      </c>
      <c r="G6" s="7" t="str">
        <f t="shared" si="0"/>
        <v>49541</v>
      </c>
      <c r="H6" s="7" t="str">
        <f t="shared" si="1"/>
        <v>Eyel</v>
      </c>
      <c r="I6" s="11" t="str">
        <f t="shared" si="2"/>
        <v>VA</v>
      </c>
    </row>
    <row r="7" customHeight="1" spans="1:9">
      <c r="A7" s="1" t="s">
        <v>49</v>
      </c>
      <c r="B7" s="6">
        <v>13.57</v>
      </c>
      <c r="C7" s="1" t="s">
        <v>36</v>
      </c>
      <c r="D7" s="7" t="s">
        <v>50</v>
      </c>
      <c r="E7" s="1">
        <v>673</v>
      </c>
      <c r="F7" s="9">
        <v>9132.61</v>
      </c>
      <c r="G7" s="7" t="str">
        <f t="shared" si="0"/>
        <v>58337</v>
      </c>
      <c r="H7" s="7" t="str">
        <f t="shared" si="1"/>
        <v>Foun</v>
      </c>
      <c r="I7" s="11" t="str">
        <f t="shared" si="2"/>
        <v>NC</v>
      </c>
    </row>
    <row r="8" customHeight="1" spans="1:9">
      <c r="A8" s="1" t="s">
        <v>51</v>
      </c>
      <c r="B8" s="6">
        <v>8.46</v>
      </c>
      <c r="C8" s="1" t="s">
        <v>45</v>
      </c>
      <c r="D8" s="7" t="s">
        <v>52</v>
      </c>
      <c r="E8" s="1">
        <v>94</v>
      </c>
      <c r="F8" s="9">
        <v>795.24</v>
      </c>
      <c r="G8" s="7" t="str">
        <f t="shared" si="0"/>
        <v>40014</v>
      </c>
      <c r="H8" s="7" t="str">
        <f t="shared" si="1"/>
        <v>Masc</v>
      </c>
      <c r="I8" s="11" t="str">
        <f t="shared" si="2"/>
        <v>SC</v>
      </c>
    </row>
    <row r="9" customHeight="1" spans="1:9">
      <c r="A9" s="1" t="s">
        <v>53</v>
      </c>
      <c r="B9" s="6">
        <v>5.55</v>
      </c>
      <c r="C9" s="1" t="s">
        <v>36</v>
      </c>
      <c r="D9" s="7" t="s">
        <v>54</v>
      </c>
      <c r="E9" s="1">
        <v>299</v>
      </c>
      <c r="F9" s="9">
        <v>1659.45</v>
      </c>
      <c r="G9" s="7" t="str">
        <f t="shared" si="0"/>
        <v>86139</v>
      </c>
      <c r="H9" s="7" t="str">
        <f t="shared" si="1"/>
        <v>Lips</v>
      </c>
      <c r="I9" s="11" t="str">
        <f t="shared" si="2"/>
        <v>NC</v>
      </c>
    </row>
    <row r="10" customHeight="1" spans="1:9">
      <c r="A10" s="1" t="s">
        <v>55</v>
      </c>
      <c r="B10" s="6">
        <v>11.05</v>
      </c>
      <c r="C10" s="1" t="s">
        <v>39</v>
      </c>
      <c r="D10" s="7" t="s">
        <v>56</v>
      </c>
      <c r="E10" s="1">
        <v>86</v>
      </c>
      <c r="F10" s="6">
        <v>2392.5</v>
      </c>
      <c r="G10" s="7" t="str">
        <f t="shared" si="0"/>
        <v>69601</v>
      </c>
      <c r="H10" s="7" t="str">
        <f t="shared" si="1"/>
        <v>Exfo</v>
      </c>
      <c r="I10" s="11" t="str">
        <f t="shared" si="2"/>
        <v>VA</v>
      </c>
    </row>
    <row r="11" customHeight="1" spans="1:9">
      <c r="A11" s="1" t="s">
        <v>57</v>
      </c>
      <c r="B11" s="6">
        <v>7.58</v>
      </c>
      <c r="C11" s="1" t="s">
        <v>39</v>
      </c>
      <c r="D11" s="7" t="s">
        <v>58</v>
      </c>
      <c r="E11" s="1">
        <v>19</v>
      </c>
      <c r="F11" s="9">
        <v>1281.02</v>
      </c>
      <c r="G11" s="7" t="str">
        <f t="shared" si="0"/>
        <v>25331</v>
      </c>
      <c r="H11" s="7" t="str">
        <f t="shared" si="1"/>
        <v>Glos</v>
      </c>
      <c r="I11" s="11" t="str">
        <f t="shared" si="2"/>
        <v>VA</v>
      </c>
    </row>
    <row r="12" customHeight="1" spans="1:9">
      <c r="A12" s="1" t="s">
        <v>59</v>
      </c>
      <c r="B12" s="8">
        <v>11.75</v>
      </c>
      <c r="C12" s="1" t="s">
        <v>42</v>
      </c>
      <c r="D12" s="7" t="s">
        <v>60</v>
      </c>
      <c r="E12">
        <v>707</v>
      </c>
      <c r="F12" s="10">
        <f>(B12*E12)</f>
        <v>8307.25</v>
      </c>
      <c r="G12" s="7" t="str">
        <f t="shared" si="0"/>
        <v>85021</v>
      </c>
      <c r="H12" s="7" t="str">
        <f t="shared" si="1"/>
        <v>Foun</v>
      </c>
      <c r="I12" s="11" t="str">
        <f t="shared" si="2"/>
        <v>MD</v>
      </c>
    </row>
    <row r="13" customHeight="1" spans="1:9">
      <c r="A13" s="1" t="s">
        <v>61</v>
      </c>
      <c r="B13" s="6">
        <v>10.95</v>
      </c>
      <c r="C13" s="1" t="s">
        <v>45</v>
      </c>
      <c r="D13" s="7" t="s">
        <v>62</v>
      </c>
      <c r="E13" s="1">
        <v>461</v>
      </c>
      <c r="F13" s="9">
        <v>5047.95</v>
      </c>
      <c r="G13" s="7" t="str">
        <f t="shared" si="0"/>
        <v>69030</v>
      </c>
      <c r="H13" s="7" t="str">
        <f t="shared" si="1"/>
        <v>Masc</v>
      </c>
      <c r="I13" s="11" t="str">
        <f t="shared" si="2"/>
        <v>SC</v>
      </c>
    </row>
    <row r="14" customHeight="1" spans="1:9">
      <c r="A14" s="1" t="s">
        <v>63</v>
      </c>
      <c r="B14" s="6">
        <v>11.73</v>
      </c>
      <c r="C14" s="1" t="s">
        <v>39</v>
      </c>
      <c r="D14" s="7" t="s">
        <v>64</v>
      </c>
      <c r="E14" s="1">
        <v>78</v>
      </c>
      <c r="F14" s="6">
        <v>19.94</v>
      </c>
      <c r="G14" s="7" t="str">
        <f t="shared" si="0"/>
        <v>13230</v>
      </c>
      <c r="H14" s="7" t="str">
        <f t="shared" si="1"/>
        <v>Masc</v>
      </c>
      <c r="I14" s="11" t="str">
        <f t="shared" si="2"/>
        <v>VA</v>
      </c>
    </row>
    <row r="15" customHeight="1" spans="1:9">
      <c r="A15" s="1" t="s">
        <v>65</v>
      </c>
      <c r="B15" s="6">
        <v>6.66</v>
      </c>
      <c r="C15" s="1" t="s">
        <v>36</v>
      </c>
      <c r="D15" s="7" t="s">
        <v>66</v>
      </c>
      <c r="E15" s="1">
        <v>444</v>
      </c>
      <c r="F15" s="9">
        <v>2957.04</v>
      </c>
      <c r="G15" s="7" t="str">
        <f t="shared" si="0"/>
        <v>91559</v>
      </c>
      <c r="H15" s="7" t="str">
        <f t="shared" si="1"/>
        <v>Eyel</v>
      </c>
      <c r="I15" s="11" t="str">
        <f t="shared" si="2"/>
        <v>NC</v>
      </c>
    </row>
    <row r="16" customHeight="1" spans="1:9">
      <c r="A16" s="1" t="s">
        <v>67</v>
      </c>
      <c r="B16" s="6">
        <v>12.06</v>
      </c>
      <c r="C16" s="1" t="s">
        <v>45</v>
      </c>
      <c r="D16" s="7" t="s">
        <v>68</v>
      </c>
      <c r="E16" s="1">
        <v>797</v>
      </c>
      <c r="F16" s="9">
        <v>9611.82</v>
      </c>
      <c r="G16" s="7" t="str">
        <f t="shared" si="0"/>
        <v>62289</v>
      </c>
      <c r="H16" s="7" t="str">
        <f t="shared" si="1"/>
        <v>Masc</v>
      </c>
      <c r="I16" s="11" t="str">
        <f t="shared" si="2"/>
        <v>SC</v>
      </c>
    </row>
    <row r="17" customHeight="1" spans="1:9">
      <c r="A17" s="1" t="s">
        <v>69</v>
      </c>
      <c r="B17" s="6">
        <v>12.95</v>
      </c>
      <c r="C17" s="1" t="s">
        <v>42</v>
      </c>
      <c r="D17" s="7" t="s">
        <v>70</v>
      </c>
      <c r="E17" s="1">
        <v>355</v>
      </c>
      <c r="F17" s="9">
        <v>4597.25</v>
      </c>
      <c r="G17" s="7" t="str">
        <f t="shared" si="0"/>
        <v>64762</v>
      </c>
      <c r="H17" s="7" t="str">
        <f t="shared" si="1"/>
        <v>Foun</v>
      </c>
      <c r="I17" s="11" t="str">
        <f t="shared" si="2"/>
        <v>MD</v>
      </c>
    </row>
    <row r="18" customHeight="1" spans="1:9">
      <c r="A18" s="1" t="s">
        <v>71</v>
      </c>
      <c r="B18" s="6">
        <v>13.09</v>
      </c>
      <c r="C18" s="1" t="s">
        <v>45</v>
      </c>
      <c r="D18" s="7" t="s">
        <v>72</v>
      </c>
      <c r="E18" s="1">
        <v>232</v>
      </c>
      <c r="F18" s="9">
        <v>3036.88</v>
      </c>
      <c r="G18" s="7" t="str">
        <f t="shared" si="0"/>
        <v>52341</v>
      </c>
      <c r="H18" s="7" t="str">
        <f t="shared" si="1"/>
        <v>Foun</v>
      </c>
      <c r="I18" s="11" t="str">
        <f t="shared" si="2"/>
        <v>SC</v>
      </c>
    </row>
    <row r="19" customHeight="1" spans="1:9">
      <c r="A19" s="1" t="s">
        <v>73</v>
      </c>
      <c r="B19" s="6">
        <v>15.77</v>
      </c>
      <c r="C19" s="1" t="s">
        <v>39</v>
      </c>
      <c r="D19" s="7" t="s">
        <v>74</v>
      </c>
      <c r="E19" s="1">
        <v>514</v>
      </c>
      <c r="F19" s="6">
        <v>3105.78</v>
      </c>
      <c r="G19" s="7" t="str">
        <f t="shared" si="0"/>
        <v>68713</v>
      </c>
      <c r="H19" s="7" t="str">
        <f t="shared" si="1"/>
        <v>Exfo</v>
      </c>
      <c r="I19" s="11" t="str">
        <f t="shared" si="2"/>
        <v>VA</v>
      </c>
    </row>
    <row r="20" customHeight="1" spans="1:9">
      <c r="A20" s="1" t="s">
        <v>75</v>
      </c>
      <c r="B20" s="6">
        <v>11.82</v>
      </c>
      <c r="C20" s="1" t="s">
        <v>45</v>
      </c>
      <c r="D20" s="7" t="s">
        <v>76</v>
      </c>
      <c r="E20" s="1">
        <v>189</v>
      </c>
      <c r="F20" s="9">
        <v>2233.98</v>
      </c>
      <c r="G20" s="7" t="str">
        <f t="shared" si="0"/>
        <v>35073</v>
      </c>
      <c r="H20" s="7" t="str">
        <f t="shared" si="1"/>
        <v>Foun</v>
      </c>
      <c r="I20" s="11" t="str">
        <f t="shared" si="2"/>
        <v>SC</v>
      </c>
    </row>
    <row r="21" customHeight="1" spans="1:9">
      <c r="A21" s="1" t="s">
        <v>77</v>
      </c>
      <c r="B21" s="6">
        <v>11.22</v>
      </c>
      <c r="C21" s="1" t="s">
        <v>45</v>
      </c>
      <c r="D21" s="7" t="s">
        <v>78</v>
      </c>
      <c r="E21" s="1">
        <v>621</v>
      </c>
      <c r="F21" s="9">
        <v>6967.62</v>
      </c>
      <c r="G21" s="7" t="str">
        <f t="shared" si="0"/>
        <v>17691</v>
      </c>
      <c r="H21" s="7" t="str">
        <f t="shared" si="1"/>
        <v>Masc</v>
      </c>
      <c r="I21" s="11" t="str">
        <f t="shared" si="2"/>
        <v>SC</v>
      </c>
    </row>
    <row r="22" customHeight="1" spans="1:9">
      <c r="A22" s="1" t="s">
        <v>79</v>
      </c>
      <c r="B22" s="6">
        <v>7</v>
      </c>
      <c r="C22" s="1" t="s">
        <v>42</v>
      </c>
      <c r="D22" s="7" t="s">
        <v>80</v>
      </c>
      <c r="E22" s="1">
        <v>461</v>
      </c>
      <c r="F22" s="9">
        <v>3227</v>
      </c>
      <c r="G22" s="7" t="str">
        <f t="shared" si="0"/>
        <v>03485</v>
      </c>
      <c r="H22" s="7" t="str">
        <f t="shared" si="1"/>
        <v>Eyel</v>
      </c>
      <c r="I22" s="11" t="str">
        <f t="shared" si="2"/>
        <v>MD</v>
      </c>
    </row>
    <row r="23" customHeight="1" spans="1:9">
      <c r="A23" s="1" t="s">
        <v>81</v>
      </c>
      <c r="B23" s="6">
        <v>12.01</v>
      </c>
      <c r="C23" s="1" t="s">
        <v>36</v>
      </c>
      <c r="D23" s="7" t="s">
        <v>82</v>
      </c>
      <c r="E23" s="1">
        <v>146</v>
      </c>
      <c r="F23" s="9">
        <v>1753.46</v>
      </c>
      <c r="G23" s="7" t="str">
        <f t="shared" si="0"/>
        <v>26156</v>
      </c>
      <c r="H23" s="7" t="str">
        <f t="shared" si="1"/>
        <v>Foun</v>
      </c>
      <c r="I23" s="11" t="str">
        <f t="shared" si="2"/>
        <v>NC</v>
      </c>
    </row>
    <row r="24" customHeight="1" spans="1:9">
      <c r="A24" s="1" t="s">
        <v>83</v>
      </c>
      <c r="B24" s="6">
        <v>13.24</v>
      </c>
      <c r="C24" s="1" t="s">
        <v>45</v>
      </c>
      <c r="D24" s="7" t="s">
        <v>84</v>
      </c>
      <c r="E24" s="1">
        <v>261</v>
      </c>
      <c r="F24" s="9">
        <v>3455.64</v>
      </c>
      <c r="G24" s="7" t="str">
        <f t="shared" si="0"/>
        <v>75112</v>
      </c>
      <c r="H24" s="7" t="str">
        <f t="shared" si="1"/>
        <v>Foun</v>
      </c>
      <c r="I24" s="11" t="str">
        <f t="shared" si="2"/>
        <v>SC</v>
      </c>
    </row>
    <row r="25" customHeight="1" spans="1:9">
      <c r="A25" s="1" t="s">
        <v>85</v>
      </c>
      <c r="B25" s="6">
        <v>10.07</v>
      </c>
      <c r="C25" s="1" t="s">
        <v>42</v>
      </c>
      <c r="D25" s="7" t="s">
        <v>86</v>
      </c>
      <c r="E25" s="1">
        <v>602</v>
      </c>
      <c r="F25" s="9">
        <v>6062.14</v>
      </c>
      <c r="G25" s="7" t="str">
        <f t="shared" si="0"/>
        <v>96799</v>
      </c>
      <c r="H25" s="7" t="str">
        <f t="shared" si="1"/>
        <v>Foun</v>
      </c>
      <c r="I25" s="11" t="str">
        <f t="shared" si="2"/>
        <v>MD</v>
      </c>
    </row>
    <row r="26" customHeight="1" spans="1:9">
      <c r="A26" s="1" t="s">
        <v>87</v>
      </c>
      <c r="B26" s="6">
        <v>4.33</v>
      </c>
      <c r="C26" s="1" t="s">
        <v>45</v>
      </c>
      <c r="D26" s="7" t="s">
        <v>88</v>
      </c>
      <c r="E26" s="1">
        <v>225</v>
      </c>
      <c r="F26" s="9">
        <v>974.25</v>
      </c>
      <c r="G26" s="7" t="str">
        <f t="shared" si="0"/>
        <v>20559</v>
      </c>
      <c r="H26" s="7" t="str">
        <f t="shared" si="1"/>
        <v>Shad</v>
      </c>
      <c r="I26" s="11" t="str">
        <f t="shared" si="2"/>
        <v>SC</v>
      </c>
    </row>
    <row r="27" customHeight="1" spans="1:9">
      <c r="A27" s="1" t="s">
        <v>89</v>
      </c>
      <c r="B27" s="6">
        <v>13.13</v>
      </c>
      <c r="C27" s="1" t="s">
        <v>45</v>
      </c>
      <c r="D27" s="7" t="s">
        <v>90</v>
      </c>
      <c r="E27" s="1">
        <v>972</v>
      </c>
      <c r="F27" s="9">
        <v>12762.36</v>
      </c>
      <c r="G27" s="7" t="str">
        <f t="shared" si="0"/>
        <v>32729</v>
      </c>
      <c r="H27" s="7" t="str">
        <f t="shared" si="1"/>
        <v>Masc</v>
      </c>
      <c r="I27" s="11" t="str">
        <f t="shared" si="2"/>
        <v>SC</v>
      </c>
    </row>
    <row r="28" customHeight="1" spans="1:9">
      <c r="A28" s="1" t="s">
        <v>91</v>
      </c>
      <c r="B28" s="6">
        <v>16.94</v>
      </c>
      <c r="C28" s="1" t="s">
        <v>36</v>
      </c>
      <c r="D28" s="7" t="s">
        <v>92</v>
      </c>
      <c r="E28" s="1">
        <v>362</v>
      </c>
      <c r="F28" s="9">
        <v>6132.28</v>
      </c>
      <c r="G28" s="7" t="str">
        <f t="shared" si="0"/>
        <v>63094</v>
      </c>
      <c r="H28" s="7" t="str">
        <f t="shared" si="1"/>
        <v>Exfo</v>
      </c>
      <c r="I28" s="11" t="str">
        <f t="shared" si="2"/>
        <v>NC</v>
      </c>
    </row>
    <row r="29" customHeight="1" spans="1:9">
      <c r="A29" s="1" t="s">
        <v>93</v>
      </c>
      <c r="B29" s="6">
        <v>9.83</v>
      </c>
      <c r="C29" s="1" t="s">
        <v>42</v>
      </c>
      <c r="D29" s="7" t="s">
        <v>94</v>
      </c>
      <c r="E29" s="1">
        <v>588</v>
      </c>
      <c r="F29" s="9">
        <v>5780.04</v>
      </c>
      <c r="G29" s="7" t="str">
        <f t="shared" si="0"/>
        <v>61207</v>
      </c>
      <c r="H29" s="7" t="str">
        <f t="shared" si="1"/>
        <v>Foun</v>
      </c>
      <c r="I29" s="11" t="str">
        <f t="shared" si="2"/>
        <v>MD</v>
      </c>
    </row>
    <row r="30" customHeight="1" spans="1:9">
      <c r="A30" s="1" t="s">
        <v>95</v>
      </c>
      <c r="B30" s="6">
        <v>14.95</v>
      </c>
      <c r="C30" s="1" t="s">
        <v>39</v>
      </c>
      <c r="D30" s="7" t="s">
        <v>96</v>
      </c>
      <c r="E30" s="1">
        <v>381</v>
      </c>
      <c r="F30" s="9">
        <v>5695.95</v>
      </c>
      <c r="G30" s="7" t="str">
        <f t="shared" si="0"/>
        <v>17269</v>
      </c>
      <c r="H30" s="7" t="str">
        <f t="shared" si="1"/>
        <v>Masc</v>
      </c>
      <c r="I30" s="11" t="str">
        <f t="shared" si="2"/>
        <v>VA</v>
      </c>
    </row>
    <row r="31" customHeight="1" spans="1:9">
      <c r="A31" s="1" t="s">
        <v>97</v>
      </c>
      <c r="B31" s="6">
        <v>20.04</v>
      </c>
      <c r="C31" s="1" t="s">
        <v>42</v>
      </c>
      <c r="D31" s="7" t="s">
        <v>98</v>
      </c>
      <c r="E31" s="1">
        <v>782</v>
      </c>
      <c r="F31" s="6">
        <v>15671.28</v>
      </c>
      <c r="G31" s="7" t="str">
        <f t="shared" si="0"/>
        <v>15143</v>
      </c>
      <c r="H31" s="7" t="str">
        <f t="shared" si="1"/>
        <v>Exfo</v>
      </c>
      <c r="I31" s="11" t="str">
        <f t="shared" si="2"/>
        <v>MD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Z24"/>
  <sheetViews>
    <sheetView workbookViewId="0">
      <selection activeCell="C17" sqref="C17"/>
    </sheetView>
  </sheetViews>
  <sheetFormatPr defaultColWidth="14.4285714285714" defaultRowHeight="15.75" customHeight="1"/>
  <cols>
    <col min="2" max="2" width="21.2857142857143" customWidth="1"/>
    <col min="3" max="3" width="16.8571428571429" customWidth="1"/>
  </cols>
  <sheetData>
    <row r="1" customHeight="1" spans="1:1">
      <c r="A1" s="1" t="s">
        <v>99</v>
      </c>
    </row>
    <row r="3" customHeight="1" spans="1:26">
      <c r="A3" s="2"/>
      <c r="B3" s="3" t="s">
        <v>33</v>
      </c>
      <c r="C3" s="3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2:3">
      <c r="B4" s="1" t="s">
        <v>36</v>
      </c>
      <c r="C4" s="4">
        <v>23541.02</v>
      </c>
    </row>
    <row r="5" customHeight="1" spans="2:3">
      <c r="B5" s="1" t="s">
        <v>39</v>
      </c>
      <c r="C5" s="4">
        <v>12794.67</v>
      </c>
    </row>
    <row r="6" customHeight="1" spans="2:3">
      <c r="B6" s="1" t="s">
        <v>42</v>
      </c>
      <c r="C6" s="4">
        <v>48753.88</v>
      </c>
    </row>
    <row r="7" customHeight="1" spans="2:3">
      <c r="B7" s="1" t="s">
        <v>45</v>
      </c>
      <c r="C7" s="4">
        <v>46644.42</v>
      </c>
    </row>
    <row r="19" customHeight="1" spans="1:1">
      <c r="A19" s="5" t="s">
        <v>100</v>
      </c>
    </row>
    <row r="20" customHeight="1" spans="2:3">
      <c r="B20" s="5" t="s">
        <v>33</v>
      </c>
      <c r="C20" s="5" t="s">
        <v>34</v>
      </c>
    </row>
    <row r="21" hidden="1" customHeight="1" spans="2:3">
      <c r="B21" t="s">
        <v>36</v>
      </c>
      <c r="C21">
        <v>23541.02</v>
      </c>
    </row>
    <row r="22" customHeight="1" spans="2:3">
      <c r="B22" t="s">
        <v>39</v>
      </c>
      <c r="C22">
        <v>12794.67</v>
      </c>
    </row>
    <row r="23" customHeight="1" spans="2:3">
      <c r="B23" t="s">
        <v>42</v>
      </c>
      <c r="C23">
        <v>48753.88</v>
      </c>
    </row>
    <row r="24" customHeight="1" spans="2:3">
      <c r="B24" t="s">
        <v>45</v>
      </c>
      <c r="C24">
        <v>46644.42</v>
      </c>
    </row>
  </sheetData>
  <autoFilter xmlns:etc="http://www.wps.cn/officeDocument/2017/etCustomData" ref="B20:C24" etc:filterBottomFollowUsedRange="0">
    <filterColumn colId="0">
      <filters>
        <filter val="Rockland's"/>
        <filter val="Rudiger Pharmacy"/>
        <filter val="Elizabethtown Supply"/>
      </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</vt:lpstr>
      <vt:lpstr>Data</vt:lpstr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2026-08-24T18:52:49Z</dcterms:created>
  <dcterms:modified xsi:type="dcterms:W3CDTF">2026-08-24T19:11:38Z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5F064A1C15893AAD3C248C6A4356B4E6_42</vt:lpwstr>
  </property>
</Properties>
</file>