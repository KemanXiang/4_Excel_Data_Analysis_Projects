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Project Overview" sheetId="7" r:id="rId1"/>
    <sheet name="Pricing_Asian_Options" sheetId="1" r:id="rId2"/>
    <sheet name="Hedging" sheetId="6" r:id="rId3"/>
    <sheet name="Results &amp; Interpretation" sheetId="8" r:id="rId4"/>
    <sheet name="Simulation Convergence" sheetId="9" r:id="rId5"/>
  </sheets>
  <definedNames>
    <definedName name="bin">Pricing_Asian_Options!$AD$6:$AD$21</definedName>
    <definedName name="bin_">Hedging!$P$6:$P$22</definedName>
    <definedName name="bin_2">Hedging!$V$6:$V$18</definedName>
    <definedName name="bin_3">Hedging!$AB$10:$AB$25</definedName>
    <definedName name="c_">Hedging!$D$9</definedName>
    <definedName name="CR0">Pricing_Asian_Options!$T$2</definedName>
    <definedName name="CR0_">Pricing_Asian_Options!$Y$3:$Y$1002</definedName>
    <definedName name="downside_risk1">Hedging!$M$2:$M$2001</definedName>
    <definedName name="downside_risk2">Hedging!$N$2:$N$2001</definedName>
    <definedName name="Dt">Pricing_Asian_Options!$D$6</definedName>
    <definedName name="Dt_">Hedging!$D$6</definedName>
    <definedName name="E_CR0">Pricing_Asian_Options!$AJ$6</definedName>
    <definedName name="E_PR0">Pricing_Asian_Options!$AJ$2</definedName>
    <definedName name="E_R0">Hedging!$Z$2</definedName>
    <definedName name="k">Pricing_Asian_Options!$D$4</definedName>
    <definedName name="k_">Hedging!$D$4</definedName>
    <definedName name="mean_payoff1">Hedging!$AC$2</definedName>
    <definedName name="mean_payoff2">Hedging!$AE$2</definedName>
    <definedName name="mean_ST">Hedging!$T$2</definedName>
    <definedName name="mu">Pricing_Asian_Options!$D$2</definedName>
    <definedName name="mu_">Hedging!$D$2</definedName>
    <definedName name="N">Pricing_Asian_Options!$D$8</definedName>
    <definedName name="N_">Hedging!$D$8</definedName>
    <definedName name="P_CR0_1.1">Pricing_Asian_Options!$AA$2:$AA$1002</definedName>
    <definedName name="P_PR0_1.1">Pricing_Asian_Options!$AB$2:$AB$1002</definedName>
    <definedName name="payoff1">Hedging!$K$2:$K$2001</definedName>
    <definedName name="payoff2">Hedging!$L$2:$L$2001</definedName>
    <definedName name="PC">Pricing_Asian_Options!$AM$6</definedName>
    <definedName name="PP">Pricing_Asian_Options!$AM$2</definedName>
    <definedName name="PR0">Pricing_Asian_Options!$T$3</definedName>
    <definedName name="PR0_">Pricing_Asian_Options!$Z$3:$Z$1002</definedName>
    <definedName name="R0_">Hedging!$J$2:$J$2001</definedName>
    <definedName name="rs">Pricing_Asian_Options!$D$7</definedName>
    <definedName name="rs_">Hedging!$D$7</definedName>
    <definedName name="S0">Pricing_Asian_Options!$D$1</definedName>
    <definedName name="S0_">Hedging!$D$1</definedName>
    <definedName name="Sav">Pricing_Asian_Options!$T$1</definedName>
    <definedName name="Sav_">Pricing_Asian_Options!$X$3:$X$1002</definedName>
    <definedName name="sigma">Pricing_Asian_Options!$D$3</definedName>
    <definedName name="sigma_">Hedging!$D$3</definedName>
    <definedName name="ST">Hedging!$I$2:$I$2001</definedName>
    <definedName name="T">Pricing_Asian_Options!$D$5</definedName>
    <definedName name="T_">Hedging!$D$5</definedName>
    <definedName name="var_payoff1">Hedging!$AC$3</definedName>
    <definedName name="var_payoff2">Hedging!$AE$3</definedName>
    <definedName name="year1_St">Pricing_Asian_Options!$H$2:$H$53</definedName>
    <definedName name="year2_St">Pricing_Asian_Options!$I$2:$I$53</definedName>
    <definedName name="year3_St">Pricing_Asian_Options!$J$2:$J$53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<sst xmlns="http://schemas.openxmlformats.org/spreadsheetml/2006/main" count="384" uniqueCount="186">
  <si>
    <t>Dynamic Simulation, Option Pricing &amp; Financial Hedging</t>
  </si>
  <si>
    <t>Project Overview</t>
  </si>
  <si>
    <t>Financial outcomes evolve dynamically and stochastically over time. This project uses Monte Carlo simulation to model stock-price evolution, value path-dependent Asian options, and evaluate a protective-put hedging strategy. The analysis connects dynamic sample paths to derivative payoffs and then compares investment outcomes using expected payoff, confidence intervals, variance, downside risk, and full payoff distributions.</t>
  </si>
  <si>
    <t>Problem</t>
  </si>
  <si>
    <t>Two related decisions are examined. First, how should an Asian call or put option be valued when its payoff depends on the average stock price over an entire year? Second, how does buying a European put change the risk profile of an investor who holds the underlying stock?</t>
  </si>
  <si>
    <t>Model</t>
  </si>
  <si>
    <t>Dynamic stock-price process</t>
  </si>
  <si>
    <t/>
  </si>
  <si>
    <t>Stock prices follow a geometric random walk:  S_t = S_(t-1) × exp[(μ − σ²/2)Δt + σ√Δt Z],  Z ~ N(0,1).</t>
  </si>
  <si>
    <t>Asian option valuation</t>
  </si>
  <si>
    <t>The Asian option uses the average simulated stock price S̄ across the path. Present-value payoff is max(S̄−K,0)e^(−rT) for a call and max(K−S̄,0)e^(−rT) for a put; fair price is E[R₀].</t>
  </si>
  <si>
    <t>Hedging</t>
  </si>
  <si>
    <t>A protective put caps severe downside outcomes: if S_T &lt; K, the investor can sell at K; otherwise the investor retains the stock payoff, less the option premium.</t>
  </si>
  <si>
    <t>Simulation Design</t>
  </si>
  <si>
    <t>Asian Option Simulation</t>
  </si>
  <si>
    <t>Value</t>
  </si>
  <si>
    <t>Hedging Simulation</t>
  </si>
  <si>
    <t>Initial stock price (S₀)</t>
  </si>
  <si>
    <t>Annual drift (μ)</t>
  </si>
  <si>
    <t>Annual volatility (σ)</t>
  </si>
  <si>
    <t>Strike price (K)</t>
  </si>
  <si>
    <t>Replications (N)</t>
  </si>
  <si>
    <t>Analytical Questions</t>
  </si>
  <si>
    <t>1</t>
  </si>
  <si>
    <t>Generate dynamic stock-price paths using the geometric random walk.</t>
  </si>
  <si>
    <t>2</t>
  </si>
  <si>
    <t>For Asian options, convert each 52-week path into an average stock price and discounted call/put payoff.</t>
  </si>
  <si>
    <t>3</t>
  </si>
  <si>
    <t>Repeat the experiment across 1,000 paths and estimate payoff distributions, fair prices, probabilities, and confidence intervals.</t>
  </si>
  <si>
    <t>4</t>
  </si>
  <si>
    <t>For hedging, simulate 2,000 terminal stock prices and compare stock-only versus stock-plus-put payoffs.</t>
  </si>
  <si>
    <t>5</t>
  </si>
  <si>
    <t>Assess risk using distributions, variance, probability of a negative payoff, and extreme downside outcomes.</t>
  </si>
  <si>
    <t>6</t>
  </si>
  <si>
    <t>Use running Monte Carlo estimates to assess whether key results stabilize as the number of replications increases.</t>
  </si>
  <si>
    <t>Decision Relevance</t>
  </si>
  <si>
    <t>The project illustrates how simulation supports decisions when closed-form intuition is insufficient: path-dependent valuation requires modeling the entire price trajectory, while hedging decisions require examining the distribution of outcomes rather than expected payoff alone. The protective put is evaluated as insurance—an upfront premium is exchanged for a materially tighter downside tail.</t>
  </si>
  <si>
    <t>INPUT</t>
  </si>
  <si>
    <t>initial_price</t>
  </si>
  <si>
    <t>S0</t>
  </si>
  <si>
    <t>SAMPLE PATH</t>
  </si>
  <si>
    <t>week</t>
  </si>
  <si>
    <t>year1_St</t>
  </si>
  <si>
    <t>year2_St</t>
  </si>
  <si>
    <t>year3_St</t>
  </si>
  <si>
    <t>Q1 — How do simulated weekly stock-price paths evolve over the option horizon?</t>
  </si>
  <si>
    <t>STAT</t>
  </si>
  <si>
    <t>Sav</t>
  </si>
  <si>
    <t>OUTPUT</t>
  </si>
  <si>
    <t>num_years</t>
  </si>
  <si>
    <t>Sav_</t>
  </si>
  <si>
    <t>CR0_</t>
  </si>
  <si>
    <t>PR0_</t>
  </si>
  <si>
    <t>P(CR0&gt;1.1)</t>
  </si>
  <si>
    <t>P(PR0&gt;1.1)</t>
  </si>
  <si>
    <t>Q2 — What does the simulated Asian put payoff distribution look like?</t>
  </si>
  <si>
    <t>Q3 — What is the estimated fair value of the Asian put, with simulation uncertainty?</t>
  </si>
  <si>
    <t>Q4 — What are the Asian call value and probabilities of economically meaningful payoffs?</t>
  </si>
  <si>
    <t>drift</t>
  </si>
  <si>
    <t>mu</t>
  </si>
  <si>
    <t>CR0</t>
  </si>
  <si>
    <t>max_PR0</t>
  </si>
  <si>
    <t>max_CRO</t>
  </si>
  <si>
    <t>E(PR0)</t>
  </si>
  <si>
    <t>valatility</t>
  </si>
  <si>
    <t>sigma</t>
  </si>
  <si>
    <t>PR0</t>
  </si>
  <si>
    <t>min_PRO</t>
  </si>
  <si>
    <t>min_CRO</t>
  </si>
  <si>
    <t>95%CI_LB</t>
  </si>
  <si>
    <t>strike_price</t>
  </si>
  <si>
    <t>k</t>
  </si>
  <si>
    <t>95%CI_UB</t>
  </si>
  <si>
    <t>expiration_date</t>
  </si>
  <si>
    <t>T</t>
  </si>
  <si>
    <t>bin</t>
  </si>
  <si>
    <t>f_PR0</t>
  </si>
  <si>
    <t>f_CR0</t>
  </si>
  <si>
    <t>step_size</t>
  </si>
  <si>
    <t>Dt</t>
  </si>
  <si>
    <t>E(CR0)</t>
  </si>
  <si>
    <t>risk_free_interest_rate</t>
  </si>
  <si>
    <t>rs</t>
  </si>
  <si>
    <t>sample_size</t>
  </si>
  <si>
    <t>N</t>
  </si>
  <si>
    <t>S0_</t>
  </si>
  <si>
    <t>run</t>
  </si>
  <si>
    <t>ST</t>
  </si>
  <si>
    <t>R0_</t>
  </si>
  <si>
    <t>payoff1</t>
  </si>
  <si>
    <t>payoff2</t>
  </si>
  <si>
    <t>downside_risk1</t>
  </si>
  <si>
    <t>downside_risk2</t>
  </si>
  <si>
    <t>Q1 — What is the distribution and downside risk of the terminal stock price?</t>
  </si>
  <si>
    <t>Q2 — What is the simulated European put value, and is the quoted price within its 95% CI?</t>
  </si>
  <si>
    <t>Q3 — How does a protective put change payoff, variance, and downside exposure versus no hedging?</t>
  </si>
  <si>
    <t>mu_</t>
  </si>
  <si>
    <t>max_ST</t>
  </si>
  <si>
    <t>mean_ST</t>
  </si>
  <si>
    <t>max_R0_</t>
  </si>
  <si>
    <t>E(R0_)</t>
  </si>
  <si>
    <t>mean_payoff1</t>
  </si>
  <si>
    <t>mean_payoff2</t>
  </si>
  <si>
    <t>sigma_</t>
  </si>
  <si>
    <t>min_ST</t>
  </si>
  <si>
    <t>min_R0_</t>
  </si>
  <si>
    <t>var_payoff1</t>
  </si>
  <si>
    <t>var_payoff2</t>
  </si>
  <si>
    <t>risker</t>
  </si>
  <si>
    <t>k_</t>
  </si>
  <si>
    <t>T_</t>
  </si>
  <si>
    <t>bin_</t>
  </si>
  <si>
    <t>f_ST</t>
  </si>
  <si>
    <t>P(ST-S0&lt;0)</t>
  </si>
  <si>
    <t>bin_2</t>
  </si>
  <si>
    <t>f_R0_</t>
  </si>
  <si>
    <t>Is c in CI</t>
  </si>
  <si>
    <t>Dt_</t>
  </si>
  <si>
    <t>max_payoff1</t>
  </si>
  <si>
    <t>max_payoff2</t>
  </si>
  <si>
    <t>rs_</t>
  </si>
  <si>
    <t>min_payoff1</t>
  </si>
  <si>
    <t>min_payoff2</t>
  </si>
  <si>
    <t>N_</t>
  </si>
  <si>
    <t>put_option_price</t>
  </si>
  <si>
    <t>c_</t>
  </si>
  <si>
    <t>bin_3</t>
  </si>
  <si>
    <t>f_payoff1</t>
  </si>
  <si>
    <t>f_payoff2</t>
  </si>
  <si>
    <t>Results &amp; Interpretation</t>
  </si>
  <si>
    <t>1. Asian Option Pricing — Monte Carlo Results</t>
  </si>
  <si>
    <t>Metric</t>
  </si>
  <si>
    <t>Estimate</t>
  </si>
  <si>
    <t>Lower 95% CI</t>
  </si>
  <si>
    <t>Upper 95% CI</t>
  </si>
  <si>
    <t>Interpretation</t>
  </si>
  <si>
    <t>Asian put fair price</t>
  </si>
  <si>
    <t>Each replication generates an entire one-year price path, so the Asian option payoff reflects the average path rather than only the terminal stock price. The resulting payoff distributions are asymmetric because option payoffs are floored at zero. The Monte Carlo mean estimates the fair price, while the confidence interval quantifies sampling uncertainty around that estimate. Probability estimates summarize how often simulated discounted payoffs exceed the specified threshold.</t>
  </si>
  <si>
    <t>Asian call fair price</t>
  </si>
  <si>
    <t>P(Put payoff &gt; 1.1)</t>
  </si>
  <si>
    <t>P(Call payoff &gt; 1.1)</t>
  </si>
  <si>
    <t>Min put payoff</t>
  </si>
  <si>
    <t>Max put payoff</t>
  </si>
  <si>
    <t>Max call payoff</t>
  </si>
  <si>
    <t>2. Financial Hedging — Risk Comparison</t>
  </si>
  <si>
    <t>Stock Only</t>
  </si>
  <si>
    <t>Stock + Put</t>
  </si>
  <si>
    <t>Analytical Focus</t>
  </si>
  <si>
    <t>Expected payoff</t>
  </si>
  <si>
    <t>Return level</t>
  </si>
  <si>
    <t>The protective put should be interpreted as insurance rather than as a mechanism for maximizing expected payoff. The option premium can slightly reduce favorable-state returns and can even increase the frequency of small negative payoffs. Its central benefit is tail protection: once the stock falls below the strike, the put limits further downside. Therefore, variance and minimum payoff are especially informative for judging hedging effectiveness.</t>
  </si>
  <si>
    <t>Payoff variance</t>
  </si>
  <si>
    <t>Dispersion / risk</t>
  </si>
  <si>
    <t>P(Payoff &lt; 0)</t>
  </si>
  <si>
    <t>Frequency of loss</t>
  </si>
  <si>
    <t>Minimum payoff</t>
  </si>
  <si>
    <t>Worst simulated downside</t>
  </si>
  <si>
    <t>Maximum payoff</t>
  </si>
  <si>
    <t>Upside observed</t>
  </si>
  <si>
    <t>Variance reduction</t>
  </si>
  <si>
    <t>Risk reduction from hedging</t>
  </si>
  <si>
    <t>Downside floor improvement</t>
  </si>
  <si>
    <t>Tail protection</t>
  </si>
  <si>
    <t>Put fair value / market price</t>
  </si>
  <si>
    <t>Pricing comparison</t>
  </si>
  <si>
    <t>3. Managerial / Analytical Implications</t>
  </si>
  <si>
    <t>•</t>
  </si>
  <si>
    <t>Path dependence matters: when a contract depends on an average price, terminal-price analysis alone is insufficient.</t>
  </si>
  <si>
    <t>Simulation turns uncertain dynamic processes into empirical distributions that can be summarized with expected values, confidence intervals, probabilities, and tail outcomes.</t>
  </si>
  <si>
    <t>Risk management decisions should not rely on mean payoff alone; the shape and dispersion of the payoff distribution can materially change the decision.</t>
  </si>
  <si>
    <t>A hedge can be valuable even when the probability of any loss does not decline, because it can sharply reduce the severity of adverse outcomes.</t>
  </si>
  <si>
    <t>Monte Carlo convergence diagnostics help distinguish a stable simulation estimate from one that is still sensitive to sample size.</t>
  </si>
  <si>
    <t>4. Limitations</t>
  </si>
  <si>
    <t>The stock-price model assumes constant drift and volatility over the modeled horizon.</t>
  </si>
  <si>
    <t>Random shocks are generated from a normal distribution within the geometric random-walk specification; alternative return dynamics are not modeled.</t>
  </si>
  <si>
    <t>Monte Carlo estimates contain sampling error; results vary when the random-number generator recalculates.</t>
  </si>
  <si>
    <t>The hedging comparison focuses on one put contract specification and one premium rather than optimizing strike, maturity, or hedge ratio.</t>
  </si>
  <si>
    <t>The simulation evaluates modeled financial risk; it does not incorporate transaction costs, liquidity, taxes, or broader portfolio effects.</t>
  </si>
  <si>
    <t>Simulation Convergence Diagnostics</t>
  </si>
  <si>
    <t>Monte Carlo estimates should stabilize as the number of replications increases. The tables below recompute running means at regular checkpoints using the existing simulation output. Flattening curves indicate that additional replications are producing progressively smaller changes in the estimated expected payoff.</t>
  </si>
  <si>
    <t>Asian option runs</t>
  </si>
  <si>
    <t>Running mean — Put</t>
  </si>
  <si>
    <t>Running mean — Call</t>
  </si>
  <si>
    <t>Hedging runs</t>
  </si>
  <si>
    <t>Running mean — Stock Only</t>
  </si>
  <si>
    <t>Running mean — Stock + Put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</si>
</sst>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Red]\(0.000\);\-"/>
    <numFmt numFmtId="180" formatCode="0.0%"/>
    <numFmt numFmtId="181" formatCode="0.00_);[Red]\(0.00\)"/>
    <numFmt numFmtId="182" formatCode="0.0000;[Red]\(0.0000\);\-"/>
    <numFmt numFmtId="183" formatCode="0.0000_);[Red]\(0.0000\)"/>
    <numFmt numFmtId="184" formatCode="0.0000"/>
  </numFmts>
  <fonts count="29">
    <font>
      <sz val="12"/>
      <color theme="1"/>
      <name val="Calibri"/>
      <charset val="134"/>
    </font>
    <font>
      <b/>
      <sz val="18"/>
      <color rgb="FFFFFFFF"/>
      <name val="Calibri"/>
      <charset val="134"/>
    </font>
    <font>
      <b/>
      <sz val="12"/>
      <color rgb="FFFFFFFF"/>
      <name val="Calibri"/>
      <charset val="134"/>
    </font>
    <font>
      <sz val="12"/>
      <color rgb="FF008000"/>
      <name val="Calibri"/>
      <charset val="134"/>
    </font>
    <font>
      <b/>
      <sz val="12"/>
      <color theme="1"/>
      <name val="Calibri"/>
      <charset val="134"/>
    </font>
    <font>
      <b/>
      <sz val="10"/>
      <color rgb="FFFFFFFF"/>
      <name val="Calibri"/>
      <charset val="134"/>
    </font>
    <font>
      <sz val="10"/>
      <color rgb="FF0000FF"/>
      <name val="Calibri"/>
      <charset val="134"/>
    </font>
    <font>
      <b/>
      <sz val="9"/>
      <color rgb="FFFFFFFF"/>
      <name val="Calibri"/>
      <charset val="134"/>
    </font>
    <font>
      <sz val="12"/>
      <color rgb="FF000000"/>
      <name val="Calibri"/>
      <charset val="134"/>
    </font>
    <font>
      <sz val="10"/>
      <color rgb="FF000000"/>
      <name val="Calibri"/>
      <charset val="134"/>
    </font>
    <font>
      <sz val="11"/>
      <color theme="1"/>
      <name val="Calibri"/>
      <charset val="134"/>
    </font>
    <font>
      <b/>
      <sz val="11"/>
      <color rgb="FFFFFFFF"/>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1">
    <fill>
      <patternFill patternType="none"/>
    </fill>
    <fill>
      <patternFill patternType="gray125"/>
    </fill>
    <fill>
      <patternFill patternType="solid">
        <fgColor rgb="FF17365D"/>
        <bgColor indexed="64"/>
      </patternFill>
    </fill>
    <fill>
      <patternFill patternType="solid">
        <fgColor rgb="FF4472C4"/>
        <bgColor indexed="64"/>
      </patternFill>
    </fill>
    <fill>
      <patternFill patternType="solid">
        <fgColor rgb="FFD9EAF7"/>
        <bgColor indexed="64"/>
      </patternFill>
    </fill>
    <fill>
      <patternFill patternType="solid">
        <fgColor rgb="FFEAF3F8"/>
        <bgColor indexed="64"/>
      </patternFill>
    </fill>
    <fill>
      <patternFill patternType="solid">
        <fgColor rgb="FFF2F2F2"/>
        <bgColor indexed="64"/>
      </patternFill>
    </fill>
    <fill>
      <patternFill patternType="solid">
        <fgColor rgb="FFE2F0D9"/>
        <bgColor indexed="64"/>
      </patternFill>
    </fill>
    <fill>
      <patternFill patternType="solid">
        <fgColor rgb="FFFFF2CC"/>
        <bgColor indexed="64"/>
      </patternFill>
    </fill>
    <fill>
      <patternFill patternType="solid">
        <fgColor rgb="FFFAFAFA"/>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11"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12" borderId="4" applyNumberFormat="0" applyAlignment="0" applyProtection="0">
      <alignment vertical="center"/>
    </xf>
    <xf numFmtId="0" fontId="21" fillId="6" borderId="5" applyNumberFormat="0" applyAlignment="0" applyProtection="0">
      <alignment vertical="center"/>
    </xf>
    <xf numFmtId="0" fontId="22" fillId="6" borderId="4" applyNumberFormat="0" applyAlignment="0" applyProtection="0">
      <alignment vertical="center"/>
    </xf>
    <xf numFmtId="0" fontId="11" fillId="13"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10" fillId="30" borderId="0" applyNumberFormat="0" applyBorder="0" applyAlignment="0" applyProtection="0">
      <alignment vertical="center"/>
    </xf>
    <xf numFmtId="0" fontId="10"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10" fillId="34" borderId="0" applyNumberFormat="0" applyBorder="0" applyAlignment="0" applyProtection="0">
      <alignment vertical="center"/>
    </xf>
    <xf numFmtId="0" fontId="10"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28" fillId="40" borderId="0" applyNumberFormat="0" applyBorder="0" applyAlignment="0" applyProtection="0">
      <alignment vertical="center"/>
    </xf>
  </cellStyleXfs>
  <cellXfs count="58">
    <xf numFmtId="0" fontId="0" fillId="0" borderId="0" xfId="0"/>
    <xf numFmtId="0" fontId="1" fillId="2" borderId="0" xfId="0" applyNumberFormat="1" applyFont="1" applyFill="1" applyBorder="1" applyAlignment="1">
      <alignment vertical="center"/>
    </xf>
    <xf numFmtId="0" fontId="0" fillId="0" borderId="0" xfId="0" applyNumberFormat="1" applyFont="1" applyFill="1" applyBorder="1" applyAlignment="1">
      <alignment vertical="center"/>
    </xf>
    <xf numFmtId="0" fontId="0" fillId="0" borderId="0" xfId="0" applyNumberFormat="1" applyFont="1" applyFill="1" applyBorder="1" applyAlignment="1">
      <alignment vertical="center" wrapText="1"/>
    </xf>
    <xf numFmtId="0" fontId="2" fillId="3" borderId="0" xfId="0" applyNumberFormat="1" applyFont="1" applyFill="1" applyBorder="1" applyAlignment="1">
      <alignment vertical="center"/>
    </xf>
    <xf numFmtId="178" fontId="3" fillId="0" borderId="0" xfId="0" applyNumberFormat="1" applyFont="1" applyFill="1" applyBorder="1" applyAlignment="1">
      <alignment vertical="center"/>
    </xf>
    <xf numFmtId="178" fontId="3" fillId="0" borderId="0" xfId="0" applyNumberFormat="1" applyFont="1" applyFill="1" applyBorder="1"/>
    <xf numFmtId="179" fontId="3" fillId="0" borderId="0" xfId="0" applyNumberFormat="1" applyFont="1" applyFill="1" applyBorder="1" applyAlignment="1">
      <alignment vertical="center"/>
    </xf>
    <xf numFmtId="179" fontId="3" fillId="0" borderId="0" xfId="0" applyNumberFormat="1" applyFont="1" applyFill="1" applyBorder="1"/>
    <xf numFmtId="0" fontId="4" fillId="4" borderId="0" xfId="0" applyNumberFormat="1" applyFont="1" applyFill="1" applyBorder="1" applyAlignment="1">
      <alignment vertical="center"/>
    </xf>
    <xf numFmtId="180" fontId="3"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2" fillId="2" borderId="0" xfId="0" applyNumberFormat="1" applyFont="1" applyFill="1" applyBorder="1" applyAlignment="1">
      <alignment vertical="center"/>
    </xf>
    <xf numFmtId="0" fontId="4" fillId="0" borderId="0" xfId="0" applyNumberFormat="1" applyFont="1" applyFill="1" applyBorder="1" applyAlignment="1">
      <alignment vertical="center"/>
    </xf>
    <xf numFmtId="0" fontId="5" fillId="2" borderId="0" xfId="0" applyNumberFormat="1" applyFont="1" applyFill="1" applyBorder="1" applyAlignment="1">
      <alignment vertical="center" wrapText="1"/>
    </xf>
    <xf numFmtId="2" fontId="6" fillId="5" borderId="0" xfId="0" applyNumberFormat="1" applyFont="1" applyFill="1" applyBorder="1" applyAlignment="1">
      <alignment wrapText="1"/>
    </xf>
    <xf numFmtId="0" fontId="0" fillId="5" borderId="0" xfId="0" applyNumberFormat="1" applyFont="1" applyFill="1" applyBorder="1" applyAlignment="1">
      <alignment wrapText="1"/>
    </xf>
    <xf numFmtId="0" fontId="0" fillId="5" borderId="0" xfId="0" applyNumberFormat="1" applyFont="1" applyFill="1" applyAlignment="1">
      <alignment wrapText="1"/>
    </xf>
    <xf numFmtId="10" fontId="6" fillId="5" borderId="0" xfId="0" applyNumberFormat="1" applyFont="1" applyFill="1" applyBorder="1" applyAlignment="1">
      <alignment wrapText="1"/>
    </xf>
    <xf numFmtId="1" fontId="6" fillId="5" borderId="0" xfId="0" applyNumberFormat="1" applyFont="1" applyFill="1" applyBorder="1" applyAlignment="1">
      <alignment wrapText="1"/>
    </xf>
    <xf numFmtId="0" fontId="5" fillId="2" borderId="0" xfId="0" applyNumberFormat="1" applyFont="1" applyFill="1" applyBorder="1" applyAlignment="1">
      <alignment horizontal="center" vertical="center" wrapText="1"/>
    </xf>
    <xf numFmtId="0" fontId="0" fillId="0" borderId="0" xfId="0" applyNumberFormat="1" applyFont="1" applyFill="1" applyBorder="1"/>
    <xf numFmtId="0" fontId="0" fillId="0" borderId="0" xfId="0" applyNumberFormat="1" applyFont="1" applyFill="1" applyAlignment="1">
      <alignment horizontal="center"/>
    </xf>
    <xf numFmtId="181" fontId="0" fillId="0" borderId="0" xfId="0" applyNumberFormat="1" applyFont="1" applyFill="1" applyAlignment="1">
      <alignment horizontal="center"/>
    </xf>
    <xf numFmtId="0" fontId="0" fillId="0" borderId="0" xfId="0" applyNumberFormat="1" applyFont="1" applyFill="1" applyBorder="1" applyAlignment="1">
      <alignment horizontal="center"/>
    </xf>
    <xf numFmtId="181" fontId="0" fillId="0" borderId="0" xfId="0" applyNumberFormat="1" applyFont="1" applyFill="1" applyBorder="1" applyAlignment="1">
      <alignment horizontal="center"/>
    </xf>
    <xf numFmtId="0" fontId="7" fillId="2" borderId="0" xfId="0" applyNumberFormat="1" applyFont="1" applyFill="1" applyBorder="1" applyAlignment="1">
      <alignment vertical="center" wrapText="1"/>
    </xf>
    <xf numFmtId="1" fontId="0" fillId="0" borderId="0" xfId="0" applyNumberFormat="1" applyFont="1" applyFill="1" applyAlignment="1">
      <alignment horizontal="center"/>
    </xf>
    <xf numFmtId="1" fontId="0" fillId="0" borderId="0" xfId="0" applyNumberFormat="1" applyFont="1" applyFill="1" applyBorder="1" applyAlignment="1">
      <alignment horizontal="center"/>
    </xf>
    <xf numFmtId="0" fontId="0" fillId="6" borderId="0" xfId="0" applyNumberFormat="1" applyFont="1" applyFill="1" applyBorder="1" applyAlignment="1">
      <alignment wrapText="1"/>
    </xf>
    <xf numFmtId="182" fontId="0" fillId="6" borderId="0" xfId="0" applyNumberFormat="1" applyFont="1" applyFill="1" applyAlignment="1">
      <alignment wrapText="1"/>
    </xf>
    <xf numFmtId="182" fontId="8" fillId="6" borderId="0" xfId="0" applyNumberFormat="1" applyFont="1" applyFill="1" applyAlignment="1">
      <alignment wrapText="1"/>
    </xf>
    <xf numFmtId="183" fontId="0" fillId="6" borderId="0" xfId="0" applyNumberFormat="1" applyFont="1" applyFill="1" applyAlignment="1">
      <alignment wrapText="1"/>
    </xf>
    <xf numFmtId="183" fontId="0" fillId="6" borderId="0" xfId="0" applyNumberFormat="1" applyFont="1" applyFill="1" applyBorder="1" applyAlignment="1">
      <alignment wrapText="1"/>
    </xf>
    <xf numFmtId="182" fontId="0" fillId="6" borderId="0" xfId="0" applyNumberFormat="1" applyFont="1" applyFill="1" applyBorder="1" applyAlignment="1">
      <alignment wrapText="1"/>
    </xf>
    <xf numFmtId="183" fontId="0" fillId="0" borderId="0" xfId="0" applyNumberFormat="1"/>
    <xf numFmtId="182" fontId="0" fillId="7" borderId="0" xfId="0" applyNumberFormat="1" applyFont="1" applyFill="1" applyAlignment="1">
      <alignment wrapText="1"/>
    </xf>
    <xf numFmtId="183" fontId="0" fillId="7" borderId="0" xfId="0" applyNumberFormat="1" applyFont="1" applyFill="1" applyAlignment="1">
      <alignment wrapText="1"/>
    </xf>
    <xf numFmtId="182" fontId="0" fillId="8" borderId="0" xfId="0" applyNumberFormat="1" applyFont="1" applyFill="1" applyAlignment="1">
      <alignment wrapText="1"/>
    </xf>
    <xf numFmtId="182" fontId="0" fillId="8" borderId="0" xfId="0" applyNumberFormat="1" applyFont="1" applyFill="1" applyBorder="1" applyAlignment="1">
      <alignment wrapText="1"/>
    </xf>
    <xf numFmtId="0" fontId="9" fillId="5" borderId="0" xfId="0" applyNumberFormat="1" applyFont="1" applyFill="1" applyBorder="1" applyAlignment="1">
      <alignment wrapText="1"/>
    </xf>
    <xf numFmtId="0" fontId="9" fillId="5" borderId="0" xfId="0" applyNumberFormat="1" applyFont="1" applyFill="1" applyAlignment="1">
      <alignment wrapText="1"/>
    </xf>
    <xf numFmtId="184" fontId="6" fillId="5" borderId="0" xfId="0" applyNumberFormat="1" applyFont="1" applyFill="1" applyBorder="1" applyAlignment="1">
      <alignment wrapText="1"/>
    </xf>
    <xf numFmtId="2" fontId="0" fillId="0" borderId="0" xfId="0" applyNumberFormat="1" applyFont="1" applyFill="1" applyAlignment="1">
      <alignment horizontal="center"/>
    </xf>
    <xf numFmtId="2" fontId="0"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181" fontId="0" fillId="6" borderId="0" xfId="0" applyNumberFormat="1" applyFont="1" applyFill="1" applyAlignment="1">
      <alignment wrapText="1"/>
    </xf>
    <xf numFmtId="0" fontId="0" fillId="9" borderId="0" xfId="0" applyNumberFormat="1" applyFont="1" applyFill="1" applyBorder="1" applyAlignment="1">
      <alignment wrapText="1"/>
    </xf>
    <xf numFmtId="182" fontId="0" fillId="9" borderId="0" xfId="0" applyNumberFormat="1" applyFont="1" applyFill="1" applyAlignment="1">
      <alignment wrapText="1"/>
    </xf>
    <xf numFmtId="182" fontId="0" fillId="9" borderId="0" xfId="0" applyNumberFormat="1" applyFont="1" applyFill="1" applyBorder="1" applyAlignment="1">
      <alignment wrapText="1"/>
    </xf>
    <xf numFmtId="0" fontId="0" fillId="9" borderId="0" xfId="0" applyNumberFormat="1" applyFont="1" applyFill="1" applyBorder="1"/>
    <xf numFmtId="0" fontId="0" fillId="0" borderId="0" xfId="0" applyNumberFormat="1"/>
    <xf numFmtId="182" fontId="0" fillId="7" borderId="0" xfId="0" applyNumberFormat="1" applyFont="1" applyFill="1" applyBorder="1" applyAlignment="1">
      <alignment wrapText="1"/>
    </xf>
    <xf numFmtId="0" fontId="10" fillId="0" borderId="0" xfId="0" applyNumberFormat="1" applyFont="1" applyFill="1" applyBorder="1" applyAlignment="1">
      <alignment vertical="center" wrapText="1"/>
    </xf>
    <xf numFmtId="0" fontId="11" fillId="2" borderId="0" xfId="0" applyNumberFormat="1" applyFont="1" applyFill="1" applyBorder="1" applyAlignment="1">
      <alignment vertical="center"/>
    </xf>
    <xf numFmtId="0" fontId="4" fillId="4" borderId="0" xfId="0" applyNumberFormat="1" applyFont="1" applyFill="1" applyBorder="1" applyAlignment="1">
      <alignment vertical="center" wrapText="1"/>
    </xf>
    <xf numFmtId="2" fontId="3" fillId="0" borderId="0" xfId="0" applyNumberFormat="1" applyFont="1" applyFill="1" applyBorder="1" applyAlignment="1">
      <alignment vertical="center"/>
    </xf>
    <xf numFmtId="0" fontId="4" fillId="10" borderId="0"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Sample Path</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Pricing_Asian_Options!$H$1</c:f>
              <c:strCache>
                <c:ptCount val="1"/>
                <c:pt idx="0">
                  <c:v>year1_St</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Pricing_Asian_Options!$G$2:$G$53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xVal>
          <c:yVal>
            <c:numRef>
              <c:f>Pricing_Asian_Options!$H$2:$H$53</c:f>
              <c:numCache>
                <c:formatCode>0.00</c:formatCode>
                <c:ptCount val="52"/>
                <c:pt idx="0">
                  <c:v>101.784966113717</c:v>
                </c:pt>
                <c:pt idx="1">
                  <c:v>101.078957292341</c:v>
                </c:pt>
                <c:pt idx="2">
                  <c:v>102.433586894603</c:v>
                </c:pt>
                <c:pt idx="3">
                  <c:v>103.065129615859</c:v>
                </c:pt>
                <c:pt idx="4">
                  <c:v>103.108942541511</c:v>
                </c:pt>
                <c:pt idx="5">
                  <c:v>103.096260283094</c:v>
                </c:pt>
                <c:pt idx="6">
                  <c:v>106.421397170825</c:v>
                </c:pt>
                <c:pt idx="7">
                  <c:v>105.339260011755</c:v>
                </c:pt>
                <c:pt idx="8">
                  <c:v>105.391544563908</c:v>
                </c:pt>
                <c:pt idx="9">
                  <c:v>101.909084111363</c:v>
                </c:pt>
                <c:pt idx="10">
                  <c:v>103.445596091649</c:v>
                </c:pt>
                <c:pt idx="11">
                  <c:v>101.879304791892</c:v>
                </c:pt>
                <c:pt idx="12">
                  <c:v>102.226706374134</c:v>
                </c:pt>
                <c:pt idx="13">
                  <c:v>100.522608416035</c:v>
                </c:pt>
                <c:pt idx="14">
                  <c:v>100.836762018077</c:v>
                </c:pt>
                <c:pt idx="15">
                  <c:v>100.984588339446</c:v>
                </c:pt>
                <c:pt idx="16">
                  <c:v>102.522886109694</c:v>
                </c:pt>
                <c:pt idx="17">
                  <c:v>102.574924546848</c:v>
                </c:pt>
                <c:pt idx="18">
                  <c:v>104.34450779835</c:v>
                </c:pt>
                <c:pt idx="19">
                  <c:v>104.812400621347</c:v>
                </c:pt>
                <c:pt idx="20">
                  <c:v>103.490891970937</c:v>
                </c:pt>
                <c:pt idx="21">
                  <c:v>103.589844874921</c:v>
                </c:pt>
                <c:pt idx="22">
                  <c:v>106.616975311546</c:v>
                </c:pt>
                <c:pt idx="23">
                  <c:v>106.178030972677</c:v>
                </c:pt>
                <c:pt idx="24">
                  <c:v>108.066589506972</c:v>
                </c:pt>
                <c:pt idx="25">
                  <c:v>108.161512136875</c:v>
                </c:pt>
                <c:pt idx="26">
                  <c:v>111.636596364768</c:v>
                </c:pt>
                <c:pt idx="27">
                  <c:v>110.819859220676</c:v>
                </c:pt>
                <c:pt idx="28">
                  <c:v>111.471883172216</c:v>
                </c:pt>
                <c:pt idx="29">
                  <c:v>110.881921123866</c:v>
                </c:pt>
                <c:pt idx="30">
                  <c:v>112.036217916452</c:v>
                </c:pt>
                <c:pt idx="31">
                  <c:v>110.933612948638</c:v>
                </c:pt>
                <c:pt idx="32">
                  <c:v>109.551334313782</c:v>
                </c:pt>
                <c:pt idx="33">
                  <c:v>109.928101881879</c:v>
                </c:pt>
                <c:pt idx="34">
                  <c:v>108.801511934319</c:v>
                </c:pt>
                <c:pt idx="35">
                  <c:v>111.512033215831</c:v>
                </c:pt>
                <c:pt idx="36">
                  <c:v>109.102798535895</c:v>
                </c:pt>
                <c:pt idx="37">
                  <c:v>106.853550529989</c:v>
                </c:pt>
                <c:pt idx="38">
                  <c:v>108.17125177796</c:v>
                </c:pt>
                <c:pt idx="39">
                  <c:v>106.227338532786</c:v>
                </c:pt>
                <c:pt idx="40">
                  <c:v>108.726579694808</c:v>
                </c:pt>
                <c:pt idx="41">
                  <c:v>111.366072737682</c:v>
                </c:pt>
                <c:pt idx="42">
                  <c:v>110.447930610266</c:v>
                </c:pt>
                <c:pt idx="43">
                  <c:v>109.600196201978</c:v>
                </c:pt>
                <c:pt idx="44">
                  <c:v>110.844305028835</c:v>
                </c:pt>
                <c:pt idx="45">
                  <c:v>109.330738562338</c:v>
                </c:pt>
                <c:pt idx="46">
                  <c:v>111.172919088463</c:v>
                </c:pt>
                <c:pt idx="47">
                  <c:v>111.460068992286</c:v>
                </c:pt>
                <c:pt idx="48">
                  <c:v>110.864830481713</c:v>
                </c:pt>
                <c:pt idx="49">
                  <c:v>109.443050010458</c:v>
                </c:pt>
                <c:pt idx="50">
                  <c:v>111.029970783051</c:v>
                </c:pt>
                <c:pt idx="51">
                  <c:v>109.224094841624</c:v>
                </c:pt>
              </c:numCache>
            </c:numRef>
          </c:yVal>
          <c:smooth val="1"/>
        </c:ser>
        <c:ser>
          <c:idx val="1"/>
          <c:order val="1"/>
          <c:tx>
            <c:strRef>
              <c:f>Pricing_Asian_Options!$I$1</c:f>
              <c:strCache>
                <c:ptCount val="1"/>
                <c:pt idx="0">
                  <c:v>year2_St</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xVal>
            <c:numRef>
              <c:f>Pricing_Asian_Options!$G$2:$G$53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xVal>
          <c:yVal>
            <c:numRef>
              <c:f>Pricing_Asian_Options!$I$2:$I$53</c:f>
              <c:numCache>
                <c:formatCode>0.00</c:formatCode>
                <c:ptCount val="52"/>
                <c:pt idx="0">
                  <c:v>98.9945696333405</c:v>
                </c:pt>
                <c:pt idx="1">
                  <c:v>98.1376231820765</c:v>
                </c:pt>
                <c:pt idx="2">
                  <c:v>98.8698356742275</c:v>
                </c:pt>
                <c:pt idx="3">
                  <c:v>102.208002874085</c:v>
                </c:pt>
                <c:pt idx="4">
                  <c:v>103.950698973862</c:v>
                </c:pt>
                <c:pt idx="5">
                  <c:v>103.013777104058</c:v>
                </c:pt>
                <c:pt idx="6">
                  <c:v>98.9276112122788</c:v>
                </c:pt>
                <c:pt idx="7">
                  <c:v>102.24908362586</c:v>
                </c:pt>
                <c:pt idx="8">
                  <c:v>101.92496887202</c:v>
                </c:pt>
                <c:pt idx="9">
                  <c:v>98.757691572489</c:v>
                </c:pt>
                <c:pt idx="10">
                  <c:v>100.160609433758</c:v>
                </c:pt>
                <c:pt idx="11">
                  <c:v>99.4471666822849</c:v>
                </c:pt>
                <c:pt idx="12">
                  <c:v>99.8324808664143</c:v>
                </c:pt>
                <c:pt idx="13">
                  <c:v>97.8859337205209</c:v>
                </c:pt>
                <c:pt idx="14">
                  <c:v>100.947697014246</c:v>
                </c:pt>
                <c:pt idx="15">
                  <c:v>102.312904248691</c:v>
                </c:pt>
                <c:pt idx="16">
                  <c:v>103.299041623451</c:v>
                </c:pt>
                <c:pt idx="17">
                  <c:v>105.319412092636</c:v>
                </c:pt>
                <c:pt idx="18">
                  <c:v>109.702770172303</c:v>
                </c:pt>
                <c:pt idx="19">
                  <c:v>106.198820752971</c:v>
                </c:pt>
                <c:pt idx="20">
                  <c:v>102.474609511124</c:v>
                </c:pt>
                <c:pt idx="21">
                  <c:v>103.899551181093</c:v>
                </c:pt>
                <c:pt idx="22">
                  <c:v>102.08014723671</c:v>
                </c:pt>
                <c:pt idx="23">
                  <c:v>102.243760994855</c:v>
                </c:pt>
                <c:pt idx="24">
                  <c:v>103.421105855611</c:v>
                </c:pt>
                <c:pt idx="25">
                  <c:v>103.977332355932</c:v>
                </c:pt>
                <c:pt idx="26">
                  <c:v>103.451815079615</c:v>
                </c:pt>
                <c:pt idx="27">
                  <c:v>103.868185526157</c:v>
                </c:pt>
                <c:pt idx="28">
                  <c:v>103.049337338479</c:v>
                </c:pt>
                <c:pt idx="29">
                  <c:v>104.685283311591</c:v>
                </c:pt>
                <c:pt idx="30">
                  <c:v>105.792612376159</c:v>
                </c:pt>
                <c:pt idx="31">
                  <c:v>104.963343763764</c:v>
                </c:pt>
                <c:pt idx="32">
                  <c:v>104.729158338524</c:v>
                </c:pt>
                <c:pt idx="33">
                  <c:v>105.899392888171</c:v>
                </c:pt>
                <c:pt idx="34">
                  <c:v>105.322016092579</c:v>
                </c:pt>
                <c:pt idx="35">
                  <c:v>106.078059559446</c:v>
                </c:pt>
                <c:pt idx="36">
                  <c:v>105.778267255196</c:v>
                </c:pt>
                <c:pt idx="37">
                  <c:v>106.616708105366</c:v>
                </c:pt>
                <c:pt idx="38">
                  <c:v>105.37508399383</c:v>
                </c:pt>
                <c:pt idx="39">
                  <c:v>104.762693606349</c:v>
                </c:pt>
                <c:pt idx="40">
                  <c:v>103.693355616128</c:v>
                </c:pt>
                <c:pt idx="41">
                  <c:v>103.50918841812</c:v>
                </c:pt>
                <c:pt idx="42">
                  <c:v>105.844832599964</c:v>
                </c:pt>
                <c:pt idx="43">
                  <c:v>107.487487887905</c:v>
                </c:pt>
                <c:pt idx="44">
                  <c:v>107.965999974334</c:v>
                </c:pt>
                <c:pt idx="45">
                  <c:v>107.78566942507</c:v>
                </c:pt>
                <c:pt idx="46">
                  <c:v>109.011587601644</c:v>
                </c:pt>
                <c:pt idx="47">
                  <c:v>110.470591285418</c:v>
                </c:pt>
                <c:pt idx="48">
                  <c:v>110.014677159179</c:v>
                </c:pt>
                <c:pt idx="49">
                  <c:v>111.792000763214</c:v>
                </c:pt>
                <c:pt idx="50">
                  <c:v>111.142365740032</c:v>
                </c:pt>
                <c:pt idx="51">
                  <c:v>112.314827442154</c:v>
                </c:pt>
              </c:numCache>
            </c:numRef>
          </c:yVal>
          <c:smooth val="1"/>
        </c:ser>
        <c:ser>
          <c:idx val="2"/>
          <c:order val="2"/>
          <c:tx>
            <c:strRef>
              <c:f>Pricing_Asian_Options!$J$1</c:f>
              <c:strCache>
                <c:ptCount val="1"/>
                <c:pt idx="0">
                  <c:v>year3_St</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xVal>
            <c:numRef>
              <c:f>Pricing_Asian_Options!$G$2:$G$53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xVal>
          <c:yVal>
            <c:numRef>
              <c:f>Pricing_Asian_Options!$J$2:$J$53</c:f>
              <c:numCache>
                <c:formatCode>0.00</c:formatCode>
                <c:ptCount val="52"/>
                <c:pt idx="0">
                  <c:v>99.7615755</c:v>
                </c:pt>
                <c:pt idx="1">
                  <c:v>98.2930910565381</c:v>
                </c:pt>
                <c:pt idx="2">
                  <c:v>97.5023760799444</c:v>
                </c:pt>
                <c:pt idx="3">
                  <c:v>100.264481191237</c:v>
                </c:pt>
                <c:pt idx="4">
                  <c:v>98.2068959886897</c:v>
                </c:pt>
                <c:pt idx="5">
                  <c:v>98.1387531109003</c:v>
                </c:pt>
                <c:pt idx="6">
                  <c:v>98.324114421443</c:v>
                </c:pt>
                <c:pt idx="7">
                  <c:v>98.126415626199</c:v>
                </c:pt>
                <c:pt idx="8">
                  <c:v>97.5380297411271</c:v>
                </c:pt>
                <c:pt idx="9">
                  <c:v>97.1051865497121</c:v>
                </c:pt>
                <c:pt idx="10">
                  <c:v>98.1256220978736</c:v>
                </c:pt>
                <c:pt idx="11">
                  <c:v>97.6485139804083</c:v>
                </c:pt>
                <c:pt idx="12">
                  <c:v>94.6979164795424</c:v>
                </c:pt>
                <c:pt idx="13">
                  <c:v>94.2347026553428</c:v>
                </c:pt>
                <c:pt idx="14">
                  <c:v>91.1849954065557</c:v>
                </c:pt>
                <c:pt idx="15">
                  <c:v>89.2942273847218</c:v>
                </c:pt>
                <c:pt idx="16">
                  <c:v>86.6744768255113</c:v>
                </c:pt>
                <c:pt idx="17">
                  <c:v>84.6638724517486</c:v>
                </c:pt>
                <c:pt idx="18">
                  <c:v>85.1655030267925</c:v>
                </c:pt>
                <c:pt idx="19">
                  <c:v>85.0455622300092</c:v>
                </c:pt>
                <c:pt idx="20">
                  <c:v>83.9731333566258</c:v>
                </c:pt>
                <c:pt idx="21">
                  <c:v>82.949666246937</c:v>
                </c:pt>
                <c:pt idx="22">
                  <c:v>83.3299473558875</c:v>
                </c:pt>
                <c:pt idx="23">
                  <c:v>85.7996648006867</c:v>
                </c:pt>
                <c:pt idx="24">
                  <c:v>86.5983588394493</c:v>
                </c:pt>
                <c:pt idx="25">
                  <c:v>89.5791531584255</c:v>
                </c:pt>
                <c:pt idx="26">
                  <c:v>88.2501880918653</c:v>
                </c:pt>
                <c:pt idx="27">
                  <c:v>89.7762687457971</c:v>
                </c:pt>
                <c:pt idx="28">
                  <c:v>91.3689302797556</c:v>
                </c:pt>
                <c:pt idx="29">
                  <c:v>88.3860546144557</c:v>
                </c:pt>
                <c:pt idx="30">
                  <c:v>86.4998609446765</c:v>
                </c:pt>
                <c:pt idx="31">
                  <c:v>87.6814700706707</c:v>
                </c:pt>
                <c:pt idx="32">
                  <c:v>88.7798321699401</c:v>
                </c:pt>
                <c:pt idx="33">
                  <c:v>89.5215396548631</c:v>
                </c:pt>
                <c:pt idx="34">
                  <c:v>90.0872148311874</c:v>
                </c:pt>
                <c:pt idx="35">
                  <c:v>90.7789162259666</c:v>
                </c:pt>
                <c:pt idx="36">
                  <c:v>90.7174408982697</c:v>
                </c:pt>
                <c:pt idx="37">
                  <c:v>90.1217149904227</c:v>
                </c:pt>
                <c:pt idx="38">
                  <c:v>90.7966209801948</c:v>
                </c:pt>
                <c:pt idx="39">
                  <c:v>89.0871312418169</c:v>
                </c:pt>
                <c:pt idx="40">
                  <c:v>87.264465278476</c:v>
                </c:pt>
                <c:pt idx="41">
                  <c:v>88.3883897146716</c:v>
                </c:pt>
                <c:pt idx="42">
                  <c:v>84.3082261114086</c:v>
                </c:pt>
                <c:pt idx="43">
                  <c:v>85.2008248893357</c:v>
                </c:pt>
                <c:pt idx="44">
                  <c:v>85.5463200030713</c:v>
                </c:pt>
                <c:pt idx="45">
                  <c:v>88.5769912771032</c:v>
                </c:pt>
                <c:pt idx="46">
                  <c:v>88.1389329840311</c:v>
                </c:pt>
                <c:pt idx="47">
                  <c:v>89.7103185135435</c:v>
                </c:pt>
                <c:pt idx="48">
                  <c:v>90.0587256609977</c:v>
                </c:pt>
                <c:pt idx="49">
                  <c:v>90.7760936655113</c:v>
                </c:pt>
                <c:pt idx="50">
                  <c:v>91.2693484553958</c:v>
                </c:pt>
                <c:pt idx="51">
                  <c:v>93.2179443015473</c:v>
                </c:pt>
              </c:numCache>
            </c:numRef>
          </c:yVal>
          <c:smooth val="1"/>
        </c:ser>
        <c:dLbls>
          <c:showLegendKey val="0"/>
          <c:showVal val="0"/>
          <c:showCatName val="0"/>
          <c:showSerName val="0"/>
          <c:showPercent val="0"/>
          <c:showBubbleSize val="0"/>
        </c:dLbls>
        <c:axId val="872626863"/>
        <c:axId val="872781711"/>
      </c:scatterChart>
      <c:valAx>
        <c:axId val="872626863"/>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872781711"/>
        <c:crosses val="autoZero"/>
        <c:crossBetween val="midCat"/>
      </c:valAx>
      <c:valAx>
        <c:axId val="872781711"/>
        <c:scaling>
          <c:orientation val="minMax"/>
        </c:scaling>
        <c:delete val="0"/>
        <c:axPos val="l"/>
        <c:majorGridlines>
          <c:spPr>
            <a:ln w="9525" cmpd="sng">
              <a:solidFill>
                <a:schemeClr val="tx1">
                  <a:lumMod val="15000"/>
                  <a:lumOff val="85000"/>
                </a:schemeClr>
              </a:solidFill>
              <a:prstDash val="solid"/>
              <a:round/>
            </a:ln>
          </c:spPr>
        </c:majorGridlines>
        <c:numFmt formatCode="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872626863"/>
        <c:crosses val="autoZero"/>
        <c:crossBetween val="midCat"/>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926b1a84-1623-468a-867f-a1c49d3cfa61}"/>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Histogram-PR0</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Pricing_Asian_Options!$AD$6:$AD$21</c:f>
              <c:numCache>
                <c:formatCode>General</c:formatCode>
                <c:ptCount val="16"/>
                <c:pt idx="0">
                  <c:v>0</c:v>
                </c:pt>
                <c:pt idx="1">
                  <c:v>2.5</c:v>
                </c:pt>
                <c:pt idx="2">
                  <c:v>5</c:v>
                </c:pt>
                <c:pt idx="3">
                  <c:v>7.5</c:v>
                </c:pt>
                <c:pt idx="4">
                  <c:v>10</c:v>
                </c:pt>
                <c:pt idx="5">
                  <c:v>12.5</c:v>
                </c:pt>
                <c:pt idx="6">
                  <c:v>15</c:v>
                </c:pt>
                <c:pt idx="7">
                  <c:v>17.5</c:v>
                </c:pt>
                <c:pt idx="8">
                  <c:v>20</c:v>
                </c:pt>
                <c:pt idx="9">
                  <c:v>22.5</c:v>
                </c:pt>
                <c:pt idx="10">
                  <c:v>25</c:v>
                </c:pt>
                <c:pt idx="11">
                  <c:v>27.5</c:v>
                </c:pt>
                <c:pt idx="12">
                  <c:v>30</c:v>
                </c:pt>
                <c:pt idx="13">
                  <c:v>32.5</c:v>
                </c:pt>
                <c:pt idx="14">
                  <c:v>35</c:v>
                </c:pt>
                <c:pt idx="15">
                  <c:v>37.5</c:v>
                </c:pt>
              </c:numCache>
            </c:numRef>
          </c:cat>
          <c:val>
            <c:numRef>
              <c:f>Pricing_Asian_Options!$AE$6:$AE$21</c:f>
              <c:numCache>
                <c:formatCode>0.0000;[Red]\(0.0000\);\-</c:formatCode>
                <c:ptCount val="16"/>
                <c:pt idx="0">
                  <c:v>0.85</c:v>
                </c:pt>
                <c:pt idx="1">
                  <c:v>0.08</c:v>
                </c:pt>
                <c:pt idx="2">
                  <c:v>0.035</c:v>
                </c:pt>
                <c:pt idx="3" c:formatCode="General">
                  <c:v>0.026</c:v>
                </c:pt>
                <c:pt idx="4" c:formatCode="General">
                  <c:v>0.005</c:v>
                </c:pt>
                <c:pt idx="5" c:formatCode="General">
                  <c:v>0.003</c:v>
                </c:pt>
                <c:pt idx="6" c:formatCode="General">
                  <c:v>0.001</c:v>
                </c:pt>
                <c:pt idx="7" c:formatCode="General">
                  <c:v>0</c:v>
                </c:pt>
                <c:pt idx="8" c:formatCode="General">
                  <c:v>0</c:v>
                </c:pt>
                <c:pt idx="9" c:formatCode="General">
                  <c:v>0</c:v>
                </c:pt>
                <c:pt idx="10" c:formatCode="General">
                  <c:v>0</c:v>
                </c:pt>
                <c:pt idx="11" c:formatCode="General">
                  <c:v>0</c:v>
                </c:pt>
                <c:pt idx="12" c:formatCode="General">
                  <c:v>0</c:v>
                </c:pt>
                <c:pt idx="13" c:formatCode="General">
                  <c:v>0</c:v>
                </c:pt>
                <c:pt idx="14" c:formatCode="General">
                  <c:v>0</c:v>
                </c:pt>
                <c:pt idx="15" c:formatCode="General">
                  <c:v>0</c:v>
                </c:pt>
              </c:numCache>
            </c:numRef>
          </c:val>
        </c:ser>
        <c:dLbls>
          <c:showLegendKey val="0"/>
          <c:showVal val="0"/>
          <c:showCatName val="0"/>
          <c:showSerName val="0"/>
          <c:showPercent val="0"/>
          <c:showBubbleSize val="0"/>
        </c:dLbls>
        <c:gapWidth val="150"/>
        <c:axId val="895861407"/>
        <c:axId val="895736655"/>
      </c:barChart>
      <c:catAx>
        <c:axId val="895861407"/>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895736655"/>
        <c:crosses val="autoZero"/>
        <c:auto val="1"/>
        <c:lblAlgn val="ctr"/>
        <c:lblOffset val="100"/>
        <c:noMultiLvlLbl val="0"/>
      </c:catAx>
      <c:valAx>
        <c:axId val="895736655"/>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0.0000;[Red]\(0.000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89586140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1204d06b-af92-481b-b6e2-77c8b686e1fe}"/>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Histogram-CR0</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Pricing_Asian_Options!$AD$6:$AD$21</c:f>
              <c:numCache>
                <c:formatCode>General</c:formatCode>
                <c:ptCount val="16"/>
                <c:pt idx="0">
                  <c:v>0</c:v>
                </c:pt>
                <c:pt idx="1">
                  <c:v>2.5</c:v>
                </c:pt>
                <c:pt idx="2">
                  <c:v>5</c:v>
                </c:pt>
                <c:pt idx="3">
                  <c:v>7.5</c:v>
                </c:pt>
                <c:pt idx="4">
                  <c:v>10</c:v>
                </c:pt>
                <c:pt idx="5">
                  <c:v>12.5</c:v>
                </c:pt>
                <c:pt idx="6">
                  <c:v>15</c:v>
                </c:pt>
                <c:pt idx="7">
                  <c:v>17.5</c:v>
                </c:pt>
                <c:pt idx="8">
                  <c:v>20</c:v>
                </c:pt>
                <c:pt idx="9">
                  <c:v>22.5</c:v>
                </c:pt>
                <c:pt idx="10">
                  <c:v>25</c:v>
                </c:pt>
                <c:pt idx="11">
                  <c:v>27.5</c:v>
                </c:pt>
                <c:pt idx="12">
                  <c:v>30</c:v>
                </c:pt>
                <c:pt idx="13">
                  <c:v>32.5</c:v>
                </c:pt>
                <c:pt idx="14">
                  <c:v>35</c:v>
                </c:pt>
                <c:pt idx="15">
                  <c:v>37.5</c:v>
                </c:pt>
              </c:numCache>
            </c:numRef>
          </c:cat>
          <c:val>
            <c:numRef>
              <c:f>Pricing_Asian_Options!$AF$6:$AF$21</c:f>
              <c:numCache>
                <c:formatCode>0.0000;[Red]\(0.0000\);\-</c:formatCode>
                <c:ptCount val="16"/>
                <c:pt idx="0">
                  <c:v>0.15</c:v>
                </c:pt>
                <c:pt idx="1">
                  <c:v>0.096</c:v>
                </c:pt>
                <c:pt idx="2">
                  <c:v>0.147</c:v>
                </c:pt>
                <c:pt idx="3" c:formatCode="General">
                  <c:v>0.136</c:v>
                </c:pt>
                <c:pt idx="4" c:formatCode="General">
                  <c:v>0.122</c:v>
                </c:pt>
                <c:pt idx="5" c:formatCode="General">
                  <c:v>0.104</c:v>
                </c:pt>
                <c:pt idx="6" c:formatCode="General">
                  <c:v>0.091</c:v>
                </c:pt>
                <c:pt idx="7" c:formatCode="General">
                  <c:v>0.062</c:v>
                </c:pt>
                <c:pt idx="8" c:formatCode="General">
                  <c:v>0.048</c:v>
                </c:pt>
                <c:pt idx="9" c:formatCode="General">
                  <c:v>0.019</c:v>
                </c:pt>
                <c:pt idx="10" c:formatCode="General">
                  <c:v>0.016</c:v>
                </c:pt>
                <c:pt idx="11" c:formatCode="General">
                  <c:v>0.004</c:v>
                </c:pt>
                <c:pt idx="12" c:formatCode="General">
                  <c:v>0.004</c:v>
                </c:pt>
                <c:pt idx="13" c:formatCode="General">
                  <c:v>0.001</c:v>
                </c:pt>
                <c:pt idx="14" c:formatCode="General">
                  <c:v>0</c:v>
                </c:pt>
                <c:pt idx="15" c:formatCode="General">
                  <c:v>0</c:v>
                </c:pt>
              </c:numCache>
            </c:numRef>
          </c:val>
        </c:ser>
        <c:dLbls>
          <c:showLegendKey val="0"/>
          <c:showVal val="0"/>
          <c:showCatName val="0"/>
          <c:showSerName val="0"/>
          <c:showPercent val="0"/>
          <c:showBubbleSize val="0"/>
        </c:dLbls>
        <c:gapWidth val="150"/>
        <c:axId val="873506767"/>
        <c:axId val="873562591"/>
      </c:barChart>
      <c:catAx>
        <c:axId val="873506767"/>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873562591"/>
        <c:crosses val="autoZero"/>
        <c:auto val="1"/>
        <c:lblAlgn val="ctr"/>
        <c:lblOffset val="100"/>
        <c:noMultiLvlLbl val="0"/>
      </c:catAx>
      <c:valAx>
        <c:axId val="873562591"/>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0.0000;[Red]\(0.000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87350676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82dca6d0-c6f2-43a2-96cb-1ebfac0ffcb0}"/>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Histogram-ST</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Hedging!$P$6:$P$22</c:f>
              <c:numCache>
                <c:formatCode>General</c:formatCode>
                <c:ptCount val="17"/>
                <c:pt idx="0">
                  <c:v>70</c:v>
                </c:pt>
                <c:pt idx="1">
                  <c:v>75</c:v>
                </c:pt>
                <c:pt idx="2">
                  <c:v>80</c:v>
                </c:pt>
                <c:pt idx="3">
                  <c:v>85</c:v>
                </c:pt>
                <c:pt idx="4">
                  <c:v>90</c:v>
                </c:pt>
                <c:pt idx="5">
                  <c:v>95</c:v>
                </c:pt>
                <c:pt idx="6">
                  <c:v>100</c:v>
                </c:pt>
                <c:pt idx="7">
                  <c:v>105</c:v>
                </c:pt>
                <c:pt idx="8">
                  <c:v>110</c:v>
                </c:pt>
                <c:pt idx="9">
                  <c:v>115</c:v>
                </c:pt>
                <c:pt idx="10">
                  <c:v>120</c:v>
                </c:pt>
                <c:pt idx="11">
                  <c:v>125</c:v>
                </c:pt>
                <c:pt idx="12">
                  <c:v>130</c:v>
                </c:pt>
                <c:pt idx="13">
                  <c:v>135</c:v>
                </c:pt>
                <c:pt idx="14">
                  <c:v>140</c:v>
                </c:pt>
                <c:pt idx="15">
                  <c:v>145</c:v>
                </c:pt>
                <c:pt idx="16">
                  <c:v>150</c:v>
                </c:pt>
              </c:numCache>
            </c:numRef>
          </c:cat>
          <c:val>
            <c:numRef>
              <c:f>Hedging!$Q$6:$Q$22</c:f>
              <c:numCache>
                <c:formatCode>0.0000_);[Red]\(0.0000\)</c:formatCode>
                <c:ptCount val="17"/>
                <c:pt idx="0">
                  <c:v>0</c:v>
                </c:pt>
                <c:pt idx="1">
                  <c:v>0</c:v>
                </c:pt>
                <c:pt idx="2">
                  <c:v>0</c:v>
                </c:pt>
                <c:pt idx="3">
                  <c:v>0.0075</c:v>
                </c:pt>
                <c:pt idx="4">
                  <c:v>0.042</c:v>
                </c:pt>
                <c:pt idx="5">
                  <c:v>0.1035</c:v>
                </c:pt>
                <c:pt idx="6">
                  <c:v>0.187</c:v>
                </c:pt>
                <c:pt idx="7">
                  <c:v>0.223</c:v>
                </c:pt>
                <c:pt idx="8">
                  <c:v>0.1955</c:v>
                </c:pt>
                <c:pt idx="9">
                  <c:v>0.1295</c:v>
                </c:pt>
                <c:pt idx="10">
                  <c:v>0.0745</c:v>
                </c:pt>
                <c:pt idx="11">
                  <c:v>0.0265</c:v>
                </c:pt>
                <c:pt idx="12">
                  <c:v>0.0075</c:v>
                </c:pt>
                <c:pt idx="13">
                  <c:v>0.002</c:v>
                </c:pt>
                <c:pt idx="14">
                  <c:v>0.0015</c:v>
                </c:pt>
                <c:pt idx="15">
                  <c:v>0</c:v>
                </c:pt>
                <c:pt idx="16">
                  <c:v>0</c:v>
                </c:pt>
              </c:numCache>
            </c:numRef>
          </c:val>
        </c:ser>
        <c:dLbls>
          <c:showLegendKey val="0"/>
          <c:showVal val="0"/>
          <c:showCatName val="0"/>
          <c:showSerName val="0"/>
          <c:showPercent val="0"/>
          <c:showBubbleSize val="0"/>
        </c:dLbls>
        <c:gapWidth val="150"/>
        <c:axId val="910577311"/>
        <c:axId val="910578959"/>
      </c:barChart>
      <c:catAx>
        <c:axId val="910577311"/>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bin_</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910578959"/>
        <c:crosses val="autoZero"/>
        <c:auto val="1"/>
        <c:lblAlgn val="ctr"/>
        <c:lblOffset val="100"/>
        <c:noMultiLvlLbl val="0"/>
      </c:catAx>
      <c:valAx>
        <c:axId val="910578959"/>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0.0000_);[Red]\(0.000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910577311"/>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36a59a23-e20c-4a37-8b4c-5dfd59ec82df}"/>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Hedging!$V$6:$V$18</c:f>
              <c:numCache>
                <c:formatCode>0.0000;[Red]\(0.0000\);\-</c:formatCode>
                <c:ptCount val="13"/>
                <c:pt idx="0" c:formatCode="0.0000;[Red]\(0.0000\);\-">
                  <c:v>0</c:v>
                </c:pt>
                <c:pt idx="1" c:formatCode="0.0000;[Red]\(0.0000\);\-">
                  <c:v>2</c:v>
                </c:pt>
                <c:pt idx="2" c:formatCode="0.0000;[Red]\(0.0000\);\-">
                  <c:v>4</c:v>
                </c:pt>
                <c:pt idx="3" c:formatCode="0.0000;[Red]\(0.0000\);\-">
                  <c:v>6</c:v>
                </c:pt>
                <c:pt idx="4">
                  <c:v>8</c:v>
                </c:pt>
                <c:pt idx="5">
                  <c:v>10</c:v>
                </c:pt>
                <c:pt idx="6">
                  <c:v>12</c:v>
                </c:pt>
                <c:pt idx="7">
                  <c:v>14</c:v>
                </c:pt>
                <c:pt idx="8">
                  <c:v>16</c:v>
                </c:pt>
                <c:pt idx="9">
                  <c:v>18</c:v>
                </c:pt>
                <c:pt idx="10">
                  <c:v>20</c:v>
                </c:pt>
                <c:pt idx="11">
                  <c:v>22</c:v>
                </c:pt>
                <c:pt idx="12">
                  <c:v>24</c:v>
                </c:pt>
              </c:numCache>
            </c:numRef>
          </c:cat>
          <c:val>
            <c:numRef>
              <c:f>Hedging!$W$6:$W$18</c:f>
              <c:numCache>
                <c:formatCode>0.0000;[Red]\(0.0000\);\-</c:formatCode>
                <c:ptCount val="13"/>
                <c:pt idx="0">
                  <c:v>0.7735</c:v>
                </c:pt>
                <c:pt idx="1">
                  <c:v>0.0765</c:v>
                </c:pt>
                <c:pt idx="2">
                  <c:v>0.054</c:v>
                </c:pt>
                <c:pt idx="3">
                  <c:v>0.033</c:v>
                </c:pt>
                <c:pt idx="4" c:formatCode="General">
                  <c:v>0.028</c:v>
                </c:pt>
                <c:pt idx="5" c:formatCode="General">
                  <c:v>0.0195</c:v>
                </c:pt>
                <c:pt idx="6" c:formatCode="General">
                  <c:v>0.009</c:v>
                </c:pt>
                <c:pt idx="7" c:formatCode="General">
                  <c:v>0.005</c:v>
                </c:pt>
                <c:pt idx="8" c:formatCode="General">
                  <c:v>0.0015</c:v>
                </c:pt>
                <c:pt idx="9" c:formatCode="General">
                  <c:v>0</c:v>
                </c:pt>
                <c:pt idx="10" c:formatCode="General">
                  <c:v>0</c:v>
                </c:pt>
                <c:pt idx="11" c:formatCode="General">
                  <c:v>0</c:v>
                </c:pt>
                <c:pt idx="12" c:formatCode="General">
                  <c:v>0</c:v>
                </c:pt>
              </c:numCache>
            </c:numRef>
          </c:val>
        </c:ser>
        <c:dLbls>
          <c:showLegendKey val="0"/>
          <c:showVal val="0"/>
          <c:showCatName val="0"/>
          <c:showSerName val="0"/>
          <c:showPercent val="0"/>
          <c:showBubbleSize val="0"/>
        </c:dLbls>
        <c:gapWidth val="150"/>
        <c:axId val="915335679"/>
        <c:axId val="915337327"/>
      </c:barChart>
      <c:catAx>
        <c:axId val="915335679"/>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bin_2</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915337327"/>
        <c:crosses val="autoZero"/>
        <c:auto val="1"/>
        <c:lblAlgn val="ctr"/>
        <c:lblOffset val="100"/>
        <c:noMultiLvlLbl val="0"/>
      </c:catAx>
      <c:valAx>
        <c:axId val="915337327"/>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0.0000;[Red]\(0.000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915335679"/>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33652f66-fc63-4c84-b1ad-c3fc490471ec}"/>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Distribution</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Hedging!$AC$9</c:f>
              <c:strCache>
                <c:ptCount val="1"/>
                <c:pt idx="0">
                  <c:v>f_payoff1</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Hedging!$AB$10:$AB$25</c:f>
              <c:numCache>
                <c:formatCode>General</c:formatCode>
                <c:ptCount val="16"/>
                <c:pt idx="0">
                  <c:v>-30</c:v>
                </c:pt>
                <c:pt idx="1">
                  <c:v>-25</c:v>
                </c:pt>
                <c:pt idx="2">
                  <c:v>-20</c:v>
                </c:pt>
                <c:pt idx="3">
                  <c:v>-15</c:v>
                </c:pt>
                <c:pt idx="4">
                  <c:v>-10</c:v>
                </c:pt>
                <c:pt idx="5">
                  <c:v>-5</c:v>
                </c:pt>
                <c:pt idx="6">
                  <c:v>0</c:v>
                </c:pt>
                <c:pt idx="7">
                  <c:v>5</c:v>
                </c:pt>
                <c:pt idx="8">
                  <c:v>10</c:v>
                </c:pt>
                <c:pt idx="9">
                  <c:v>15</c:v>
                </c:pt>
                <c:pt idx="10">
                  <c:v>20</c:v>
                </c:pt>
                <c:pt idx="11">
                  <c:v>25</c:v>
                </c:pt>
                <c:pt idx="12">
                  <c:v>30</c:v>
                </c:pt>
                <c:pt idx="13">
                  <c:v>35</c:v>
                </c:pt>
                <c:pt idx="14">
                  <c:v>40</c:v>
                </c:pt>
                <c:pt idx="15">
                  <c:v>45</c:v>
                </c:pt>
              </c:numCache>
            </c:numRef>
          </c:xVal>
          <c:yVal>
            <c:numRef>
              <c:f>Hedging!$AC$10:$AC$25</c:f>
              <c:numCache>
                <c:formatCode>General</c:formatCode>
                <c:ptCount val="16"/>
                <c:pt idx="0">
                  <c:v>0</c:v>
                </c:pt>
                <c:pt idx="1">
                  <c:v>0</c:v>
                </c:pt>
                <c:pt idx="2">
                  <c:v>0</c:v>
                </c:pt>
                <c:pt idx="3">
                  <c:v>0.0055</c:v>
                </c:pt>
                <c:pt idx="4">
                  <c:v>0.039</c:v>
                </c:pt>
                <c:pt idx="5">
                  <c:v>0.1035</c:v>
                </c:pt>
                <c:pt idx="6">
                  <c:v>0.192</c:v>
                </c:pt>
                <c:pt idx="7">
                  <c:v>0.2305</c:v>
                </c:pt>
                <c:pt idx="8">
                  <c:v>0.201</c:v>
                </c:pt>
                <c:pt idx="9">
                  <c:v>0.1235</c:v>
                </c:pt>
                <c:pt idx="10">
                  <c:v>0.073</c:v>
                </c:pt>
                <c:pt idx="11">
                  <c:v>0.0225</c:v>
                </c:pt>
                <c:pt idx="12">
                  <c:v>0.007</c:v>
                </c:pt>
                <c:pt idx="13">
                  <c:v>0.0015</c:v>
                </c:pt>
                <c:pt idx="14">
                  <c:v>0.001</c:v>
                </c:pt>
                <c:pt idx="15">
                  <c:v>0</c:v>
                </c:pt>
              </c:numCache>
            </c:numRef>
          </c:yVal>
          <c:smooth val="1"/>
        </c:ser>
        <c:ser>
          <c:idx val="1"/>
          <c:order val="1"/>
          <c:tx>
            <c:strRef>
              <c:f>Hedging!$AD$9</c:f>
              <c:strCache>
                <c:ptCount val="1"/>
                <c:pt idx="0">
                  <c:v>f_payoff2</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xVal>
            <c:numRef>
              <c:f>Hedging!$AB$10:$AB$25</c:f>
              <c:numCache>
                <c:formatCode>General</c:formatCode>
                <c:ptCount val="16"/>
                <c:pt idx="0">
                  <c:v>-30</c:v>
                </c:pt>
                <c:pt idx="1">
                  <c:v>-25</c:v>
                </c:pt>
                <c:pt idx="2">
                  <c:v>-20</c:v>
                </c:pt>
                <c:pt idx="3">
                  <c:v>-15</c:v>
                </c:pt>
                <c:pt idx="4">
                  <c:v>-10</c:v>
                </c:pt>
                <c:pt idx="5">
                  <c:v>-5</c:v>
                </c:pt>
                <c:pt idx="6">
                  <c:v>0</c:v>
                </c:pt>
                <c:pt idx="7">
                  <c:v>5</c:v>
                </c:pt>
                <c:pt idx="8">
                  <c:v>10</c:v>
                </c:pt>
                <c:pt idx="9">
                  <c:v>15</c:v>
                </c:pt>
                <c:pt idx="10">
                  <c:v>20</c:v>
                </c:pt>
                <c:pt idx="11">
                  <c:v>25</c:v>
                </c:pt>
                <c:pt idx="12">
                  <c:v>30</c:v>
                </c:pt>
                <c:pt idx="13">
                  <c:v>35</c:v>
                </c:pt>
                <c:pt idx="14">
                  <c:v>40</c:v>
                </c:pt>
                <c:pt idx="15">
                  <c:v>45</c:v>
                </c:pt>
              </c:numCache>
            </c:numRef>
          </c:xVal>
          <c:yVal>
            <c:numRef>
              <c:f>Hedging!$AD$10:$AD$25</c:f>
              <c:numCache>
                <c:formatCode>General</c:formatCode>
                <c:ptCount val="16"/>
                <c:pt idx="0">
                  <c:v>0</c:v>
                </c:pt>
                <c:pt idx="1">
                  <c:v>0</c:v>
                </c:pt>
                <c:pt idx="2">
                  <c:v>0</c:v>
                </c:pt>
                <c:pt idx="3">
                  <c:v>0</c:v>
                </c:pt>
                <c:pt idx="4">
                  <c:v>0</c:v>
                </c:pt>
                <c:pt idx="5">
                  <c:v>0</c:v>
                </c:pt>
                <c:pt idx="6">
                  <c:v>0.363</c:v>
                </c:pt>
                <c:pt idx="7">
                  <c:v>0.2355</c:v>
                </c:pt>
                <c:pt idx="8">
                  <c:v>0.1915</c:v>
                </c:pt>
                <c:pt idx="9">
                  <c:v>0.112</c:v>
                </c:pt>
                <c:pt idx="10">
                  <c:v>0.069</c:v>
                </c:pt>
                <c:pt idx="11">
                  <c:v>0.023</c:v>
                </c:pt>
                <c:pt idx="12">
                  <c:v>0.0035</c:v>
                </c:pt>
                <c:pt idx="13">
                  <c:v>0.002</c:v>
                </c:pt>
                <c:pt idx="14">
                  <c:v>0.0005</c:v>
                </c:pt>
                <c:pt idx="15">
                  <c:v>0</c:v>
                </c:pt>
              </c:numCache>
            </c:numRef>
          </c:yVal>
          <c:smooth val="1"/>
        </c:ser>
        <c:dLbls>
          <c:showLegendKey val="0"/>
          <c:showVal val="0"/>
          <c:showCatName val="0"/>
          <c:showSerName val="0"/>
          <c:showPercent val="0"/>
          <c:showBubbleSize val="0"/>
        </c:dLbls>
        <c:axId val="914117951"/>
        <c:axId val="935845519"/>
      </c:scatterChart>
      <c:valAx>
        <c:axId val="914117951"/>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935845519"/>
        <c:crosses val="autoZero"/>
        <c:crossBetween val="midCat"/>
      </c:valAx>
      <c:valAx>
        <c:axId val="935845519"/>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914117951"/>
        <c:crosses val="autoZero"/>
        <c:crossBetween val="midCat"/>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da45595a-413c-4889-ba6b-29a3864d6fc4}"/>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"Put"</c:f>
              <c:strCache>
                <c:ptCount val="1"/>
                <c:pt idx="0">
                  <c:v>Put</c:v>
                </c:pt>
              </c:strCache>
            </c:strRef>
          </c:tx>
          <c:invertIfNegative val="0"/>
          <c:dLbls>
            <c:delete val="1"/>
          </c:dLbls>
          <c:cat>
            <c:numRef>
              <c:f>Pricing_Asian_Options!$AD$6:$AD$21</c:f>
              <c:numCache>
                <c:formatCode>General</c:formatCode>
                <c:ptCount val="16"/>
                <c:pt idx="0">
                  <c:v>0</c:v>
                </c:pt>
                <c:pt idx="1">
                  <c:v>2.5</c:v>
                </c:pt>
                <c:pt idx="2">
                  <c:v>5</c:v>
                </c:pt>
                <c:pt idx="3">
                  <c:v>7.5</c:v>
                </c:pt>
                <c:pt idx="4">
                  <c:v>10</c:v>
                </c:pt>
                <c:pt idx="5">
                  <c:v>12.5</c:v>
                </c:pt>
                <c:pt idx="6">
                  <c:v>15</c:v>
                </c:pt>
                <c:pt idx="7">
                  <c:v>17.5</c:v>
                </c:pt>
                <c:pt idx="8">
                  <c:v>20</c:v>
                </c:pt>
                <c:pt idx="9">
                  <c:v>22.5</c:v>
                </c:pt>
                <c:pt idx="10">
                  <c:v>25</c:v>
                </c:pt>
                <c:pt idx="11">
                  <c:v>27.5</c:v>
                </c:pt>
                <c:pt idx="12">
                  <c:v>30</c:v>
                </c:pt>
                <c:pt idx="13">
                  <c:v>32.5</c:v>
                </c:pt>
                <c:pt idx="14">
                  <c:v>35</c:v>
                </c:pt>
                <c:pt idx="15">
                  <c:v>37.5</c:v>
                </c:pt>
              </c:numCache>
            </c:numRef>
          </c:cat>
          <c:val>
            <c:numRef>
              <c:f>Pricing_Asian_Options!$AE$6:$AE$21</c:f>
              <c:numCache>
                <c:formatCode>0.0000;[Red]\(0.0000\);\-</c:formatCode>
                <c:ptCount val="16"/>
                <c:pt idx="0">
                  <c:v>0.85</c:v>
                </c:pt>
                <c:pt idx="1">
                  <c:v>0.08</c:v>
                </c:pt>
                <c:pt idx="2">
                  <c:v>0.035</c:v>
                </c:pt>
                <c:pt idx="3" c:formatCode="General">
                  <c:v>0.026</c:v>
                </c:pt>
                <c:pt idx="4" c:formatCode="General">
                  <c:v>0.005</c:v>
                </c:pt>
                <c:pt idx="5" c:formatCode="General">
                  <c:v>0.003</c:v>
                </c:pt>
                <c:pt idx="6" c:formatCode="General">
                  <c:v>0.001</c:v>
                </c:pt>
                <c:pt idx="7" c:formatCode="General">
                  <c:v>0</c:v>
                </c:pt>
                <c:pt idx="8" c:formatCode="General">
                  <c:v>0</c:v>
                </c:pt>
                <c:pt idx="9" c:formatCode="General">
                  <c:v>0</c:v>
                </c:pt>
                <c:pt idx="10" c:formatCode="General">
                  <c:v>0</c:v>
                </c:pt>
                <c:pt idx="11" c:formatCode="General">
                  <c:v>0</c:v>
                </c:pt>
                <c:pt idx="12" c:formatCode="General">
                  <c:v>0</c:v>
                </c:pt>
                <c:pt idx="13" c:formatCode="General">
                  <c:v>0</c:v>
                </c:pt>
                <c:pt idx="14" c:formatCode="General">
                  <c:v>0</c:v>
                </c:pt>
                <c:pt idx="15" c:formatCode="General">
                  <c:v>0</c:v>
                </c:pt>
              </c:numCache>
            </c:numRef>
          </c:val>
        </c:ser>
        <c:ser>
          <c:idx val="1"/>
          <c:order val="1"/>
          <c:tx>
            <c:strRef>
              <c:f>"Call"</c:f>
              <c:strCache>
                <c:ptCount val="1"/>
                <c:pt idx="0">
                  <c:v>Call</c:v>
                </c:pt>
              </c:strCache>
            </c:strRef>
          </c:tx>
          <c:invertIfNegative val="0"/>
          <c:dLbls>
            <c:delete val="1"/>
          </c:dLbls>
          <c:cat>
            <c:numRef>
              <c:f>Pricing_Asian_Options!$AD$6:$AD$21</c:f>
              <c:numCache>
                <c:formatCode>General</c:formatCode>
                <c:ptCount val="16"/>
                <c:pt idx="0">
                  <c:v>0</c:v>
                </c:pt>
                <c:pt idx="1">
                  <c:v>2.5</c:v>
                </c:pt>
                <c:pt idx="2">
                  <c:v>5</c:v>
                </c:pt>
                <c:pt idx="3">
                  <c:v>7.5</c:v>
                </c:pt>
                <c:pt idx="4">
                  <c:v>10</c:v>
                </c:pt>
                <c:pt idx="5">
                  <c:v>12.5</c:v>
                </c:pt>
                <c:pt idx="6">
                  <c:v>15</c:v>
                </c:pt>
                <c:pt idx="7">
                  <c:v>17.5</c:v>
                </c:pt>
                <c:pt idx="8">
                  <c:v>20</c:v>
                </c:pt>
                <c:pt idx="9">
                  <c:v>22.5</c:v>
                </c:pt>
                <c:pt idx="10">
                  <c:v>25</c:v>
                </c:pt>
                <c:pt idx="11">
                  <c:v>27.5</c:v>
                </c:pt>
                <c:pt idx="12">
                  <c:v>30</c:v>
                </c:pt>
                <c:pt idx="13">
                  <c:v>32.5</c:v>
                </c:pt>
                <c:pt idx="14">
                  <c:v>35</c:v>
                </c:pt>
                <c:pt idx="15">
                  <c:v>37.5</c:v>
                </c:pt>
              </c:numCache>
            </c:numRef>
          </c:cat>
          <c:val>
            <c:numRef>
              <c:f>Pricing_Asian_Options!$AG$6:$AG$21</c:f>
              <c:numCache>
                <c:formatCode>0.0000;[Red]\(0.0000\);\-</c:formatCode>
                <c:ptCount val="16"/>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6c1412e-6ecc-4cea-a407-d9c9b43068ef}"/>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"Stock only"</c:f>
              <c:strCache>
                <c:ptCount val="1"/>
                <c:pt idx="0">
                  <c:v>Stock only</c:v>
                </c:pt>
              </c:strCache>
            </c:strRef>
          </c:tx>
          <c:invertIfNegative val="0"/>
          <c:dLbls>
            <c:delete val="1"/>
          </c:dLbls>
          <c:cat>
            <c:numRef>
              <c:f>Hedging!$AB$10:$AB$25</c:f>
              <c:numCache>
                <c:formatCode>General</c:formatCode>
                <c:ptCount val="16"/>
                <c:pt idx="0">
                  <c:v>-30</c:v>
                </c:pt>
                <c:pt idx="1">
                  <c:v>-25</c:v>
                </c:pt>
                <c:pt idx="2">
                  <c:v>-20</c:v>
                </c:pt>
                <c:pt idx="3">
                  <c:v>-15</c:v>
                </c:pt>
                <c:pt idx="4">
                  <c:v>-10</c:v>
                </c:pt>
                <c:pt idx="5">
                  <c:v>-5</c:v>
                </c:pt>
                <c:pt idx="6">
                  <c:v>0</c:v>
                </c:pt>
                <c:pt idx="7">
                  <c:v>5</c:v>
                </c:pt>
                <c:pt idx="8">
                  <c:v>10</c:v>
                </c:pt>
                <c:pt idx="9">
                  <c:v>15</c:v>
                </c:pt>
                <c:pt idx="10">
                  <c:v>20</c:v>
                </c:pt>
                <c:pt idx="11">
                  <c:v>25</c:v>
                </c:pt>
                <c:pt idx="12">
                  <c:v>30</c:v>
                </c:pt>
                <c:pt idx="13">
                  <c:v>35</c:v>
                </c:pt>
                <c:pt idx="14">
                  <c:v>40</c:v>
                </c:pt>
                <c:pt idx="15">
                  <c:v>45</c:v>
                </c:pt>
              </c:numCache>
            </c:numRef>
          </c:cat>
          <c:val>
            <c:numRef>
              <c:f>Hedging!$AC$10:$AC$25</c:f>
              <c:numCache>
                <c:formatCode>General</c:formatCode>
                <c:ptCount val="16"/>
                <c:pt idx="0">
                  <c:v>0</c:v>
                </c:pt>
                <c:pt idx="1">
                  <c:v>0</c:v>
                </c:pt>
                <c:pt idx="2">
                  <c:v>0</c:v>
                </c:pt>
                <c:pt idx="3">
                  <c:v>0.0055</c:v>
                </c:pt>
                <c:pt idx="4">
                  <c:v>0.039</c:v>
                </c:pt>
                <c:pt idx="5">
                  <c:v>0.1035</c:v>
                </c:pt>
                <c:pt idx="6">
                  <c:v>0.192</c:v>
                </c:pt>
                <c:pt idx="7">
                  <c:v>0.2305</c:v>
                </c:pt>
                <c:pt idx="8">
                  <c:v>0.201</c:v>
                </c:pt>
                <c:pt idx="9">
                  <c:v>0.1235</c:v>
                </c:pt>
                <c:pt idx="10">
                  <c:v>0.073</c:v>
                </c:pt>
                <c:pt idx="11">
                  <c:v>0.0225</c:v>
                </c:pt>
                <c:pt idx="12">
                  <c:v>0.007</c:v>
                </c:pt>
                <c:pt idx="13">
                  <c:v>0.0015</c:v>
                </c:pt>
                <c:pt idx="14">
                  <c:v>0.001</c:v>
                </c:pt>
                <c:pt idx="15">
                  <c:v>0</c:v>
                </c:pt>
              </c:numCache>
            </c:numRef>
          </c:val>
        </c:ser>
        <c:ser>
          <c:idx val="1"/>
          <c:order val="1"/>
          <c:tx>
            <c:strRef>
              <c:f>"Stock + put"</c:f>
              <c:strCache>
                <c:ptCount val="1"/>
                <c:pt idx="0">
                  <c:v>Stock + put</c:v>
                </c:pt>
              </c:strCache>
            </c:strRef>
          </c:tx>
          <c:invertIfNegative val="0"/>
          <c:dLbls>
            <c:delete val="1"/>
          </c:dLbls>
          <c:cat>
            <c:numRef>
              <c:f>Hedging!$AB$10:$AB$25</c:f>
              <c:numCache>
                <c:formatCode>General</c:formatCode>
                <c:ptCount val="16"/>
                <c:pt idx="0">
                  <c:v>-30</c:v>
                </c:pt>
                <c:pt idx="1">
                  <c:v>-25</c:v>
                </c:pt>
                <c:pt idx="2">
                  <c:v>-20</c:v>
                </c:pt>
                <c:pt idx="3">
                  <c:v>-15</c:v>
                </c:pt>
                <c:pt idx="4">
                  <c:v>-10</c:v>
                </c:pt>
                <c:pt idx="5">
                  <c:v>-5</c:v>
                </c:pt>
                <c:pt idx="6">
                  <c:v>0</c:v>
                </c:pt>
                <c:pt idx="7">
                  <c:v>5</c:v>
                </c:pt>
                <c:pt idx="8">
                  <c:v>10</c:v>
                </c:pt>
                <c:pt idx="9">
                  <c:v>15</c:v>
                </c:pt>
                <c:pt idx="10">
                  <c:v>20</c:v>
                </c:pt>
                <c:pt idx="11">
                  <c:v>25</c:v>
                </c:pt>
                <c:pt idx="12">
                  <c:v>30</c:v>
                </c:pt>
                <c:pt idx="13">
                  <c:v>35</c:v>
                </c:pt>
                <c:pt idx="14">
                  <c:v>40</c:v>
                </c:pt>
                <c:pt idx="15">
                  <c:v>45</c:v>
                </c:pt>
              </c:numCache>
            </c:numRef>
          </c:cat>
          <c:val>
            <c:numRef>
              <c:f>Hedging!$AE$10:$AE$25</c:f>
              <c:numCache>
                <c:formatCode>General</c:formatCode>
                <c:ptCount val="16"/>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8b5248-c4c3-4256-a2f7-43f310bfee59}"/>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"Put running mean"</c:f>
              <c:strCache>
                <c:ptCount val="1"/>
                <c:pt idx="0">
                  <c:v>Put running mean</c:v>
                </c:pt>
              </c:strCache>
            </c:strRef>
          </c:tx>
          <c:marker>
            <c:symbol val="none"/>
          </c:marker>
          <c:dLbls>
            <c:delete val="1"/>
          </c:dLbls>
          <c:cat>
            <c:numRef>
              <c:f>'Simulation Convergence'!$A$8:$A$47</c:f>
              <c:numCache>
                <c:formatCode>General</c:formatCode>
                <c:ptCount val="40"/>
                <c:pt idx="0">
                  <c:v>25</c:v>
                </c:pt>
                <c:pt idx="1">
                  <c:v>50</c:v>
                </c:pt>
                <c:pt idx="2">
                  <c:v>75</c:v>
                </c:pt>
                <c:pt idx="3">
                  <c:v>100</c:v>
                </c:pt>
                <c:pt idx="4">
                  <c:v>125</c:v>
                </c:pt>
                <c:pt idx="5">
                  <c:v>150</c:v>
                </c:pt>
                <c:pt idx="6">
                  <c:v>175</c:v>
                </c:pt>
                <c:pt idx="7">
                  <c:v>200</c:v>
                </c:pt>
                <c:pt idx="8">
                  <c:v>225</c:v>
                </c:pt>
                <c:pt idx="9">
                  <c:v>250</c:v>
                </c:pt>
                <c:pt idx="10">
                  <c:v>275</c:v>
                </c:pt>
                <c:pt idx="11">
                  <c:v>300</c:v>
                </c:pt>
                <c:pt idx="12">
                  <c:v>325</c:v>
                </c:pt>
                <c:pt idx="13">
                  <c:v>350</c:v>
                </c:pt>
                <c:pt idx="14">
                  <c:v>375</c:v>
                </c:pt>
                <c:pt idx="15">
                  <c:v>400</c:v>
                </c:pt>
                <c:pt idx="16">
                  <c:v>425</c:v>
                </c:pt>
                <c:pt idx="17">
                  <c:v>450</c:v>
                </c:pt>
                <c:pt idx="18">
                  <c:v>475</c:v>
                </c:pt>
                <c:pt idx="19">
                  <c:v>500</c:v>
                </c:pt>
                <c:pt idx="20">
                  <c:v>525</c:v>
                </c:pt>
                <c:pt idx="21">
                  <c:v>550</c:v>
                </c:pt>
                <c:pt idx="22">
                  <c:v>575</c:v>
                </c:pt>
                <c:pt idx="23">
                  <c:v>600</c:v>
                </c:pt>
                <c:pt idx="24">
                  <c:v>625</c:v>
                </c:pt>
                <c:pt idx="25">
                  <c:v>650</c:v>
                </c:pt>
                <c:pt idx="26">
                  <c:v>675</c:v>
                </c:pt>
                <c:pt idx="27">
                  <c:v>700</c:v>
                </c:pt>
                <c:pt idx="28">
                  <c:v>725</c:v>
                </c:pt>
                <c:pt idx="29">
                  <c:v>750</c:v>
                </c:pt>
                <c:pt idx="30">
                  <c:v>775</c:v>
                </c:pt>
                <c:pt idx="31">
                  <c:v>800</c:v>
                </c:pt>
                <c:pt idx="32">
                  <c:v>825</c:v>
                </c:pt>
                <c:pt idx="33">
                  <c:v>850</c:v>
                </c:pt>
                <c:pt idx="34">
                  <c:v>875</c:v>
                </c:pt>
                <c:pt idx="35">
                  <c:v>900</c:v>
                </c:pt>
                <c:pt idx="36">
                  <c:v>925</c:v>
                </c:pt>
                <c:pt idx="37">
                  <c:v>950</c:v>
                </c:pt>
                <c:pt idx="38">
                  <c:v>975</c:v>
                </c:pt>
                <c:pt idx="39">
                  <c:v>1000</c:v>
                </c:pt>
              </c:numCache>
            </c:numRef>
          </c:cat>
          <c:val>
            <c:numRef>
              <c:f>'Simulation Convergence'!$B$8:$B$47</c:f>
              <c:numCache>
                <c:formatCode>0.000</c:formatCode>
                <c:ptCount val="40"/>
                <c:pt idx="0">
                  <c:v>0.0354720569511907</c:v>
                </c:pt>
                <c:pt idx="1">
                  <c:v>0.389470073816151</c:v>
                </c:pt>
                <c:pt idx="2">
                  <c:v>0.3278260547121</c:v>
                </c:pt>
                <c:pt idx="3">
                  <c:v>0.530395280160849</c:v>
                </c:pt>
                <c:pt idx="4">
                  <c:v>0.541819728204157</c:v>
                </c:pt>
                <c:pt idx="5">
                  <c:v>0.49074259253643</c:v>
                </c:pt>
                <c:pt idx="6">
                  <c:v>0.473781339898447</c:v>
                </c:pt>
                <c:pt idx="7">
                  <c:v>0.443793247455065</c:v>
                </c:pt>
                <c:pt idx="8">
                  <c:v>0.479186025967985</c:v>
                </c:pt>
                <c:pt idx="9">
                  <c:v>0.478110617798492</c:v>
                </c:pt>
                <c:pt idx="10">
                  <c:v>0.465532195874236</c:v>
                </c:pt>
                <c:pt idx="11">
                  <c:v>0.445807497523924</c:v>
                </c:pt>
                <c:pt idx="12">
                  <c:v>0.446639249694892</c:v>
                </c:pt>
                <c:pt idx="13">
                  <c:v>0.446586130049118</c:v>
                </c:pt>
                <c:pt idx="14">
                  <c:v>0.488946784404662</c:v>
                </c:pt>
                <c:pt idx="15">
                  <c:v>0.471536168030514</c:v>
                </c:pt>
                <c:pt idx="16">
                  <c:v>0.468049891080139</c:v>
                </c:pt>
                <c:pt idx="17">
                  <c:v>0.470952624281951</c:v>
                </c:pt>
                <c:pt idx="18">
                  <c:v>0.482606942879775</c:v>
                </c:pt>
                <c:pt idx="19">
                  <c:v>0.477964134933088</c:v>
                </c:pt>
                <c:pt idx="20">
                  <c:v>0.480879557469515</c:v>
                </c:pt>
                <c:pt idx="21">
                  <c:v>0.495542658911346</c:v>
                </c:pt>
                <c:pt idx="22">
                  <c:v>0.505814331966092</c:v>
                </c:pt>
                <c:pt idx="23">
                  <c:v>0.4870658416274</c:v>
                </c:pt>
                <c:pt idx="24">
                  <c:v>0.498513811965941</c:v>
                </c:pt>
                <c:pt idx="25">
                  <c:v>0.483272479340078</c:v>
                </c:pt>
                <c:pt idx="26">
                  <c:v>0.470450083159639</c:v>
                </c:pt>
                <c:pt idx="27">
                  <c:v>0.465452575290987</c:v>
                </c:pt>
                <c:pt idx="28">
                  <c:v>0.465906480122524</c:v>
                </c:pt>
                <c:pt idx="29">
                  <c:v>0.459632761426074</c:v>
                </c:pt>
                <c:pt idx="30">
                  <c:v>0.458636892384671</c:v>
                </c:pt>
                <c:pt idx="31">
                  <c:v>0.47075118618093</c:v>
                </c:pt>
                <c:pt idx="32">
                  <c:v>0.466968091593366</c:v>
                </c:pt>
                <c:pt idx="33">
                  <c:v>0.486439434292699</c:v>
                </c:pt>
                <c:pt idx="34">
                  <c:v>0.485733255393387</c:v>
                </c:pt>
                <c:pt idx="35">
                  <c:v>0.478706100442263</c:v>
                </c:pt>
                <c:pt idx="36">
                  <c:v>0.472529997571485</c:v>
                </c:pt>
                <c:pt idx="37">
                  <c:v>0.46073666650023</c:v>
                </c:pt>
                <c:pt idx="38">
                  <c:v>0.471489685797358</c:v>
                </c:pt>
                <c:pt idx="39">
                  <c:v>0.46508544967924</c:v>
                </c:pt>
              </c:numCache>
            </c:numRef>
          </c:val>
          <c:smooth val="1"/>
        </c:ser>
        <c:ser>
          <c:idx val="1"/>
          <c:order val="1"/>
          <c:tx>
            <c:strRef>
              <c:f>"Call running mean"</c:f>
              <c:strCache>
                <c:ptCount val="1"/>
                <c:pt idx="0">
                  <c:v>Call running mean</c:v>
                </c:pt>
              </c:strCache>
            </c:strRef>
          </c:tx>
          <c:marker>
            <c:symbol val="none"/>
          </c:marker>
          <c:dLbls>
            <c:delete val="1"/>
          </c:dLbls>
          <c:cat>
            <c:numRef>
              <c:f>'Simulation Convergence'!$A$8:$A$47</c:f>
              <c:numCache>
                <c:formatCode>General</c:formatCode>
                <c:ptCount val="40"/>
                <c:pt idx="0">
                  <c:v>25</c:v>
                </c:pt>
                <c:pt idx="1">
                  <c:v>50</c:v>
                </c:pt>
                <c:pt idx="2">
                  <c:v>75</c:v>
                </c:pt>
                <c:pt idx="3">
                  <c:v>100</c:v>
                </c:pt>
                <c:pt idx="4">
                  <c:v>125</c:v>
                </c:pt>
                <c:pt idx="5">
                  <c:v>150</c:v>
                </c:pt>
                <c:pt idx="6">
                  <c:v>175</c:v>
                </c:pt>
                <c:pt idx="7">
                  <c:v>200</c:v>
                </c:pt>
                <c:pt idx="8">
                  <c:v>225</c:v>
                </c:pt>
                <c:pt idx="9">
                  <c:v>250</c:v>
                </c:pt>
                <c:pt idx="10">
                  <c:v>275</c:v>
                </c:pt>
                <c:pt idx="11">
                  <c:v>300</c:v>
                </c:pt>
                <c:pt idx="12">
                  <c:v>325</c:v>
                </c:pt>
                <c:pt idx="13">
                  <c:v>350</c:v>
                </c:pt>
                <c:pt idx="14">
                  <c:v>375</c:v>
                </c:pt>
                <c:pt idx="15">
                  <c:v>400</c:v>
                </c:pt>
                <c:pt idx="16">
                  <c:v>425</c:v>
                </c:pt>
                <c:pt idx="17">
                  <c:v>450</c:v>
                </c:pt>
                <c:pt idx="18">
                  <c:v>475</c:v>
                </c:pt>
                <c:pt idx="19">
                  <c:v>500</c:v>
                </c:pt>
                <c:pt idx="20">
                  <c:v>525</c:v>
                </c:pt>
                <c:pt idx="21">
                  <c:v>550</c:v>
                </c:pt>
                <c:pt idx="22">
                  <c:v>575</c:v>
                </c:pt>
                <c:pt idx="23">
                  <c:v>600</c:v>
                </c:pt>
                <c:pt idx="24">
                  <c:v>625</c:v>
                </c:pt>
                <c:pt idx="25">
                  <c:v>650</c:v>
                </c:pt>
                <c:pt idx="26">
                  <c:v>675</c:v>
                </c:pt>
                <c:pt idx="27">
                  <c:v>700</c:v>
                </c:pt>
                <c:pt idx="28">
                  <c:v>725</c:v>
                </c:pt>
                <c:pt idx="29">
                  <c:v>750</c:v>
                </c:pt>
                <c:pt idx="30">
                  <c:v>775</c:v>
                </c:pt>
                <c:pt idx="31">
                  <c:v>800</c:v>
                </c:pt>
                <c:pt idx="32">
                  <c:v>825</c:v>
                </c:pt>
                <c:pt idx="33">
                  <c:v>850</c:v>
                </c:pt>
                <c:pt idx="34">
                  <c:v>875</c:v>
                </c:pt>
                <c:pt idx="35">
                  <c:v>900</c:v>
                </c:pt>
                <c:pt idx="36">
                  <c:v>925</c:v>
                </c:pt>
                <c:pt idx="37">
                  <c:v>950</c:v>
                </c:pt>
                <c:pt idx="38">
                  <c:v>975</c:v>
                </c:pt>
                <c:pt idx="39">
                  <c:v>1000</c:v>
                </c:pt>
              </c:numCache>
            </c:numRef>
          </c:cat>
          <c:val>
            <c:numRef>
              <c:f>'Simulation Convergence'!$C$8:$C$47</c:f>
              <c:numCache>
                <c:formatCode>0.000</c:formatCode>
                <c:ptCount val="40"/>
                <c:pt idx="0">
                  <c:v>10.3446588102731</c:v>
                </c:pt>
                <c:pt idx="1">
                  <c:v>8.28417436116597</c:v>
                </c:pt>
                <c:pt idx="2">
                  <c:v>8.21053030063015</c:v>
                </c:pt>
                <c:pt idx="3">
                  <c:v>7.9190038385779</c:v>
                </c:pt>
                <c:pt idx="4">
                  <c:v>8.26257840191406</c:v>
                </c:pt>
                <c:pt idx="5">
                  <c:v>8.06937404226472</c:v>
                </c:pt>
                <c:pt idx="6">
                  <c:v>7.84083009743788</c:v>
                </c:pt>
                <c:pt idx="7">
                  <c:v>7.77887352131282</c:v>
                </c:pt>
                <c:pt idx="8">
                  <c:v>7.70414319734542</c:v>
                </c:pt>
                <c:pt idx="9">
                  <c:v>7.66153984112814</c:v>
                </c:pt>
                <c:pt idx="10">
                  <c:v>7.80786890639897</c:v>
                </c:pt>
                <c:pt idx="11">
                  <c:v>7.84664185025884</c:v>
                </c:pt>
                <c:pt idx="12">
                  <c:v>7.67843260555601</c:v>
                </c:pt>
                <c:pt idx="13">
                  <c:v>7.77607837714061</c:v>
                </c:pt>
                <c:pt idx="14">
                  <c:v>7.66157106347573</c:v>
                </c:pt>
                <c:pt idx="15">
                  <c:v>7.72336340663261</c:v>
                </c:pt>
                <c:pt idx="16">
                  <c:v>7.84443921481536</c:v>
                </c:pt>
                <c:pt idx="17">
                  <c:v>7.8040863259515</c:v>
                </c:pt>
                <c:pt idx="18">
                  <c:v>7.89151389631918</c:v>
                </c:pt>
                <c:pt idx="19">
                  <c:v>7.96849863466067</c:v>
                </c:pt>
                <c:pt idx="20">
                  <c:v>7.91933628846079</c:v>
                </c:pt>
                <c:pt idx="21">
                  <c:v>7.84700960098551</c:v>
                </c:pt>
                <c:pt idx="22">
                  <c:v>7.84251517537674</c:v>
                </c:pt>
                <c:pt idx="23">
                  <c:v>7.92036699456461</c:v>
                </c:pt>
                <c:pt idx="24">
                  <c:v>7.88950039624754</c:v>
                </c:pt>
                <c:pt idx="25">
                  <c:v>7.89879586693619</c:v>
                </c:pt>
                <c:pt idx="26">
                  <c:v>7.92969231737618</c:v>
                </c:pt>
                <c:pt idx="27">
                  <c:v>7.9046078616433</c:v>
                </c:pt>
                <c:pt idx="28">
                  <c:v>7.90339334349403</c:v>
                </c:pt>
                <c:pt idx="29">
                  <c:v>7.92317974436124</c:v>
                </c:pt>
                <c:pt idx="30">
                  <c:v>7.91607363559571</c:v>
                </c:pt>
                <c:pt idx="31">
                  <c:v>7.90789127183831</c:v>
                </c:pt>
                <c:pt idx="32">
                  <c:v>7.85015858139074</c:v>
                </c:pt>
                <c:pt idx="33">
                  <c:v>7.84007302899185</c:v>
                </c:pt>
                <c:pt idx="34">
                  <c:v>7.82459800077039</c:v>
                </c:pt>
                <c:pt idx="35">
                  <c:v>7.88596671273132</c:v>
                </c:pt>
                <c:pt idx="36">
                  <c:v>7.89389901086139</c:v>
                </c:pt>
                <c:pt idx="37">
                  <c:v>7.88583396676244</c:v>
                </c:pt>
                <c:pt idx="38">
                  <c:v>7.90094652539901</c:v>
                </c:pt>
                <c:pt idx="39">
                  <c:v>7.90934015967068</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3f9afdc-6462-431d-b310-c33cfbd84815}"/>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only"</c:f>
              <c:strCache>
                <c:ptCount val="1"/>
                <c:pt idx="0">
                  <c:v>Stock only</c:v>
                </c:pt>
              </c:strCache>
            </c:strRef>
          </c:tx>
          <c:marker>
            <c:symbol val="none"/>
          </c:marker>
          <c:dLbls>
            <c:delete val="1"/>
          </c:dLbls>
          <c:cat>
            <c:numRef>
              <c:f>'Simulation Convergence'!$E$8:$E$47</c:f>
              <c:numCache>
                <c:formatCode>General</c:formatCode>
                <c:ptCount val="40"/>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pt idx="16">
                  <c:v>850</c:v>
                </c:pt>
                <c:pt idx="17">
                  <c:v>900</c:v>
                </c:pt>
                <c:pt idx="18">
                  <c:v>950</c:v>
                </c:pt>
                <c:pt idx="19">
                  <c:v>1000</c:v>
                </c:pt>
                <c:pt idx="20">
                  <c:v>1050</c:v>
                </c:pt>
                <c:pt idx="21">
                  <c:v>1100</c:v>
                </c:pt>
                <c:pt idx="22">
                  <c:v>1150</c:v>
                </c:pt>
                <c:pt idx="23">
                  <c:v>1200</c:v>
                </c:pt>
                <c:pt idx="24">
                  <c:v>1250</c:v>
                </c:pt>
                <c:pt idx="25">
                  <c:v>1300</c:v>
                </c:pt>
                <c:pt idx="26">
                  <c:v>1350</c:v>
                </c:pt>
                <c:pt idx="27">
                  <c:v>1400</c:v>
                </c:pt>
                <c:pt idx="28">
                  <c:v>1450</c:v>
                </c:pt>
                <c:pt idx="29">
                  <c:v>1500</c:v>
                </c:pt>
                <c:pt idx="30">
                  <c:v>1550</c:v>
                </c:pt>
                <c:pt idx="31">
                  <c:v>1600</c:v>
                </c:pt>
                <c:pt idx="32">
                  <c:v>1650</c:v>
                </c:pt>
                <c:pt idx="33">
                  <c:v>1700</c:v>
                </c:pt>
                <c:pt idx="34">
                  <c:v>1750</c:v>
                </c:pt>
                <c:pt idx="35">
                  <c:v>1800</c:v>
                </c:pt>
                <c:pt idx="36">
                  <c:v>1850</c:v>
                </c:pt>
                <c:pt idx="37">
                  <c:v>1900</c:v>
                </c:pt>
                <c:pt idx="38">
                  <c:v>1950</c:v>
                </c:pt>
                <c:pt idx="39">
                  <c:v>2000</c:v>
                </c:pt>
              </c:numCache>
            </c:numRef>
          </c:cat>
          <c:val>
            <c:numRef>
              <c:f>'Simulation Convergence'!$F$8:$F$47</c:f>
              <c:numCache>
                <c:formatCode>0.000;[Red]\(0.000\);\-</c:formatCode>
                <c:ptCount val="40"/>
                <c:pt idx="0">
                  <c:v>7.06226938551721</c:v>
                </c:pt>
                <c:pt idx="1">
                  <c:v>4.85757110758156</c:v>
                </c:pt>
                <c:pt idx="2">
                  <c:v>5.04553826519644</c:v>
                </c:pt>
                <c:pt idx="3">
                  <c:v>4.97395453770752</c:v>
                </c:pt>
                <c:pt idx="4">
                  <c:v>4.7836661516619</c:v>
                </c:pt>
                <c:pt idx="5">
                  <c:v>4.55516498203295</c:v>
                </c:pt>
                <c:pt idx="6">
                  <c:v>4.29816539130662</c:v>
                </c:pt>
                <c:pt idx="7">
                  <c:v>4.31337850498696</c:v>
                </c:pt>
                <c:pt idx="8">
                  <c:v>4.19709511771422</c:v>
                </c:pt>
                <c:pt idx="9">
                  <c:v>4.13303558252893</c:v>
                </c:pt>
                <c:pt idx="10">
                  <c:v>3.98611353056822</c:v>
                </c:pt>
                <c:pt idx="11">
                  <c:v>4.05014486369565</c:v>
                </c:pt>
                <c:pt idx="12">
                  <c:v>4.10230068257612</c:v>
                </c:pt>
                <c:pt idx="13">
                  <c:v>4.02688676510598</c:v>
                </c:pt>
                <c:pt idx="14">
                  <c:v>4.07659421874383</c:v>
                </c:pt>
                <c:pt idx="15">
                  <c:v>4.15062449892224</c:v>
                </c:pt>
                <c:pt idx="16">
                  <c:v>4.03874293516252</c:v>
                </c:pt>
                <c:pt idx="17">
                  <c:v>4.0363519607852</c:v>
                </c:pt>
                <c:pt idx="18">
                  <c:v>4.06874995832704</c:v>
                </c:pt>
                <c:pt idx="19">
                  <c:v>4.05244148123077</c:v>
                </c:pt>
                <c:pt idx="20">
                  <c:v>4.06542058249022</c:v>
                </c:pt>
                <c:pt idx="21">
                  <c:v>4.08199734542187</c:v>
                </c:pt>
                <c:pt idx="22">
                  <c:v>4.05692593238303</c:v>
                </c:pt>
                <c:pt idx="23">
                  <c:v>4.12029225045421</c:v>
                </c:pt>
                <c:pt idx="24">
                  <c:v>4.02298782716167</c:v>
                </c:pt>
                <c:pt idx="25">
                  <c:v>4.08885290359585</c:v>
                </c:pt>
                <c:pt idx="26">
                  <c:v>4.01824286774484</c:v>
                </c:pt>
                <c:pt idx="27">
                  <c:v>3.94864305794163</c:v>
                </c:pt>
                <c:pt idx="28">
                  <c:v>3.95229623164809</c:v>
                </c:pt>
                <c:pt idx="29">
                  <c:v>3.91779134606327</c:v>
                </c:pt>
                <c:pt idx="30">
                  <c:v>3.93760352414019</c:v>
                </c:pt>
                <c:pt idx="31">
                  <c:v>3.88610547046997</c:v>
                </c:pt>
                <c:pt idx="32">
                  <c:v>3.9130115239926</c:v>
                </c:pt>
                <c:pt idx="33">
                  <c:v>3.89892047869851</c:v>
                </c:pt>
                <c:pt idx="34">
                  <c:v>3.83616546472907</c:v>
                </c:pt>
                <c:pt idx="35">
                  <c:v>3.81678919752849</c:v>
                </c:pt>
                <c:pt idx="36">
                  <c:v>3.83584344976307</c:v>
                </c:pt>
                <c:pt idx="37">
                  <c:v>3.78275153534568</c:v>
                </c:pt>
                <c:pt idx="38">
                  <c:v>3.77458600401333</c:v>
                </c:pt>
                <c:pt idx="39">
                  <c:v>3.82246301647926</c:v>
                </c:pt>
              </c:numCache>
            </c:numRef>
          </c:val>
          <c:smooth val="1"/>
        </c:ser>
        <c:ser>
          <c:idx val="1"/>
          <c:order val="1"/>
          <c:tx>
            <c:strRef>
              <c:f>"Stock + put"</c:f>
              <c:strCache>
                <c:ptCount val="1"/>
                <c:pt idx="0">
                  <c:v>Stock + put</c:v>
                </c:pt>
              </c:strCache>
            </c:strRef>
          </c:tx>
          <c:marker>
            <c:symbol val="none"/>
          </c:marker>
          <c:dLbls>
            <c:delete val="1"/>
          </c:dLbls>
          <c:cat>
            <c:numRef>
              <c:f>'Simulation Convergence'!$E$8:$E$47</c:f>
              <c:numCache>
                <c:formatCode>General</c:formatCode>
                <c:ptCount val="40"/>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pt idx="16">
                  <c:v>850</c:v>
                </c:pt>
                <c:pt idx="17">
                  <c:v>900</c:v>
                </c:pt>
                <c:pt idx="18">
                  <c:v>950</c:v>
                </c:pt>
                <c:pt idx="19">
                  <c:v>1000</c:v>
                </c:pt>
                <c:pt idx="20">
                  <c:v>1050</c:v>
                </c:pt>
                <c:pt idx="21">
                  <c:v>1100</c:v>
                </c:pt>
                <c:pt idx="22">
                  <c:v>1150</c:v>
                </c:pt>
                <c:pt idx="23">
                  <c:v>1200</c:v>
                </c:pt>
                <c:pt idx="24">
                  <c:v>1250</c:v>
                </c:pt>
                <c:pt idx="25">
                  <c:v>1300</c:v>
                </c:pt>
                <c:pt idx="26">
                  <c:v>1350</c:v>
                </c:pt>
                <c:pt idx="27">
                  <c:v>1400</c:v>
                </c:pt>
                <c:pt idx="28">
                  <c:v>1450</c:v>
                </c:pt>
                <c:pt idx="29">
                  <c:v>1500</c:v>
                </c:pt>
                <c:pt idx="30">
                  <c:v>1550</c:v>
                </c:pt>
                <c:pt idx="31">
                  <c:v>1600</c:v>
                </c:pt>
                <c:pt idx="32">
                  <c:v>1650</c:v>
                </c:pt>
                <c:pt idx="33">
                  <c:v>1700</c:v>
                </c:pt>
                <c:pt idx="34">
                  <c:v>1750</c:v>
                </c:pt>
                <c:pt idx="35">
                  <c:v>1800</c:v>
                </c:pt>
                <c:pt idx="36">
                  <c:v>1850</c:v>
                </c:pt>
                <c:pt idx="37">
                  <c:v>1900</c:v>
                </c:pt>
                <c:pt idx="38">
                  <c:v>1950</c:v>
                </c:pt>
                <c:pt idx="39">
                  <c:v>2000</c:v>
                </c:pt>
              </c:numCache>
            </c:numRef>
          </c:cat>
          <c:val>
            <c:numRef>
              <c:f>'Simulation Convergence'!$G$8:$G$47</c:f>
              <c:numCache>
                <c:formatCode>0.000;[Red]\(0.000\);\-</c:formatCode>
                <c:ptCount val="40"/>
                <c:pt idx="0">
                  <c:v>6.58822773624432</c:v>
                </c:pt>
                <c:pt idx="1">
                  <c:v>4.84326460320726</c:v>
                </c:pt>
                <c:pt idx="2">
                  <c:v>5.01175413229047</c:v>
                </c:pt>
                <c:pt idx="3">
                  <c:v>4.9787086668512</c:v>
                </c:pt>
                <c:pt idx="4">
                  <c:v>4.70150183627579</c:v>
                </c:pt>
                <c:pt idx="5">
                  <c:v>4.56628792348593</c:v>
                </c:pt>
                <c:pt idx="6">
                  <c:v>4.48533599524837</c:v>
                </c:pt>
                <c:pt idx="7">
                  <c:v>4.5202489589217</c:v>
                </c:pt>
                <c:pt idx="8">
                  <c:v>4.43612341775083</c:v>
                </c:pt>
                <c:pt idx="9">
                  <c:v>4.39041894248577</c:v>
                </c:pt>
                <c:pt idx="10">
                  <c:v>4.31313712585546</c:v>
                </c:pt>
                <c:pt idx="11">
                  <c:v>4.35471327046033</c:v>
                </c:pt>
                <c:pt idx="12">
                  <c:v>4.41387603784042</c:v>
                </c:pt>
                <c:pt idx="13">
                  <c:v>4.34293904771924</c:v>
                </c:pt>
                <c:pt idx="14">
                  <c:v>4.3692169259642</c:v>
                </c:pt>
                <c:pt idx="15">
                  <c:v>4.4211583069976</c:v>
                </c:pt>
                <c:pt idx="16">
                  <c:v>4.33770563913791</c:v>
                </c:pt>
                <c:pt idx="17">
                  <c:v>4.33831130357979</c:v>
                </c:pt>
                <c:pt idx="18">
                  <c:v>4.36125700241639</c:v>
                </c:pt>
                <c:pt idx="19">
                  <c:v>4.35914182086153</c:v>
                </c:pt>
                <c:pt idx="20">
                  <c:v>4.35788348673091</c:v>
                </c:pt>
                <c:pt idx="21">
                  <c:v>4.3843955831707</c:v>
                </c:pt>
                <c:pt idx="22">
                  <c:v>4.3621505105476</c:v>
                </c:pt>
                <c:pt idx="23">
                  <c:v>4.41678076811957</c:v>
                </c:pt>
                <c:pt idx="24">
                  <c:v>4.34267861614116</c:v>
                </c:pt>
                <c:pt idx="25">
                  <c:v>4.40735157107812</c:v>
                </c:pt>
                <c:pt idx="26">
                  <c:v>4.36125884867164</c:v>
                </c:pt>
                <c:pt idx="27">
                  <c:v>4.32057969263611</c:v>
                </c:pt>
                <c:pt idx="28">
                  <c:v>4.31405383444656</c:v>
                </c:pt>
                <c:pt idx="29">
                  <c:v>4.2787468711553</c:v>
                </c:pt>
                <c:pt idx="30">
                  <c:v>4.28544763267492</c:v>
                </c:pt>
                <c:pt idx="31">
                  <c:v>4.25769147942133</c:v>
                </c:pt>
                <c:pt idx="32">
                  <c:v>4.28070481412073</c:v>
                </c:pt>
                <c:pt idx="33">
                  <c:v>4.26061954685177</c:v>
                </c:pt>
                <c:pt idx="34">
                  <c:v>4.23515992890798</c:v>
                </c:pt>
                <c:pt idx="35">
                  <c:v>4.21525933526164</c:v>
                </c:pt>
                <c:pt idx="36">
                  <c:v>4.22565480918652</c:v>
                </c:pt>
                <c:pt idx="37">
                  <c:v>4.17410143387768</c:v>
                </c:pt>
                <c:pt idx="38">
                  <c:v>4.16667633740478</c:v>
                </c:pt>
                <c:pt idx="39">
                  <c:v>4.20168080529216</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Red]\(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cec806-f7d6-4a87-b332-59987c8e246a}"/>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806450</xdr:colOff>
      <xdr:row>1</xdr:row>
      <xdr:rowOff>88900</xdr:rowOff>
    </xdr:from>
    <xdr:to>
      <xdr:col>16</xdr:col>
      <xdr:colOff>425450</xdr:colOff>
      <xdr:row>14</xdr:row>
      <xdr:rowOff>190500</xdr:rowOff>
    </xdr:to>
    <xdr:graphicFrame>
      <xdr:nvGraphicFramePr>
        <xdr:cNvPr id="2" name="Chart"/>
        <xdr:cNvGraphicFramePr/>
      </xdr:nvGraphicFramePr>
      <xdr:xfrm>
        <a:off x="12033250" y="622300"/>
        <a:ext cx="5318760" cy="3042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23</xdr:row>
      <xdr:rowOff>0</xdr:rowOff>
    </xdr:from>
    <xdr:to>
      <xdr:col>35</xdr:col>
      <xdr:colOff>0</xdr:colOff>
      <xdr:row>33</xdr:row>
      <xdr:rowOff>0</xdr:rowOff>
    </xdr:to>
    <xdr:graphicFrame>
      <xdr:nvGraphicFramePr>
        <xdr:cNvPr id="3" name="Chart"/>
        <xdr:cNvGraphicFramePr/>
      </xdr:nvGraphicFramePr>
      <xdr:xfrm>
        <a:off x="30744160" y="5486400"/>
        <a:ext cx="7340600" cy="2235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34</xdr:row>
      <xdr:rowOff>0</xdr:rowOff>
    </xdr:from>
    <xdr:to>
      <xdr:col>35</xdr:col>
      <xdr:colOff>0</xdr:colOff>
      <xdr:row>44</xdr:row>
      <xdr:rowOff>0</xdr:rowOff>
    </xdr:to>
    <xdr:graphicFrame>
      <xdr:nvGraphicFramePr>
        <xdr:cNvPr id="4" name="Chart"/>
        <xdr:cNvGraphicFramePr/>
      </xdr:nvGraphicFramePr>
      <xdr:xfrm>
        <a:off x="30744160" y="7945120"/>
        <a:ext cx="7340600" cy="2235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165100</xdr:colOff>
      <xdr:row>23</xdr:row>
      <xdr:rowOff>0</xdr:rowOff>
    </xdr:from>
    <xdr:to>
      <xdr:col>20</xdr:col>
      <xdr:colOff>165100</xdr:colOff>
      <xdr:row>33</xdr:row>
      <xdr:rowOff>0</xdr:rowOff>
    </xdr:to>
    <xdr:graphicFrame>
      <xdr:nvGraphicFramePr>
        <xdr:cNvPr id="2" name="Chart"/>
        <xdr:cNvGraphicFramePr/>
      </xdr:nvGraphicFramePr>
      <xdr:xfrm>
        <a:off x="15796260" y="5567680"/>
        <a:ext cx="6995160" cy="2235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203200</xdr:colOff>
      <xdr:row>18</xdr:row>
      <xdr:rowOff>63500</xdr:rowOff>
    </xdr:from>
    <xdr:to>
      <xdr:col>26</xdr:col>
      <xdr:colOff>203200</xdr:colOff>
      <xdr:row>28</xdr:row>
      <xdr:rowOff>63500</xdr:rowOff>
    </xdr:to>
    <xdr:graphicFrame>
      <xdr:nvGraphicFramePr>
        <xdr:cNvPr id="3" name="Chart"/>
        <xdr:cNvGraphicFramePr/>
      </xdr:nvGraphicFramePr>
      <xdr:xfrm>
        <a:off x="22829520" y="4513580"/>
        <a:ext cx="6908800" cy="2235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69850</xdr:colOff>
      <xdr:row>8</xdr:row>
      <xdr:rowOff>25400</xdr:rowOff>
    </xdr:from>
    <xdr:to>
      <xdr:col>35</xdr:col>
      <xdr:colOff>501650</xdr:colOff>
      <xdr:row>21</xdr:row>
      <xdr:rowOff>127000</xdr:rowOff>
    </xdr:to>
    <xdr:graphicFrame>
      <xdr:nvGraphicFramePr>
        <xdr:cNvPr id="4" name="Chart"/>
        <xdr:cNvGraphicFramePr/>
      </xdr:nvGraphicFramePr>
      <xdr:xfrm>
        <a:off x="34613850" y="2235200"/>
        <a:ext cx="5699760" cy="3012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11</xdr:col>
      <xdr:colOff>0</xdr:colOff>
      <xdr:row>2</xdr:row>
      <xdr:rowOff>0</xdr:rowOff>
    </xdr:from>
    <xdr:to>
      <xdr:col>19</xdr:col>
      <xdr:colOff>0</xdr:colOff>
      <xdr:row>17</xdr:row>
      <xdr:rowOff>0</xdr:rowOff>
    </xdr:to>
    <xdr:graphicFrame>
      <xdr:nvGraphicFramePr>
        <xdr:cNvPr id="2" name="Chart"/>
        <xdr:cNvGraphicFramePr/>
      </xdr:nvGraphicFramePr>
      <xdr:xfrm>
        <a:off x="14767560" y="553720"/>
        <a:ext cx="6217920" cy="335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18</xdr:row>
      <xdr:rowOff>0</xdr:rowOff>
    </xdr:from>
    <xdr:to>
      <xdr:col>19</xdr:col>
      <xdr:colOff>0</xdr:colOff>
      <xdr:row>34</xdr:row>
      <xdr:rowOff>0</xdr:rowOff>
    </xdr:to>
    <xdr:graphicFrame>
      <xdr:nvGraphicFramePr>
        <xdr:cNvPr id="3" name="Chart"/>
        <xdr:cNvGraphicFramePr/>
      </xdr:nvGraphicFramePr>
      <xdr:xfrm>
        <a:off x="14767560" y="4130040"/>
        <a:ext cx="6217920" cy="3576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2</xdr:row>
      <xdr:rowOff>0</xdr:rowOff>
    </xdr:from>
    <xdr:to>
      <xdr:col>16</xdr:col>
      <xdr:colOff>0</xdr:colOff>
      <xdr:row>18</xdr:row>
      <xdr:rowOff>0</xdr:rowOff>
    </xdr:to>
    <xdr:graphicFrame>
      <xdr:nvGraphicFramePr>
        <xdr:cNvPr id="2" name="Chart"/>
        <xdr:cNvGraphicFramePr/>
      </xdr:nvGraphicFramePr>
      <xdr:xfrm>
        <a:off x="14076680" y="553720"/>
        <a:ext cx="6217920" cy="357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19</xdr:row>
      <xdr:rowOff>0</xdr:rowOff>
    </xdr:from>
    <xdr:to>
      <xdr:col>16</xdr:col>
      <xdr:colOff>0</xdr:colOff>
      <xdr:row>35</xdr:row>
      <xdr:rowOff>0</xdr:rowOff>
    </xdr:to>
    <xdr:graphicFrame>
      <xdr:nvGraphicFramePr>
        <xdr:cNvPr id="3" name="Chart"/>
        <xdr:cNvGraphicFramePr/>
      </xdr:nvGraphicFramePr>
      <xdr:xfrm>
        <a:off x="14076680" y="4353560"/>
        <a:ext cx="6217920" cy="3576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tabSelected="1" zoomScale="121" zoomScaleNormal="121" workbookViewId="0">
      <selection activeCell="A4" sqref="A4:H7"/>
    </sheetView>
  </sheetViews>
  <sheetFormatPr defaultColWidth="9" defaultRowHeight="17.6"/>
  <cols>
    <col min="1" max="1" width="24" customWidth="1"/>
    <col min="2" max="2" width="28" customWidth="1"/>
    <col min="3" max="3" width="24" customWidth="1"/>
    <col min="4" max="4" width="16" customWidth="1"/>
    <col min="5" max="8" width="12" customWidth="1"/>
  </cols>
  <sheetData>
    <row r="1" ht="30" customHeight="1" spans="1:10">
      <c r="A1" s="1" t="s">
        <v>0</v>
      </c>
      <c r="B1" s="1"/>
      <c r="C1" s="1"/>
      <c r="D1" s="1"/>
      <c r="E1" s="1"/>
      <c r="F1" s="1"/>
      <c r="G1" s="1"/>
      <c r="H1" s="1"/>
      <c r="I1" s="2"/>
      <c r="J1" s="2"/>
    </row>
    <row r="2" spans="1:10">
      <c r="A2" s="2"/>
      <c r="B2" s="2"/>
      <c r="C2" s="2"/>
      <c r="D2" s="2"/>
      <c r="E2" s="2"/>
      <c r="F2" s="2"/>
      <c r="G2" s="2"/>
      <c r="H2" s="2"/>
      <c r="I2" s="2"/>
      <c r="J2" s="2"/>
    </row>
    <row r="3" spans="1:10">
      <c r="A3" s="4" t="s">
        <v>1</v>
      </c>
      <c r="B3" s="4"/>
      <c r="C3" s="4"/>
      <c r="D3" s="4"/>
      <c r="E3" s="4"/>
      <c r="F3" s="4"/>
      <c r="G3" s="4"/>
      <c r="H3" s="4"/>
      <c r="I3" s="2"/>
      <c r="J3" s="2"/>
    </row>
    <row r="4" spans="1:10">
      <c r="A4" s="53" t="s">
        <v>2</v>
      </c>
      <c r="B4" s="53"/>
      <c r="C4" s="53"/>
      <c r="D4" s="53"/>
      <c r="E4" s="53"/>
      <c r="F4" s="53"/>
      <c r="G4" s="53"/>
      <c r="H4" s="53"/>
      <c r="I4" s="2"/>
      <c r="J4" s="2"/>
    </row>
    <row r="5" spans="1:10">
      <c r="A5" s="53"/>
      <c r="B5" s="53"/>
      <c r="C5" s="53"/>
      <c r="D5" s="53"/>
      <c r="E5" s="53"/>
      <c r="F5" s="53"/>
      <c r="G5" s="53"/>
      <c r="H5" s="53"/>
      <c r="I5" s="2"/>
      <c r="J5" s="2"/>
    </row>
    <row r="6" spans="1:10">
      <c r="A6" s="53"/>
      <c r="B6" s="53"/>
      <c r="C6" s="53"/>
      <c r="D6" s="53"/>
      <c r="E6" s="53"/>
      <c r="F6" s="53"/>
      <c r="G6" s="53"/>
      <c r="H6" s="53"/>
      <c r="I6" s="2"/>
      <c r="J6" s="2"/>
    </row>
    <row r="7" spans="1:10">
      <c r="A7" s="53"/>
      <c r="B7" s="53"/>
      <c r="C7" s="53"/>
      <c r="D7" s="53"/>
      <c r="E7" s="53"/>
      <c r="F7" s="53"/>
      <c r="G7" s="53"/>
      <c r="H7" s="53"/>
      <c r="I7" s="2"/>
      <c r="J7" s="2"/>
    </row>
    <row r="8" spans="1:10">
      <c r="A8" s="2"/>
      <c r="B8" s="2"/>
      <c r="C8" s="2"/>
      <c r="D8" s="2"/>
      <c r="E8" s="2"/>
      <c r="F8" s="2"/>
      <c r="G8" s="2"/>
      <c r="H8" s="2"/>
      <c r="I8" s="2"/>
      <c r="J8" s="2"/>
    </row>
    <row r="9" spans="1:10">
      <c r="A9" s="54" t="s">
        <v>3</v>
      </c>
      <c r="B9" s="54"/>
      <c r="C9" s="54"/>
      <c r="D9" s="54"/>
      <c r="E9" s="54"/>
      <c r="F9" s="54"/>
      <c r="G9" s="54"/>
      <c r="H9" s="54"/>
      <c r="I9" s="2"/>
      <c r="J9" s="2"/>
    </row>
    <row r="10" spans="1:10">
      <c r="A10" s="3" t="s">
        <v>4</v>
      </c>
      <c r="B10" s="3"/>
      <c r="C10" s="3"/>
      <c r="D10" s="3"/>
      <c r="E10" s="3"/>
      <c r="F10" s="3"/>
      <c r="G10" s="3"/>
      <c r="H10" s="3"/>
      <c r="I10" s="2"/>
      <c r="J10" s="2"/>
    </row>
    <row r="11" spans="1:10">
      <c r="A11" s="3"/>
      <c r="B11" s="3"/>
      <c r="C11" s="3"/>
      <c r="D11" s="3"/>
      <c r="E11" s="3"/>
      <c r="F11" s="3"/>
      <c r="G11" s="3"/>
      <c r="H11" s="3"/>
      <c r="I11" s="2"/>
      <c r="J11" s="2"/>
    </row>
    <row r="12" spans="1:10">
      <c r="A12" s="3"/>
      <c r="B12" s="3"/>
      <c r="C12" s="3"/>
      <c r="D12" s="3"/>
      <c r="E12" s="3"/>
      <c r="F12" s="3"/>
      <c r="G12" s="3"/>
      <c r="H12" s="3"/>
      <c r="I12" s="2"/>
      <c r="J12" s="2"/>
    </row>
    <row r="13" spans="1:10">
      <c r="A13" s="2"/>
      <c r="B13" s="2"/>
      <c r="C13" s="2"/>
      <c r="D13" s="2"/>
      <c r="E13" s="2"/>
      <c r="F13" s="2"/>
      <c r="G13" s="2"/>
      <c r="H13" s="2"/>
      <c r="I13" s="2"/>
      <c r="J13" s="2"/>
    </row>
    <row r="14" spans="1:10">
      <c r="A14" s="54" t="s">
        <v>5</v>
      </c>
      <c r="B14" s="54"/>
      <c r="C14" s="54"/>
      <c r="D14" s="54"/>
      <c r="E14" s="54"/>
      <c r="F14" s="54"/>
      <c r="G14" s="54"/>
      <c r="H14" s="54"/>
      <c r="I14" s="2"/>
      <c r="J14" s="2"/>
    </row>
    <row r="15" spans="1:10">
      <c r="A15" s="55" t="s">
        <v>6</v>
      </c>
      <c r="B15" s="55" t="s">
        <v>7</v>
      </c>
      <c r="C15" s="55" t="s">
        <v>7</v>
      </c>
      <c r="D15" s="55" t="s">
        <v>7</v>
      </c>
      <c r="E15" s="55" t="s">
        <v>7</v>
      </c>
      <c r="F15" s="55" t="s">
        <v>7</v>
      </c>
      <c r="G15" s="55" t="s">
        <v>7</v>
      </c>
      <c r="H15" s="55" t="s">
        <v>7</v>
      </c>
      <c r="I15" s="2"/>
      <c r="J15" s="2"/>
    </row>
    <row r="16" spans="1:10">
      <c r="A16" s="3" t="s">
        <v>8</v>
      </c>
      <c r="B16" s="3" t="s">
        <v>7</v>
      </c>
      <c r="C16" s="3" t="s">
        <v>7</v>
      </c>
      <c r="D16" s="3" t="s">
        <v>7</v>
      </c>
      <c r="E16" s="3" t="s">
        <v>7</v>
      </c>
      <c r="F16" s="3" t="s">
        <v>7</v>
      </c>
      <c r="G16" s="3" t="s">
        <v>7</v>
      </c>
      <c r="H16" s="3" t="s">
        <v>7</v>
      </c>
      <c r="I16" s="2"/>
      <c r="J16" s="2"/>
    </row>
    <row r="17" spans="1:10">
      <c r="A17" s="55" t="s">
        <v>9</v>
      </c>
      <c r="B17" s="55" t="s">
        <v>7</v>
      </c>
      <c r="C17" s="55" t="s">
        <v>7</v>
      </c>
      <c r="D17" s="55" t="s">
        <v>7</v>
      </c>
      <c r="E17" s="55" t="s">
        <v>7</v>
      </c>
      <c r="F17" s="55" t="s">
        <v>7</v>
      </c>
      <c r="G17" s="55" t="s">
        <v>7</v>
      </c>
      <c r="H17" s="55" t="s">
        <v>7</v>
      </c>
      <c r="I17" s="2"/>
      <c r="J17" s="2"/>
    </row>
    <row r="18" spans="1:10">
      <c r="A18" s="3" t="s">
        <v>10</v>
      </c>
      <c r="B18" s="3" t="s">
        <v>7</v>
      </c>
      <c r="C18" s="3" t="s">
        <v>7</v>
      </c>
      <c r="D18" s="3" t="s">
        <v>7</v>
      </c>
      <c r="E18" s="3" t="s">
        <v>7</v>
      </c>
      <c r="F18" s="3" t="s">
        <v>7</v>
      </c>
      <c r="G18" s="3" t="s">
        <v>7</v>
      </c>
      <c r="H18" s="3" t="s">
        <v>7</v>
      </c>
      <c r="I18" s="2"/>
      <c r="J18" s="2"/>
    </row>
    <row r="19" spans="1:10">
      <c r="A19" s="55" t="s">
        <v>11</v>
      </c>
      <c r="B19" s="55" t="s">
        <v>7</v>
      </c>
      <c r="C19" s="55" t="s">
        <v>7</v>
      </c>
      <c r="D19" s="55" t="s">
        <v>7</v>
      </c>
      <c r="E19" s="55" t="s">
        <v>7</v>
      </c>
      <c r="F19" s="55" t="s">
        <v>7</v>
      </c>
      <c r="G19" s="55" t="s">
        <v>7</v>
      </c>
      <c r="H19" s="55" t="s">
        <v>7</v>
      </c>
      <c r="I19" s="2"/>
      <c r="J19" s="2"/>
    </row>
    <row r="20" spans="1:10">
      <c r="A20" s="3" t="s">
        <v>12</v>
      </c>
      <c r="B20" s="3"/>
      <c r="C20" s="3"/>
      <c r="D20" s="3"/>
      <c r="E20" s="3"/>
      <c r="F20" s="3"/>
      <c r="G20" s="3"/>
      <c r="H20" s="3"/>
      <c r="I20" s="2"/>
      <c r="J20" s="2"/>
    </row>
    <row r="21" spans="1:10">
      <c r="A21" s="54" t="s">
        <v>13</v>
      </c>
      <c r="B21" s="54"/>
      <c r="C21" s="54"/>
      <c r="D21" s="54"/>
      <c r="E21" s="54"/>
      <c r="F21" s="54"/>
      <c r="G21" s="54"/>
      <c r="H21" s="54"/>
      <c r="I21" s="2"/>
      <c r="J21" s="2"/>
    </row>
    <row r="22" spans="1:10">
      <c r="A22" s="4" t="s">
        <v>14</v>
      </c>
      <c r="B22" s="4" t="s">
        <v>15</v>
      </c>
      <c r="C22" s="4" t="s">
        <v>16</v>
      </c>
      <c r="D22" s="4" t="s">
        <v>15</v>
      </c>
      <c r="E22" s="2"/>
      <c r="F22" s="2"/>
      <c r="G22" s="2"/>
      <c r="H22" s="2"/>
      <c r="I22" s="2"/>
      <c r="J22" s="2"/>
    </row>
    <row r="23" spans="1:10">
      <c r="A23" s="2" t="s">
        <v>17</v>
      </c>
      <c r="B23" s="56">
        <f>Pricing_Asian_Options!D1</f>
        <v>100</v>
      </c>
      <c r="C23" s="2" t="s">
        <v>17</v>
      </c>
      <c r="D23" s="56">
        <f>Hedging!D1</f>
        <v>100</v>
      </c>
      <c r="E23" s="2"/>
      <c r="F23" s="2"/>
      <c r="G23" s="2"/>
      <c r="H23" s="2"/>
      <c r="I23" s="2"/>
      <c r="J23" s="2"/>
    </row>
    <row r="24" spans="1:10">
      <c r="A24" s="2" t="s">
        <v>18</v>
      </c>
      <c r="B24" s="56">
        <f>Pricing_Asian_Options!D2</f>
        <v>0.08</v>
      </c>
      <c r="C24" s="2" t="s">
        <v>18</v>
      </c>
      <c r="D24" s="56">
        <f>Hedging!D2</f>
        <v>0.08</v>
      </c>
      <c r="E24" s="2"/>
      <c r="F24" s="2"/>
      <c r="G24" s="2"/>
      <c r="H24" s="2"/>
      <c r="I24" s="2"/>
      <c r="J24" s="2"/>
    </row>
    <row r="25" spans="1:10">
      <c r="A25" s="2" t="s">
        <v>19</v>
      </c>
      <c r="B25" s="56">
        <f>Pricing_Asian_Options!D3</f>
        <v>0.12</v>
      </c>
      <c r="C25" s="2" t="s">
        <v>19</v>
      </c>
      <c r="D25" s="56">
        <f>Hedging!D3</f>
        <v>0.12</v>
      </c>
      <c r="E25" s="2"/>
      <c r="F25" s="2"/>
      <c r="G25" s="2"/>
      <c r="H25" s="2"/>
      <c r="I25" s="2"/>
      <c r="J25" s="2"/>
    </row>
    <row r="26" spans="1:10">
      <c r="A26" s="2" t="s">
        <v>20</v>
      </c>
      <c r="B26" s="56">
        <f>Pricing_Asian_Options!D4</f>
        <v>97</v>
      </c>
      <c r="C26" s="2" t="s">
        <v>20</v>
      </c>
      <c r="D26" s="56">
        <f>Hedging!D4</f>
        <v>97</v>
      </c>
      <c r="E26" s="2"/>
      <c r="F26" s="2"/>
      <c r="G26" s="2"/>
      <c r="H26" s="2"/>
      <c r="I26" s="2"/>
      <c r="J26" s="2"/>
    </row>
    <row r="27" spans="1:10">
      <c r="A27" s="2" t="s">
        <v>21</v>
      </c>
      <c r="B27" s="56">
        <f>Pricing_Asian_Options!D8</f>
        <v>1000</v>
      </c>
      <c r="C27" s="2" t="s">
        <v>21</v>
      </c>
      <c r="D27" s="56">
        <f>Hedging!D8</f>
        <v>2000</v>
      </c>
      <c r="E27" s="2"/>
      <c r="F27" s="2"/>
      <c r="G27" s="2"/>
      <c r="H27" s="2"/>
      <c r="I27" s="2"/>
      <c r="J27" s="2"/>
    </row>
    <row r="28" spans="1:10">
      <c r="A28" s="2"/>
      <c r="B28" s="2"/>
      <c r="C28" s="2"/>
      <c r="D28" s="2"/>
      <c r="E28" s="2"/>
      <c r="F28" s="2"/>
      <c r="G28" s="2"/>
      <c r="H28" s="2"/>
      <c r="I28" s="2"/>
      <c r="J28" s="2"/>
    </row>
    <row r="29" spans="1:10">
      <c r="A29" s="54" t="s">
        <v>22</v>
      </c>
      <c r="B29" s="54"/>
      <c r="C29" s="54"/>
      <c r="D29" s="54"/>
      <c r="E29" s="54"/>
      <c r="F29" s="54"/>
      <c r="G29" s="54"/>
      <c r="H29" s="54"/>
      <c r="I29" s="2"/>
      <c r="J29" s="2"/>
    </row>
    <row r="30" ht="18" spans="1:10">
      <c r="A30" s="57" t="s">
        <v>23</v>
      </c>
      <c r="B30" s="3" t="s">
        <v>24</v>
      </c>
      <c r="C30" s="3" t="s">
        <v>7</v>
      </c>
      <c r="D30" s="3" t="s">
        <v>7</v>
      </c>
      <c r="E30" s="3" t="s">
        <v>7</v>
      </c>
      <c r="F30" s="3" t="s">
        <v>7</v>
      </c>
      <c r="G30" s="3" t="s">
        <v>7</v>
      </c>
      <c r="H30" s="3" t="s">
        <v>7</v>
      </c>
      <c r="I30" s="2"/>
      <c r="J30" s="2"/>
    </row>
    <row r="31" ht="18" spans="1:10">
      <c r="A31" s="57" t="s">
        <v>25</v>
      </c>
      <c r="B31" s="3" t="s">
        <v>26</v>
      </c>
      <c r="C31" s="3" t="s">
        <v>7</v>
      </c>
      <c r="D31" s="3" t="s">
        <v>7</v>
      </c>
      <c r="E31" s="3" t="s">
        <v>7</v>
      </c>
      <c r="F31" s="3" t="s">
        <v>7</v>
      </c>
      <c r="G31" s="3" t="s">
        <v>7</v>
      </c>
      <c r="H31" s="3" t="s">
        <v>7</v>
      </c>
      <c r="I31" s="2"/>
      <c r="J31" s="2"/>
    </row>
    <row r="32" ht="18" spans="1:10">
      <c r="A32" s="57" t="s">
        <v>27</v>
      </c>
      <c r="B32" s="3" t="s">
        <v>28</v>
      </c>
      <c r="C32" s="3" t="s">
        <v>7</v>
      </c>
      <c r="D32" s="3" t="s">
        <v>7</v>
      </c>
      <c r="E32" s="3" t="s">
        <v>7</v>
      </c>
      <c r="F32" s="3" t="s">
        <v>7</v>
      </c>
      <c r="G32" s="3" t="s">
        <v>7</v>
      </c>
      <c r="H32" s="3" t="s">
        <v>7</v>
      </c>
      <c r="I32" s="2"/>
      <c r="J32" s="2"/>
    </row>
    <row r="33" ht="18" spans="1:10">
      <c r="A33" s="57" t="s">
        <v>29</v>
      </c>
      <c r="B33" s="3" t="s">
        <v>30</v>
      </c>
      <c r="C33" s="3" t="s">
        <v>7</v>
      </c>
      <c r="D33" s="3" t="s">
        <v>7</v>
      </c>
      <c r="E33" s="3" t="s">
        <v>7</v>
      </c>
      <c r="F33" s="3" t="s">
        <v>7</v>
      </c>
      <c r="G33" s="3" t="s">
        <v>7</v>
      </c>
      <c r="H33" s="3" t="s">
        <v>7</v>
      </c>
      <c r="I33" s="2"/>
      <c r="J33" s="2"/>
    </row>
    <row r="34" ht="18" spans="1:10">
      <c r="A34" s="57" t="s">
        <v>31</v>
      </c>
      <c r="B34" s="3" t="s">
        <v>32</v>
      </c>
      <c r="C34" s="3" t="s">
        <v>7</v>
      </c>
      <c r="D34" s="3" t="s">
        <v>7</v>
      </c>
      <c r="E34" s="3" t="s">
        <v>7</v>
      </c>
      <c r="F34" s="3" t="s">
        <v>7</v>
      </c>
      <c r="G34" s="3" t="s">
        <v>7</v>
      </c>
      <c r="H34" s="3" t="s">
        <v>7</v>
      </c>
      <c r="I34" s="2"/>
      <c r="J34" s="2"/>
    </row>
    <row r="35" ht="18" spans="1:10">
      <c r="A35" s="57" t="s">
        <v>33</v>
      </c>
      <c r="B35" s="3" t="s">
        <v>34</v>
      </c>
      <c r="C35" s="3" t="s">
        <v>7</v>
      </c>
      <c r="D35" s="3" t="s">
        <v>7</v>
      </c>
      <c r="E35" s="3" t="s">
        <v>7</v>
      </c>
      <c r="F35" s="3" t="s">
        <v>7</v>
      </c>
      <c r="G35" s="3" t="s">
        <v>7</v>
      </c>
      <c r="H35" s="3" t="s">
        <v>7</v>
      </c>
      <c r="I35" s="2"/>
      <c r="J35" s="2"/>
    </row>
    <row r="36" spans="1:10">
      <c r="A36" s="2"/>
      <c r="B36" s="2"/>
      <c r="C36" s="2"/>
      <c r="D36" s="2"/>
      <c r="E36" s="2"/>
      <c r="F36" s="2"/>
      <c r="G36" s="2"/>
      <c r="H36" s="2"/>
      <c r="I36" s="2"/>
      <c r="J36" s="2"/>
    </row>
    <row r="37" spans="1:10">
      <c r="A37" s="54" t="s">
        <v>35</v>
      </c>
      <c r="B37" s="54"/>
      <c r="C37" s="54"/>
      <c r="D37" s="54"/>
      <c r="E37" s="54"/>
      <c r="F37" s="54"/>
      <c r="G37" s="54"/>
      <c r="H37" s="54"/>
      <c r="I37" s="2"/>
      <c r="J37" s="2"/>
    </row>
    <row r="38" spans="1:10">
      <c r="A38" s="3" t="s">
        <v>36</v>
      </c>
      <c r="B38" s="3"/>
      <c r="C38" s="3"/>
      <c r="D38" s="3"/>
      <c r="E38" s="3"/>
      <c r="F38" s="3"/>
      <c r="G38" s="3"/>
      <c r="H38" s="3"/>
      <c r="I38" s="2"/>
      <c r="J38" s="2"/>
    </row>
    <row r="39" spans="1:10">
      <c r="A39" s="3"/>
      <c r="B39" s="3"/>
      <c r="C39" s="3"/>
      <c r="D39" s="3"/>
      <c r="E39" s="3"/>
      <c r="F39" s="3"/>
      <c r="G39" s="3"/>
      <c r="H39" s="3"/>
      <c r="I39" s="2"/>
      <c r="J39" s="2"/>
    </row>
    <row r="40" spans="1:10">
      <c r="A40" s="3"/>
      <c r="B40" s="3"/>
      <c r="C40" s="3"/>
      <c r="D40" s="3"/>
      <c r="E40" s="3"/>
      <c r="F40" s="3"/>
      <c r="G40" s="3"/>
      <c r="H40" s="3"/>
      <c r="I40" s="2"/>
      <c r="J40" s="2"/>
    </row>
    <row r="41" spans="1:10">
      <c r="A41" s="3"/>
      <c r="B41" s="3"/>
      <c r="C41" s="3"/>
      <c r="D41" s="3"/>
      <c r="E41" s="3"/>
      <c r="F41" s="3"/>
      <c r="G41" s="3"/>
      <c r="H41" s="3"/>
      <c r="I41" s="2"/>
      <c r="J41" s="2"/>
    </row>
    <row r="42" spans="1:10">
      <c r="A42" s="2"/>
      <c r="B42" s="2"/>
      <c r="C42" s="2"/>
      <c r="D42" s="2"/>
      <c r="E42" s="2"/>
      <c r="F42" s="2"/>
      <c r="G42" s="2"/>
      <c r="H42" s="2"/>
      <c r="I42" s="2"/>
      <c r="J42" s="2"/>
    </row>
    <row r="43" spans="1:10">
      <c r="A43" s="2"/>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sheetData>
  <mergeCells count="22">
    <mergeCell ref="A1:H1"/>
    <mergeCell ref="A3:H3"/>
    <mergeCell ref="A9:H9"/>
    <mergeCell ref="A14:H14"/>
    <mergeCell ref="A15:H15"/>
    <mergeCell ref="A16:H16"/>
    <mergeCell ref="A17:H17"/>
    <mergeCell ref="A18:H18"/>
    <mergeCell ref="A19:H19"/>
    <mergeCell ref="A20:H20"/>
    <mergeCell ref="A21:H21"/>
    <mergeCell ref="A29:H29"/>
    <mergeCell ref="B30:H30"/>
    <mergeCell ref="B31:H31"/>
    <mergeCell ref="B32:H32"/>
    <mergeCell ref="B33:H33"/>
    <mergeCell ref="B34:H34"/>
    <mergeCell ref="B35:H35"/>
    <mergeCell ref="A37:H37"/>
    <mergeCell ref="A4:H7"/>
    <mergeCell ref="A10:H12"/>
    <mergeCell ref="A38:H4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02"/>
  <sheetViews>
    <sheetView workbookViewId="0">
      <selection activeCell="AG11" sqref="AG11"/>
    </sheetView>
  </sheetViews>
  <sheetFormatPr defaultColWidth="11" defaultRowHeight="17.6"/>
  <cols>
    <col min="1" max="1" width="12" customWidth="1"/>
    <col min="2" max="2" width="23" customWidth="1"/>
    <col min="3" max="4" width="12" customWidth="1"/>
    <col min="6" max="6" width="12" customWidth="1"/>
    <col min="7" max="7" width="9" customWidth="1"/>
    <col min="8" max="10" width="13" customWidth="1"/>
    <col min="18" max="18" width="11" customWidth="1"/>
    <col min="19" max="19" width="12" customWidth="1"/>
    <col min="20" max="20" width="14" customWidth="1"/>
    <col min="22" max="22" width="12" customWidth="1"/>
    <col min="23" max="23" width="11" customWidth="1"/>
    <col min="24" max="26" width="13" customWidth="1"/>
    <col min="27" max="28" width="14" customWidth="1"/>
    <col min="30" max="30" width="15" customWidth="1"/>
    <col min="31" max="31" width="13" customWidth="1"/>
    <col min="32" max="32" width="15" customWidth="1"/>
    <col min="33" max="34" width="13" customWidth="1"/>
    <col min="35" max="35" width="16" customWidth="1"/>
    <col min="36" max="37" width="13" customWidth="1"/>
    <col min="38" max="38" width="16" customWidth="1"/>
    <col min="39" max="41" width="13" customWidth="1"/>
  </cols>
  <sheetData>
    <row r="1" ht="42" customHeight="1" spans="1:41">
      <c r="A1" s="14" t="s">
        <v>37</v>
      </c>
      <c r="B1" s="14" t="s">
        <v>38</v>
      </c>
      <c r="C1" s="14" t="s">
        <v>39</v>
      </c>
      <c r="D1" s="15">
        <v>100</v>
      </c>
      <c r="F1" s="14" t="s">
        <v>40</v>
      </c>
      <c r="G1" s="20" t="s">
        <v>41</v>
      </c>
      <c r="H1" s="20" t="s">
        <v>42</v>
      </c>
      <c r="I1" s="20" t="s">
        <v>43</v>
      </c>
      <c r="J1" s="20" t="s">
        <v>44</v>
      </c>
      <c r="L1" s="26" t="s">
        <v>45</v>
      </c>
      <c r="M1" s="26"/>
      <c r="N1" s="26"/>
      <c r="O1" s="26"/>
      <c r="P1" s="26"/>
      <c r="Q1" s="26"/>
      <c r="R1" s="14" t="s">
        <v>46</v>
      </c>
      <c r="S1" s="14" t="s">
        <v>47</v>
      </c>
      <c r="T1" s="14">
        <f ca="1">AVERAGE(year1_St)</f>
        <v>106.833115903518</v>
      </c>
      <c r="V1" s="14" t="s">
        <v>48</v>
      </c>
      <c r="W1" s="20" t="s">
        <v>49</v>
      </c>
      <c r="X1" s="20" t="s">
        <v>50</v>
      </c>
      <c r="Y1" s="20" t="s">
        <v>51</v>
      </c>
      <c r="Z1" s="20" t="s">
        <v>52</v>
      </c>
      <c r="AA1" s="20" t="s">
        <v>53</v>
      </c>
      <c r="AB1" s="20" t="s">
        <v>54</v>
      </c>
      <c r="AD1" s="26" t="s">
        <v>55</v>
      </c>
      <c r="AE1" s="26"/>
      <c r="AF1" s="26"/>
      <c r="AG1" s="26"/>
      <c r="AH1" s="26"/>
      <c r="AI1" s="26" t="s">
        <v>56</v>
      </c>
      <c r="AJ1" s="26"/>
      <c r="AK1" s="26"/>
      <c r="AL1" s="26" t="s">
        <v>57</v>
      </c>
      <c r="AM1" s="26"/>
      <c r="AN1" s="26"/>
      <c r="AO1" s="26"/>
    </row>
    <row r="2" ht="18" spans="1:41">
      <c r="A2" s="40"/>
      <c r="B2" s="41" t="s">
        <v>58</v>
      </c>
      <c r="C2" s="41" t="s">
        <v>59</v>
      </c>
      <c r="D2" s="18">
        <v>0.08</v>
      </c>
      <c r="F2" s="21"/>
      <c r="G2" s="22" cm="1">
        <f t="array" ref="G2:G53">_xlfn.SEQUENCE(52)</f>
        <v>1</v>
      </c>
      <c r="H2" s="43">
        <f ca="1">S0*EXP((mu-sigma^2/2)*Dt+sigma*SQRT(Dt)*_xlfn.NORM.INV(RAND(),0,1))</f>
        <v>101.784966113717</v>
      </c>
      <c r="I2" s="43">
        <f ca="1">S0*EXP((mu-sigma^2/2)*Dt+sigma*SQRT(Dt)*_xlfn.NORM.INV(RAND(),0,1))</f>
        <v>98.9945696333405</v>
      </c>
      <c r="J2" s="45">
        <v>99.7615755</v>
      </c>
      <c r="R2" s="21"/>
      <c r="S2" s="14" t="s">
        <v>60</v>
      </c>
      <c r="T2" s="14">
        <f ca="1">MAX(0,Sav-k)*EXP(-rs*T)</f>
        <v>9.26974492415269</v>
      </c>
      <c r="V2" s="21"/>
      <c r="W2" s="22"/>
      <c r="X2" s="23">
        <f ca="1">Sav</f>
        <v>106.833115903518</v>
      </c>
      <c r="Y2" s="23">
        <f ca="1">CR0</f>
        <v>9.26974492415269</v>
      </c>
      <c r="Z2" s="23">
        <f ca="1">PR0</f>
        <v>0</v>
      </c>
      <c r="AA2" s="23" cm="1">
        <f t="array" ref="AA2:AA1001">IF(CR0_&gt;1.1,1,0)</f>
        <v>1</v>
      </c>
      <c r="AB2" s="25" cm="1">
        <f t="array" ref="AB2:AB1001">IF(PR0_&gt;1.1,1,0)</f>
        <v>0</v>
      </c>
      <c r="AD2" s="29" t="s">
        <v>61</v>
      </c>
      <c r="AE2" s="30">
        <f>MAX(PR0_)</f>
        <v>13.7635392070792</v>
      </c>
      <c r="AF2" s="30" t="s">
        <v>62</v>
      </c>
      <c r="AG2" s="30">
        <f>MAX(CR0_)</f>
        <v>31.0749665677632</v>
      </c>
      <c r="AH2" s="30"/>
      <c r="AI2" s="36" t="s">
        <v>63</v>
      </c>
      <c r="AJ2" s="36">
        <f>AVERAGE(PR0_)</f>
        <v>0.46508544967924</v>
      </c>
      <c r="AK2" s="36"/>
      <c r="AL2" s="36" t="s">
        <v>54</v>
      </c>
      <c r="AM2" s="36" cm="1">
        <f t="array" ref="AM2">AVERAGE(1*(PR0_&gt;1.1))</f>
        <v>0.115</v>
      </c>
      <c r="AN2" s="36"/>
      <c r="AO2" s="52"/>
    </row>
    <row r="3" ht="18" spans="1:41">
      <c r="A3" s="40"/>
      <c r="B3" s="41" t="s">
        <v>64</v>
      </c>
      <c r="C3" s="41" t="s">
        <v>65</v>
      </c>
      <c r="D3" s="18">
        <v>0.12</v>
      </c>
      <c r="F3" s="21"/>
      <c r="G3" s="22">
        <v>2</v>
      </c>
      <c r="H3" s="43">
        <f ca="1" t="shared" ref="H3:H34" si="0">H2*EXP((mu-sigma^2/2)*Dt+sigma*SQRT(Dt)*_xlfn.NORM.INV(RAND(),0,1))</f>
        <v>101.078957292341</v>
      </c>
      <c r="I3" s="43">
        <f ca="1" t="shared" ref="I3:I34" si="1">I2*EXP((mu-sigma^2/2)*Dt+sigma*SQRT(Dt)*_xlfn.NORM.INV(RAND(),0,1))</f>
        <v>98.1376231820765</v>
      </c>
      <c r="J3" s="44">
        <f ca="1" t="shared" ref="J3:J34" si="2">J2*EXP((mu-sigma^2/2)*Dt+sigma*SQRT(Dt)*_xlfn.NORM.INV(RAND(),0,1))</f>
        <v>98.2930910565381</v>
      </c>
      <c r="R3" s="21"/>
      <c r="S3" s="14" t="s">
        <v>66</v>
      </c>
      <c r="T3" s="14">
        <f ca="1">MAX(0,k-Sav)*EXP(-rs*T)</f>
        <v>0</v>
      </c>
      <c r="V3" s="21"/>
      <c r="W3" s="22" cm="1">
        <f t="array" ref="W3:W1002">_xlfn.SEQUENCE(1000)</f>
        <v>1</v>
      </c>
      <c r="X3" s="23">
        <v>116.047707871916</v>
      </c>
      <c r="Y3" s="23">
        <v>18.4940077211326</v>
      </c>
      <c r="Z3" s="23">
        <v>0</v>
      </c>
      <c r="AA3" s="23">
        <v>1</v>
      </c>
      <c r="AB3" s="25">
        <v>0</v>
      </c>
      <c r="AD3" s="29" t="s">
        <v>67</v>
      </c>
      <c r="AE3" s="46">
        <f>MIN(PR0_)</f>
        <v>0</v>
      </c>
      <c r="AF3" s="30" t="s">
        <v>68</v>
      </c>
      <c r="AG3" s="46">
        <f>MIN(CR0_)</f>
        <v>0</v>
      </c>
      <c r="AH3" s="30"/>
      <c r="AI3" s="36" t="s">
        <v>69</v>
      </c>
      <c r="AJ3" s="36">
        <f>E_PR0-1.96*STDEV(PR0_)/SQRT(N)</f>
        <v>0.371627613426963</v>
      </c>
      <c r="AK3" s="36"/>
      <c r="AL3" s="36" t="s">
        <v>69</v>
      </c>
      <c r="AM3" s="36">
        <f>PP-1.96*STDEV(P_PR0_1.1)/SQRT(N)</f>
        <v>0.095216921113987</v>
      </c>
      <c r="AN3" s="36"/>
      <c r="AO3" s="52"/>
    </row>
    <row r="4" ht="18" spans="1:41">
      <c r="A4" s="40"/>
      <c r="B4" s="41" t="s">
        <v>70</v>
      </c>
      <c r="C4" s="41" t="s">
        <v>71</v>
      </c>
      <c r="D4" s="15">
        <v>97</v>
      </c>
      <c r="F4" s="21"/>
      <c r="G4" s="22">
        <v>3</v>
      </c>
      <c r="H4" s="43">
        <f ca="1" t="shared" si="0"/>
        <v>102.433586894603</v>
      </c>
      <c r="I4" s="43">
        <f ca="1" t="shared" si="1"/>
        <v>98.8698356742275</v>
      </c>
      <c r="J4" s="44">
        <f ca="1" t="shared" si="2"/>
        <v>97.5023760799444</v>
      </c>
      <c r="V4" s="21"/>
      <c r="W4" s="22">
        <v>2</v>
      </c>
      <c r="X4" s="23">
        <v>112.933471515222</v>
      </c>
      <c r="Y4" s="23">
        <v>15.4702994821452</v>
      </c>
      <c r="Z4" s="23">
        <v>0</v>
      </c>
      <c r="AA4" s="23">
        <v>1</v>
      </c>
      <c r="AB4" s="25">
        <v>0</v>
      </c>
      <c r="AD4" s="29"/>
      <c r="AE4" s="30"/>
      <c r="AF4" s="30"/>
      <c r="AG4" s="30"/>
      <c r="AH4" s="30"/>
      <c r="AI4" s="36" t="s">
        <v>72</v>
      </c>
      <c r="AJ4" s="36">
        <f>E_PR0+1.96*STDEV(PR0_)/SQRT(N)</f>
        <v>0.558543285931517</v>
      </c>
      <c r="AK4" s="36"/>
      <c r="AL4" s="36" t="s">
        <v>72</v>
      </c>
      <c r="AM4" s="36">
        <f>PP+1.96*STDEV(P_PR0_1.1)/SQRT(N)</f>
        <v>0.134783078886013</v>
      </c>
      <c r="AN4" s="36"/>
      <c r="AO4" s="52"/>
    </row>
    <row r="5" ht="18" spans="1:41">
      <c r="A5" s="40"/>
      <c r="B5" s="41" t="s">
        <v>73</v>
      </c>
      <c r="C5" s="41" t="s">
        <v>74</v>
      </c>
      <c r="D5" s="15">
        <v>1</v>
      </c>
      <c r="F5" s="21"/>
      <c r="G5" s="22">
        <v>4</v>
      </c>
      <c r="H5" s="43">
        <f ca="1" t="shared" si="0"/>
        <v>103.065129615859</v>
      </c>
      <c r="I5" s="43">
        <f ca="1" t="shared" si="1"/>
        <v>102.208002874085</v>
      </c>
      <c r="J5" s="44">
        <f ca="1" t="shared" si="2"/>
        <v>100.264481191237</v>
      </c>
      <c r="V5" s="21"/>
      <c r="W5" s="22">
        <v>3</v>
      </c>
      <c r="X5" s="23">
        <v>104.951836791659</v>
      </c>
      <c r="Y5" s="23">
        <v>7.72068387498496</v>
      </c>
      <c r="Z5" s="23">
        <v>0</v>
      </c>
      <c r="AA5" s="23">
        <v>1</v>
      </c>
      <c r="AB5" s="25">
        <v>0</v>
      </c>
      <c r="AD5" s="47" t="s">
        <v>75</v>
      </c>
      <c r="AE5" s="48" t="s">
        <v>76</v>
      </c>
      <c r="AF5" s="48" t="s">
        <v>77</v>
      </c>
      <c r="AG5" s="30"/>
      <c r="AH5" s="30"/>
      <c r="AI5" s="36"/>
      <c r="AJ5" s="36"/>
      <c r="AK5" s="36"/>
      <c r="AL5" s="36"/>
      <c r="AM5" s="36"/>
      <c r="AN5" s="36"/>
      <c r="AO5" s="52"/>
    </row>
    <row r="6" ht="18" spans="1:41">
      <c r="A6" s="40"/>
      <c r="B6" s="41" t="s">
        <v>78</v>
      </c>
      <c r="C6" s="41" t="s">
        <v>79</v>
      </c>
      <c r="D6" s="42">
        <f>1/52</f>
        <v>0.0192307692307692</v>
      </c>
      <c r="F6" s="21"/>
      <c r="G6" s="22">
        <v>5</v>
      </c>
      <c r="H6" s="43">
        <f ca="1" t="shared" si="0"/>
        <v>103.108942541511</v>
      </c>
      <c r="I6" s="43">
        <f ca="1" t="shared" si="1"/>
        <v>103.950698973862</v>
      </c>
      <c r="J6" s="44">
        <f ca="1" t="shared" si="2"/>
        <v>98.2068959886897</v>
      </c>
      <c r="V6" s="21"/>
      <c r="W6" s="22">
        <v>4</v>
      </c>
      <c r="X6" s="23">
        <v>109.82639819963</v>
      </c>
      <c r="Y6" s="23">
        <v>12.4535460609426</v>
      </c>
      <c r="Z6" s="23">
        <v>0</v>
      </c>
      <c r="AA6" s="23">
        <v>1</v>
      </c>
      <c r="AB6" s="25">
        <v>0</v>
      </c>
      <c r="AD6" s="47">
        <v>0</v>
      </c>
      <c r="AE6" s="48" cm="1">
        <f t="array" ref="AE6:AE22">FREQUENCY(PR0_,bin)/N</f>
        <v>0.85</v>
      </c>
      <c r="AF6" s="48" cm="1">
        <f t="array" ref="AF6:AF22">FREQUENCY(CR0_,bin)/N</f>
        <v>0.15</v>
      </c>
      <c r="AG6" s="30"/>
      <c r="AH6" s="30"/>
      <c r="AI6" s="36" t="s">
        <v>80</v>
      </c>
      <c r="AJ6" s="36">
        <f>AVERAGE(CR0_)</f>
        <v>7.90934015967068</v>
      </c>
      <c r="AK6" s="36"/>
      <c r="AL6" s="36" t="s">
        <v>53</v>
      </c>
      <c r="AM6" s="36" cm="1">
        <f t="array" ref="AM6">AVERAGE(1*(CR0_&gt;1.1))</f>
        <v>0.816</v>
      </c>
      <c r="AN6" s="36"/>
      <c r="AO6" s="52"/>
    </row>
    <row r="7" ht="18" spans="1:41">
      <c r="A7" s="40"/>
      <c r="B7" s="41" t="s">
        <v>81</v>
      </c>
      <c r="C7" s="41" t="s">
        <v>82</v>
      </c>
      <c r="D7" s="18">
        <v>0.059</v>
      </c>
      <c r="F7" s="21"/>
      <c r="G7" s="22">
        <v>6</v>
      </c>
      <c r="H7" s="43">
        <f ca="1" t="shared" si="0"/>
        <v>103.096260283094</v>
      </c>
      <c r="I7" s="43">
        <f ca="1" t="shared" si="1"/>
        <v>103.013777104058</v>
      </c>
      <c r="J7" s="44">
        <f ca="1" t="shared" si="2"/>
        <v>98.1387531109003</v>
      </c>
      <c r="V7" s="21"/>
      <c r="W7" s="22">
        <v>5</v>
      </c>
      <c r="X7" s="23">
        <v>105.47454825476</v>
      </c>
      <c r="Y7" s="23">
        <v>8.22820057460668</v>
      </c>
      <c r="Z7" s="23">
        <v>0</v>
      </c>
      <c r="AA7" s="23">
        <v>1</v>
      </c>
      <c r="AB7" s="25">
        <v>0</v>
      </c>
      <c r="AD7" s="47">
        <v>2.5</v>
      </c>
      <c r="AE7" s="48">
        <v>0.08</v>
      </c>
      <c r="AF7" s="48">
        <v>0.096</v>
      </c>
      <c r="AG7" s="30"/>
      <c r="AH7" s="30"/>
      <c r="AI7" s="36" t="s">
        <v>69</v>
      </c>
      <c r="AJ7" s="36">
        <f>E_CR0-1.96*STDEV(CR0_)/SQRT(N)</f>
        <v>7.50885273145829</v>
      </c>
      <c r="AK7" s="36"/>
      <c r="AL7" s="36" t="s">
        <v>69</v>
      </c>
      <c r="AM7" s="36">
        <f>PC-1.96*STDEV(P_CR0_1.1)/SQRT(N)</f>
        <v>0.79197146361176</v>
      </c>
      <c r="AN7" s="36"/>
      <c r="AO7" s="52"/>
    </row>
    <row r="8" ht="18" spans="1:41">
      <c r="A8" s="40"/>
      <c r="B8" s="40" t="s">
        <v>83</v>
      </c>
      <c r="C8" s="40" t="s">
        <v>84</v>
      </c>
      <c r="D8" s="19">
        <v>1000</v>
      </c>
      <c r="F8" s="21"/>
      <c r="G8" s="22">
        <v>7</v>
      </c>
      <c r="H8" s="43">
        <f ca="1" t="shared" si="0"/>
        <v>106.421397170825</v>
      </c>
      <c r="I8" s="43">
        <f ca="1" t="shared" si="1"/>
        <v>98.9276112122788</v>
      </c>
      <c r="J8" s="44">
        <f ca="1" t="shared" si="2"/>
        <v>98.324114421443</v>
      </c>
      <c r="V8" s="21"/>
      <c r="W8" s="22">
        <v>6</v>
      </c>
      <c r="X8" s="23">
        <v>99.6859919102516</v>
      </c>
      <c r="Y8" s="23">
        <v>2.60791248275774</v>
      </c>
      <c r="Z8" s="23">
        <v>0</v>
      </c>
      <c r="AA8" s="23">
        <v>1</v>
      </c>
      <c r="AB8" s="25">
        <v>0</v>
      </c>
      <c r="AD8" s="47">
        <v>5</v>
      </c>
      <c r="AE8" s="49">
        <v>0.035</v>
      </c>
      <c r="AF8" s="49">
        <v>0.147</v>
      </c>
      <c r="AG8" s="34"/>
      <c r="AH8" s="34"/>
      <c r="AI8" s="52" t="s">
        <v>72</v>
      </c>
      <c r="AJ8" s="52">
        <f>E_CR0+1.96*STDEV(CR0_)/SQRT(N)</f>
        <v>8.30982758788307</v>
      </c>
      <c r="AK8" s="52"/>
      <c r="AL8" s="52" t="s">
        <v>72</v>
      </c>
      <c r="AM8" s="52">
        <f>PC+1.96*STDEV(P_CR0_1.1)/SQRT(N)</f>
        <v>0.84002853638824</v>
      </c>
      <c r="AN8" s="52"/>
      <c r="AO8" s="52"/>
    </row>
    <row r="9" spans="6:32">
      <c r="F9" s="21"/>
      <c r="G9" s="22">
        <v>8</v>
      </c>
      <c r="H9" s="43">
        <f ca="1" t="shared" si="0"/>
        <v>105.339260011755</v>
      </c>
      <c r="I9" s="43">
        <f ca="1" t="shared" si="1"/>
        <v>102.24908362586</v>
      </c>
      <c r="J9" s="44">
        <f ca="1" t="shared" si="2"/>
        <v>98.126415626199</v>
      </c>
      <c r="V9" s="21"/>
      <c r="W9" s="22">
        <v>7</v>
      </c>
      <c r="X9" s="23">
        <v>104.24493175277</v>
      </c>
      <c r="Y9" s="23">
        <v>7.03432794516753</v>
      </c>
      <c r="Z9" s="23">
        <v>0</v>
      </c>
      <c r="AA9" s="23">
        <v>1</v>
      </c>
      <c r="AB9" s="25">
        <v>0</v>
      </c>
      <c r="AD9" s="50">
        <v>7.5</v>
      </c>
      <c r="AE9" s="50">
        <v>0.026</v>
      </c>
      <c r="AF9" s="50">
        <v>0.136</v>
      </c>
    </row>
    <row r="10" spans="6:32">
      <c r="F10" s="21"/>
      <c r="G10" s="22">
        <v>9</v>
      </c>
      <c r="H10" s="43">
        <f ca="1" t="shared" si="0"/>
        <v>105.391544563908</v>
      </c>
      <c r="I10" s="43">
        <f ca="1" t="shared" si="1"/>
        <v>101.92496887202</v>
      </c>
      <c r="J10" s="44">
        <f ca="1" t="shared" si="2"/>
        <v>97.5380297411271</v>
      </c>
      <c r="V10" s="21"/>
      <c r="W10" s="22">
        <v>8</v>
      </c>
      <c r="X10" s="23">
        <v>104.194450707676</v>
      </c>
      <c r="Y10" s="23">
        <v>6.98531433975055</v>
      </c>
      <c r="Z10" s="23">
        <v>0</v>
      </c>
      <c r="AA10" s="23">
        <v>1</v>
      </c>
      <c r="AB10" s="25">
        <v>0</v>
      </c>
      <c r="AD10" s="50">
        <v>10</v>
      </c>
      <c r="AE10" s="50">
        <v>0.005</v>
      </c>
      <c r="AF10" s="50">
        <v>0.122</v>
      </c>
    </row>
    <row r="11" spans="6:32">
      <c r="F11" s="21"/>
      <c r="G11" s="22">
        <v>10</v>
      </c>
      <c r="H11" s="43">
        <f ca="1" t="shared" si="0"/>
        <v>101.909084111363</v>
      </c>
      <c r="I11" s="43">
        <f ca="1" t="shared" si="1"/>
        <v>98.757691572489</v>
      </c>
      <c r="J11" s="44">
        <f ca="1" t="shared" si="2"/>
        <v>97.1051865497121</v>
      </c>
      <c r="V11" s="21"/>
      <c r="W11" s="22">
        <v>9</v>
      </c>
      <c r="X11" s="23">
        <v>101.135274452692</v>
      </c>
      <c r="Y11" s="23">
        <v>4.01506565363979</v>
      </c>
      <c r="Z11" s="23">
        <v>0</v>
      </c>
      <c r="AA11" s="23">
        <v>0</v>
      </c>
      <c r="AB11" s="25">
        <v>0</v>
      </c>
      <c r="AD11" s="50">
        <v>12.5</v>
      </c>
      <c r="AE11" s="50">
        <v>0.003</v>
      </c>
      <c r="AF11" s="50">
        <v>0.104</v>
      </c>
    </row>
    <row r="12" spans="6:32">
      <c r="F12" s="21"/>
      <c r="G12" s="22">
        <v>11</v>
      </c>
      <c r="H12" s="43">
        <f ca="1" t="shared" si="0"/>
        <v>103.445596091649</v>
      </c>
      <c r="I12" s="43">
        <f ca="1" t="shared" si="1"/>
        <v>100.160609433758</v>
      </c>
      <c r="J12" s="44">
        <f ca="1" t="shared" si="2"/>
        <v>98.1256220978736</v>
      </c>
      <c r="V12" s="21"/>
      <c r="W12" s="24">
        <v>10</v>
      </c>
      <c r="X12" s="25">
        <v>96.0866482422166</v>
      </c>
      <c r="Y12" s="25">
        <v>0</v>
      </c>
      <c r="Z12" s="25">
        <v>0.886801423779767</v>
      </c>
      <c r="AA12" s="25">
        <v>1</v>
      </c>
      <c r="AB12" s="25">
        <v>0</v>
      </c>
      <c r="AD12" s="50">
        <v>15</v>
      </c>
      <c r="AE12" s="50">
        <v>0.001</v>
      </c>
      <c r="AF12" s="50">
        <v>0.091</v>
      </c>
    </row>
    <row r="13" spans="6:32">
      <c r="F13" s="21"/>
      <c r="G13" s="22">
        <v>12</v>
      </c>
      <c r="H13" s="43">
        <f ca="1" t="shared" si="0"/>
        <v>101.879304791892</v>
      </c>
      <c r="I13" s="43">
        <f ca="1" t="shared" si="1"/>
        <v>99.4471666822849</v>
      </c>
      <c r="J13" s="44">
        <f ca="1" t="shared" si="2"/>
        <v>97.6485139804083</v>
      </c>
      <c r="W13" s="24">
        <v>11</v>
      </c>
      <c r="X13" s="25">
        <v>105.57208665472</v>
      </c>
      <c r="Y13" s="25">
        <v>8.32290361888361</v>
      </c>
      <c r="Z13" s="25">
        <v>0</v>
      </c>
      <c r="AA13" s="25">
        <v>1</v>
      </c>
      <c r="AB13" s="25">
        <v>0</v>
      </c>
      <c r="AD13" s="50">
        <v>17.5</v>
      </c>
      <c r="AE13" s="50">
        <v>0</v>
      </c>
      <c r="AF13" s="50">
        <v>0.062</v>
      </c>
    </row>
    <row r="14" spans="6:32">
      <c r="F14" s="21"/>
      <c r="G14" s="22">
        <v>13</v>
      </c>
      <c r="H14" s="43">
        <f ca="1" t="shared" si="0"/>
        <v>102.226706374134</v>
      </c>
      <c r="I14" s="43">
        <f ca="1" t="shared" si="1"/>
        <v>99.8324808664143</v>
      </c>
      <c r="J14" s="44">
        <f ca="1" t="shared" si="2"/>
        <v>94.6979164795424</v>
      </c>
      <c r="W14" s="24">
        <v>12</v>
      </c>
      <c r="X14" s="25">
        <v>114.212654369862</v>
      </c>
      <c r="Y14" s="25">
        <v>16.7122976138642</v>
      </c>
      <c r="Z14" s="25">
        <v>0</v>
      </c>
      <c r="AA14" s="25">
        <v>1</v>
      </c>
      <c r="AB14" s="25">
        <v>0</v>
      </c>
      <c r="AD14" s="50">
        <v>20</v>
      </c>
      <c r="AE14" s="50">
        <v>0</v>
      </c>
      <c r="AF14" s="50">
        <v>0.048</v>
      </c>
    </row>
    <row r="15" spans="6:32">
      <c r="F15" s="21"/>
      <c r="G15" s="22">
        <v>14</v>
      </c>
      <c r="H15" s="43">
        <f ca="1" t="shared" si="0"/>
        <v>100.522608416035</v>
      </c>
      <c r="I15" s="43">
        <f ca="1" t="shared" si="1"/>
        <v>97.8859337205209</v>
      </c>
      <c r="J15" s="44">
        <f ca="1" t="shared" si="2"/>
        <v>94.2347026553428</v>
      </c>
      <c r="W15" s="24">
        <v>13</v>
      </c>
      <c r="X15" s="25">
        <v>101.825020699365</v>
      </c>
      <c r="Y15" s="25">
        <v>4.68476158227172</v>
      </c>
      <c r="Z15" s="25">
        <v>0</v>
      </c>
      <c r="AA15" s="25">
        <v>1</v>
      </c>
      <c r="AB15" s="25">
        <v>0</v>
      </c>
      <c r="AD15" s="50">
        <v>22.5</v>
      </c>
      <c r="AE15" s="50">
        <v>0</v>
      </c>
      <c r="AF15" s="50">
        <v>0.019</v>
      </c>
    </row>
    <row r="16" spans="6:32">
      <c r="F16" s="21"/>
      <c r="G16" s="22">
        <v>15</v>
      </c>
      <c r="H16" s="43">
        <f ca="1" t="shared" si="0"/>
        <v>100.836762018077</v>
      </c>
      <c r="I16" s="43">
        <f ca="1" t="shared" si="1"/>
        <v>100.947697014246</v>
      </c>
      <c r="J16" s="44">
        <f ca="1" t="shared" si="2"/>
        <v>91.1849954065557</v>
      </c>
      <c r="W16" s="24">
        <v>14</v>
      </c>
      <c r="X16" s="25">
        <v>101.031230848413</v>
      </c>
      <c r="Y16" s="25">
        <v>3.91404650562391</v>
      </c>
      <c r="Z16" s="25">
        <v>0</v>
      </c>
      <c r="AA16" s="25">
        <v>1</v>
      </c>
      <c r="AB16" s="25">
        <v>0</v>
      </c>
      <c r="AD16" s="50">
        <v>25</v>
      </c>
      <c r="AE16" s="50">
        <v>0</v>
      </c>
      <c r="AF16" s="50">
        <v>0.016</v>
      </c>
    </row>
    <row r="17" spans="6:32">
      <c r="F17" s="21"/>
      <c r="G17" s="22">
        <v>16</v>
      </c>
      <c r="H17" s="43">
        <f ca="1" t="shared" si="0"/>
        <v>100.984588339446</v>
      </c>
      <c r="I17" s="43">
        <f ca="1" t="shared" si="1"/>
        <v>102.312904248691</v>
      </c>
      <c r="J17" s="44">
        <f ca="1" t="shared" si="2"/>
        <v>89.2942273847218</v>
      </c>
      <c r="W17" s="24">
        <v>15</v>
      </c>
      <c r="X17" s="25">
        <v>98.3063945119372</v>
      </c>
      <c r="Y17" s="25">
        <v>1.26841877002078</v>
      </c>
      <c r="Z17" s="25">
        <v>0</v>
      </c>
      <c r="AA17" s="25">
        <v>1</v>
      </c>
      <c r="AB17" s="25">
        <v>0</v>
      </c>
      <c r="AD17" s="50">
        <v>27.5</v>
      </c>
      <c r="AE17" s="50">
        <v>0</v>
      </c>
      <c r="AF17" s="50">
        <v>0.004</v>
      </c>
    </row>
    <row r="18" spans="6:32">
      <c r="F18" s="21"/>
      <c r="G18" s="22">
        <v>17</v>
      </c>
      <c r="H18" s="43">
        <f ca="1" t="shared" si="0"/>
        <v>102.522886109694</v>
      </c>
      <c r="I18" s="43">
        <f ca="1" t="shared" si="1"/>
        <v>103.299041623451</v>
      </c>
      <c r="J18" s="44">
        <f ca="1" t="shared" si="2"/>
        <v>86.6744768255113</v>
      </c>
      <c r="W18" s="24">
        <v>16</v>
      </c>
      <c r="X18" s="25">
        <v>100.500740183573</v>
      </c>
      <c r="Y18" s="25">
        <v>3.39897673883059</v>
      </c>
      <c r="Z18" s="25">
        <v>0</v>
      </c>
      <c r="AA18" s="25">
        <v>1</v>
      </c>
      <c r="AB18" s="25">
        <v>0</v>
      </c>
      <c r="AD18" s="50">
        <v>30</v>
      </c>
      <c r="AE18" s="50">
        <v>0</v>
      </c>
      <c r="AF18" s="50">
        <v>0.004</v>
      </c>
    </row>
    <row r="19" spans="6:32">
      <c r="F19" s="21"/>
      <c r="G19" s="22">
        <v>18</v>
      </c>
      <c r="H19" s="43">
        <f ca="1" t="shared" si="0"/>
        <v>102.574924546848</v>
      </c>
      <c r="I19" s="43">
        <f ca="1" t="shared" si="1"/>
        <v>105.319412092636</v>
      </c>
      <c r="J19" s="44">
        <f ca="1" t="shared" si="2"/>
        <v>84.6638724517486</v>
      </c>
      <c r="W19" s="24">
        <v>17</v>
      </c>
      <c r="X19" s="25">
        <v>115.105131002945</v>
      </c>
      <c r="Y19" s="25">
        <v>17.5788307344977</v>
      </c>
      <c r="Z19" s="25">
        <v>0</v>
      </c>
      <c r="AA19" s="25">
        <v>1</v>
      </c>
      <c r="AB19" s="25">
        <v>0</v>
      </c>
      <c r="AD19" s="50">
        <v>32.5</v>
      </c>
      <c r="AE19" s="50">
        <v>0</v>
      </c>
      <c r="AF19" s="50">
        <v>0.001</v>
      </c>
    </row>
    <row r="20" spans="6:32">
      <c r="F20" s="21"/>
      <c r="G20" s="22">
        <v>19</v>
      </c>
      <c r="H20" s="43">
        <f ca="1" t="shared" si="0"/>
        <v>104.34450779835</v>
      </c>
      <c r="I20" s="43">
        <f ca="1" t="shared" si="1"/>
        <v>109.702770172303</v>
      </c>
      <c r="J20" s="44">
        <f ca="1" t="shared" si="2"/>
        <v>85.1655030267925</v>
      </c>
      <c r="W20" s="24">
        <v>18</v>
      </c>
      <c r="X20" s="25">
        <v>107.087721160462</v>
      </c>
      <c r="Y20" s="25">
        <v>9.79447995972743</v>
      </c>
      <c r="Z20" s="25">
        <v>0</v>
      </c>
      <c r="AA20" s="25">
        <v>1</v>
      </c>
      <c r="AB20" s="25">
        <v>0</v>
      </c>
      <c r="AD20" s="50">
        <v>35</v>
      </c>
      <c r="AE20" s="50">
        <v>0</v>
      </c>
      <c r="AF20" s="50">
        <v>0</v>
      </c>
    </row>
    <row r="21" spans="6:32">
      <c r="F21" s="21"/>
      <c r="G21" s="22">
        <v>20</v>
      </c>
      <c r="H21" s="43">
        <f ca="1" t="shared" si="0"/>
        <v>104.812400621347</v>
      </c>
      <c r="I21" s="43">
        <f ca="1" t="shared" si="1"/>
        <v>106.198820752971</v>
      </c>
      <c r="J21" s="44">
        <f ca="1" t="shared" si="2"/>
        <v>85.0455622300092</v>
      </c>
      <c r="W21" s="24">
        <v>19</v>
      </c>
      <c r="X21" s="25">
        <v>113.455452156046</v>
      </c>
      <c r="Y21" s="25">
        <v>15.9771066038524</v>
      </c>
      <c r="Z21" s="25">
        <v>0</v>
      </c>
      <c r="AA21" s="25">
        <v>1</v>
      </c>
      <c r="AB21" s="25">
        <v>0</v>
      </c>
      <c r="AD21">
        <v>37.5</v>
      </c>
      <c r="AE21">
        <v>0</v>
      </c>
      <c r="AF21">
        <v>0</v>
      </c>
    </row>
    <row r="22" spans="6:32">
      <c r="F22" s="21"/>
      <c r="G22" s="22">
        <v>21</v>
      </c>
      <c r="H22" s="43">
        <f ca="1" t="shared" si="0"/>
        <v>103.490891970937</v>
      </c>
      <c r="I22" s="43">
        <f ca="1" t="shared" si="1"/>
        <v>102.474609511124</v>
      </c>
      <c r="J22" s="44">
        <f ca="1" t="shared" si="2"/>
        <v>83.9731333566258</v>
      </c>
      <c r="W22" s="24">
        <v>20</v>
      </c>
      <c r="X22" s="25">
        <v>114.059786224166</v>
      </c>
      <c r="Y22" s="25">
        <v>16.5638732110004</v>
      </c>
      <c r="Z22" s="25">
        <v>0</v>
      </c>
      <c r="AA22" s="25">
        <v>1</v>
      </c>
      <c r="AB22" s="25">
        <v>0</v>
      </c>
      <c r="AE22">
        <v>0</v>
      </c>
      <c r="AF22">
        <v>0</v>
      </c>
    </row>
    <row r="23" spans="6:28">
      <c r="F23" s="21"/>
      <c r="G23" s="22">
        <v>22</v>
      </c>
      <c r="H23" s="43">
        <f ca="1" t="shared" si="0"/>
        <v>103.589844874921</v>
      </c>
      <c r="I23" s="43">
        <f ca="1" t="shared" si="1"/>
        <v>103.899551181093</v>
      </c>
      <c r="J23" s="44">
        <f ca="1" t="shared" si="2"/>
        <v>82.949666246937</v>
      </c>
      <c r="W23" s="24">
        <v>21</v>
      </c>
      <c r="X23" s="25">
        <v>113.502303312997</v>
      </c>
      <c r="Y23" s="25">
        <v>16.0225958387897</v>
      </c>
      <c r="Z23" s="25">
        <v>0</v>
      </c>
      <c r="AA23" s="25">
        <v>1</v>
      </c>
      <c r="AB23" s="25">
        <v>0</v>
      </c>
    </row>
    <row r="24" spans="6:30">
      <c r="F24" s="21"/>
      <c r="G24" s="22">
        <v>23</v>
      </c>
      <c r="H24" s="43">
        <f ca="1" t="shared" si="0"/>
        <v>106.616975311546</v>
      </c>
      <c r="I24" s="43">
        <f ca="1" t="shared" si="1"/>
        <v>102.08014723671</v>
      </c>
      <c r="J24" s="44">
        <f ca="1" t="shared" si="2"/>
        <v>83.3299473558875</v>
      </c>
      <c r="W24" s="24">
        <v>22</v>
      </c>
      <c r="X24" s="25">
        <v>113.492753622987</v>
      </c>
      <c r="Y24" s="25">
        <v>16.0133237498869</v>
      </c>
      <c r="Z24" s="25">
        <v>0</v>
      </c>
      <c r="AA24" s="25">
        <v>1</v>
      </c>
      <c r="AB24" s="25">
        <v>0</v>
      </c>
      <c r="AD24" s="51"/>
    </row>
    <row r="25" spans="6:30">
      <c r="F25" s="21"/>
      <c r="G25" s="22">
        <v>24</v>
      </c>
      <c r="H25" s="43">
        <f ca="1" t="shared" si="0"/>
        <v>106.178030972677</v>
      </c>
      <c r="I25" s="43">
        <f ca="1" t="shared" si="1"/>
        <v>102.243760994855</v>
      </c>
      <c r="J25" s="44">
        <f ca="1" t="shared" si="2"/>
        <v>85.7996648006867</v>
      </c>
      <c r="W25" s="24">
        <v>23</v>
      </c>
      <c r="X25" s="25">
        <v>112.925359286752</v>
      </c>
      <c r="Y25" s="25">
        <v>15.4624230690378</v>
      </c>
      <c r="Z25" s="25">
        <v>0</v>
      </c>
      <c r="AA25" s="25">
        <v>1</v>
      </c>
      <c r="AB25" s="25">
        <v>0</v>
      </c>
      <c r="AD25" s="51"/>
    </row>
    <row r="26" spans="6:30">
      <c r="F26" s="21"/>
      <c r="G26" s="22">
        <v>25</v>
      </c>
      <c r="H26" s="43">
        <f ca="1" t="shared" si="0"/>
        <v>108.066589506972</v>
      </c>
      <c r="I26" s="43">
        <f ca="1" t="shared" si="1"/>
        <v>103.421105855611</v>
      </c>
      <c r="J26" s="44">
        <f ca="1" t="shared" si="2"/>
        <v>86.5983588394493</v>
      </c>
      <c r="W26" s="24">
        <v>24</v>
      </c>
      <c r="X26" s="25">
        <v>111.00048322027</v>
      </c>
      <c r="Y26" s="25">
        <v>13.5935014604573</v>
      </c>
      <c r="Z26" s="25">
        <v>0</v>
      </c>
      <c r="AA26" s="25">
        <v>1</v>
      </c>
      <c r="AB26" s="25">
        <v>0</v>
      </c>
      <c r="AD26" s="51"/>
    </row>
    <row r="27" spans="6:30">
      <c r="F27" s="21"/>
      <c r="G27" s="22">
        <v>26</v>
      </c>
      <c r="H27" s="43">
        <f ca="1" t="shared" si="0"/>
        <v>108.161512136875</v>
      </c>
      <c r="I27" s="43">
        <f ca="1" t="shared" si="1"/>
        <v>103.977332355932</v>
      </c>
      <c r="J27" s="44">
        <f ca="1" t="shared" si="2"/>
        <v>89.5791531584255</v>
      </c>
      <c r="W27" s="24">
        <v>25</v>
      </c>
      <c r="X27" s="25">
        <v>113.787572668977</v>
      </c>
      <c r="Y27" s="25">
        <v>16.2995726649548</v>
      </c>
      <c r="Z27" s="25">
        <v>0</v>
      </c>
      <c r="AA27" s="25">
        <v>1</v>
      </c>
      <c r="AB27" s="25">
        <v>0</v>
      </c>
      <c r="AD27" s="51"/>
    </row>
    <row r="28" spans="6:30">
      <c r="F28" s="21"/>
      <c r="G28" s="22">
        <v>27</v>
      </c>
      <c r="H28" s="43">
        <f ca="1" t="shared" si="0"/>
        <v>111.636596364768</v>
      </c>
      <c r="I28" s="43">
        <f ca="1" t="shared" si="1"/>
        <v>103.451815079615</v>
      </c>
      <c r="J28" s="44">
        <f ca="1" t="shared" si="2"/>
        <v>88.2501880918653</v>
      </c>
      <c r="W28" s="24">
        <v>26</v>
      </c>
      <c r="X28" s="25">
        <v>102.463759235239</v>
      </c>
      <c r="Y28" s="25">
        <v>5.3049325494907</v>
      </c>
      <c r="Z28" s="25">
        <v>0</v>
      </c>
      <c r="AA28" s="25">
        <v>1</v>
      </c>
      <c r="AB28" s="25">
        <v>0</v>
      </c>
      <c r="AD28" s="51"/>
    </row>
    <row r="29" spans="6:30">
      <c r="F29" s="21"/>
      <c r="G29" s="22">
        <v>28</v>
      </c>
      <c r="H29" s="43">
        <f ca="1" t="shared" si="0"/>
        <v>110.819859220676</v>
      </c>
      <c r="I29" s="43">
        <f ca="1" t="shared" si="1"/>
        <v>103.868185526157</v>
      </c>
      <c r="J29" s="44">
        <f ca="1" t="shared" si="2"/>
        <v>89.7762687457971</v>
      </c>
      <c r="W29" s="24">
        <v>27</v>
      </c>
      <c r="X29" s="25">
        <v>98.1932541165345</v>
      </c>
      <c r="Y29" s="25">
        <v>1.15856726661577</v>
      </c>
      <c r="Z29" s="25">
        <v>0</v>
      </c>
      <c r="AA29" s="25">
        <v>1</v>
      </c>
      <c r="AB29" s="25">
        <v>0</v>
      </c>
      <c r="AD29" s="51"/>
    </row>
    <row r="30" spans="6:30">
      <c r="F30" s="21"/>
      <c r="G30" s="22">
        <v>29</v>
      </c>
      <c r="H30" s="43">
        <f ca="1" t="shared" si="0"/>
        <v>111.471883172216</v>
      </c>
      <c r="I30" s="43">
        <f ca="1" t="shared" si="1"/>
        <v>103.049337338479</v>
      </c>
      <c r="J30" s="44">
        <f ca="1" t="shared" si="2"/>
        <v>91.3689302797556</v>
      </c>
      <c r="W30" s="24">
        <v>28</v>
      </c>
      <c r="X30" s="25">
        <v>106.95096266292</v>
      </c>
      <c r="Y30" s="25">
        <v>9.66169691168363</v>
      </c>
      <c r="Z30" s="25">
        <v>0</v>
      </c>
      <c r="AA30" s="25">
        <v>0</v>
      </c>
      <c r="AB30" s="25">
        <v>0</v>
      </c>
      <c r="AD30" s="51"/>
    </row>
    <row r="31" spans="6:30">
      <c r="F31" s="21"/>
      <c r="G31" s="22">
        <v>30</v>
      </c>
      <c r="H31" s="43">
        <f ca="1" t="shared" si="0"/>
        <v>110.881921123866</v>
      </c>
      <c r="I31" s="43">
        <f ca="1" t="shared" si="1"/>
        <v>104.685283311591</v>
      </c>
      <c r="J31" s="44">
        <f ca="1" t="shared" si="2"/>
        <v>88.3860546144557</v>
      </c>
      <c r="W31" s="24">
        <v>29</v>
      </c>
      <c r="X31" s="25">
        <v>98.0507442598417</v>
      </c>
      <c r="Y31" s="25">
        <v>1.02020004638454</v>
      </c>
      <c r="Z31" s="25">
        <v>0</v>
      </c>
      <c r="AA31" s="25">
        <v>1</v>
      </c>
      <c r="AB31" s="25">
        <v>0</v>
      </c>
      <c r="AD31" s="51"/>
    </row>
    <row r="32" spans="6:30">
      <c r="F32" s="21"/>
      <c r="G32" s="22">
        <v>31</v>
      </c>
      <c r="H32" s="43">
        <f ca="1" t="shared" si="0"/>
        <v>112.036217916452</v>
      </c>
      <c r="I32" s="43">
        <f ca="1" t="shared" si="1"/>
        <v>105.792612376159</v>
      </c>
      <c r="J32" s="44">
        <f ca="1" t="shared" si="2"/>
        <v>86.4998609446765</v>
      </c>
      <c r="W32" s="24">
        <v>30</v>
      </c>
      <c r="X32" s="25">
        <v>113.275658907676</v>
      </c>
      <c r="Y32" s="25">
        <v>15.8025397874184</v>
      </c>
      <c r="Z32" s="25">
        <v>0</v>
      </c>
      <c r="AA32" s="25">
        <v>1</v>
      </c>
      <c r="AB32" s="25">
        <v>0</v>
      </c>
      <c r="AD32" s="51"/>
    </row>
    <row r="33" spans="6:30">
      <c r="F33" s="21"/>
      <c r="G33" s="22">
        <v>32</v>
      </c>
      <c r="H33" s="43">
        <f ca="1" t="shared" si="0"/>
        <v>110.933612948638</v>
      </c>
      <c r="I33" s="43">
        <f ca="1" t="shared" si="1"/>
        <v>104.963343763764</v>
      </c>
      <c r="J33" s="44">
        <f ca="1" t="shared" si="2"/>
        <v>87.6814700706707</v>
      </c>
      <c r="W33" s="24">
        <v>31</v>
      </c>
      <c r="X33" s="25">
        <v>111.356490747994</v>
      </c>
      <c r="Y33" s="25">
        <v>13.9391601617977</v>
      </c>
      <c r="Z33" s="25">
        <v>0</v>
      </c>
      <c r="AA33" s="25">
        <v>0</v>
      </c>
      <c r="AB33" s="25">
        <v>0</v>
      </c>
      <c r="AD33" s="51"/>
    </row>
    <row r="34" spans="6:30">
      <c r="F34" s="21"/>
      <c r="G34" s="22">
        <v>33</v>
      </c>
      <c r="H34" s="43">
        <f ca="1" t="shared" si="0"/>
        <v>109.551334313782</v>
      </c>
      <c r="I34" s="43">
        <f ca="1" t="shared" si="1"/>
        <v>104.729158338524</v>
      </c>
      <c r="J34" s="44">
        <f ca="1" t="shared" si="2"/>
        <v>88.7798321699401</v>
      </c>
      <c r="W34" s="24">
        <v>32</v>
      </c>
      <c r="X34" s="25">
        <v>96.8435204016796</v>
      </c>
      <c r="Y34" s="25">
        <v>0</v>
      </c>
      <c r="Z34" s="25">
        <v>0.151930873730183</v>
      </c>
      <c r="AA34" s="25">
        <v>1</v>
      </c>
      <c r="AB34" s="25">
        <v>0</v>
      </c>
      <c r="AD34" s="51"/>
    </row>
    <row r="35" spans="6:30">
      <c r="F35" s="21"/>
      <c r="G35" s="22">
        <v>34</v>
      </c>
      <c r="H35" s="43">
        <f ca="1" t="shared" ref="H35:H53" si="3">H34*EXP((mu-sigma^2/2)*Dt+sigma*SQRT(Dt)*_xlfn.NORM.INV(RAND(),0,1))</f>
        <v>109.928101881879</v>
      </c>
      <c r="I35" s="43">
        <f ca="1" t="shared" ref="I35:I53" si="4">I34*EXP((mu-sigma^2/2)*Dt+sigma*SQRT(Dt)*_xlfn.NORM.INV(RAND(),0,1))</f>
        <v>105.899392888171</v>
      </c>
      <c r="J35" s="44">
        <f ca="1" t="shared" ref="J35:J53" si="5">J34*EXP((mu-sigma^2/2)*Dt+sigma*SQRT(Dt)*_xlfn.NORM.INV(RAND(),0,1))</f>
        <v>89.5215396548631</v>
      </c>
      <c r="W35" s="24">
        <v>33</v>
      </c>
      <c r="X35" s="25">
        <v>107.984719424965</v>
      </c>
      <c r="Y35" s="25">
        <v>10.6654032719234</v>
      </c>
      <c r="Z35" s="25">
        <v>0</v>
      </c>
      <c r="AA35" s="25">
        <v>1</v>
      </c>
      <c r="AB35" s="25">
        <v>0</v>
      </c>
      <c r="AD35" s="51"/>
    </row>
    <row r="36" spans="6:30">
      <c r="F36" s="21"/>
      <c r="G36" s="22">
        <v>35</v>
      </c>
      <c r="H36" s="43">
        <f ca="1" t="shared" si="3"/>
        <v>108.801511934319</v>
      </c>
      <c r="I36" s="43">
        <f ca="1" t="shared" si="4"/>
        <v>105.322016092579</v>
      </c>
      <c r="J36" s="44">
        <f ca="1" t="shared" si="5"/>
        <v>90.0872148311874</v>
      </c>
      <c r="W36" s="24">
        <v>34</v>
      </c>
      <c r="X36" s="25">
        <v>113.696469391853</v>
      </c>
      <c r="Y36" s="25">
        <v>16.2111176801416</v>
      </c>
      <c r="Z36" s="25">
        <v>0</v>
      </c>
      <c r="AA36" s="25">
        <v>0</v>
      </c>
      <c r="AB36" s="25">
        <v>0</v>
      </c>
      <c r="AD36" s="51"/>
    </row>
    <row r="37" spans="6:30">
      <c r="F37" s="21"/>
      <c r="G37" s="22">
        <v>36</v>
      </c>
      <c r="H37" s="43">
        <f ca="1" t="shared" si="3"/>
        <v>111.512033215831</v>
      </c>
      <c r="I37" s="43">
        <f ca="1" t="shared" si="4"/>
        <v>106.078059559446</v>
      </c>
      <c r="J37" s="44">
        <f ca="1" t="shared" si="5"/>
        <v>90.7789162259666</v>
      </c>
      <c r="W37" s="24">
        <v>35</v>
      </c>
      <c r="X37" s="25">
        <v>97.6746131983049</v>
      </c>
      <c r="Y37" s="25">
        <v>0.655002784698548</v>
      </c>
      <c r="Z37" s="25">
        <v>0</v>
      </c>
      <c r="AA37" s="25">
        <v>1</v>
      </c>
      <c r="AB37" s="25">
        <v>0</v>
      </c>
      <c r="AD37" s="51"/>
    </row>
    <row r="38" spans="6:30">
      <c r="F38" s="21"/>
      <c r="G38" s="22">
        <v>37</v>
      </c>
      <c r="H38" s="43">
        <f ca="1" t="shared" si="3"/>
        <v>109.102798535895</v>
      </c>
      <c r="I38" s="43">
        <f ca="1" t="shared" si="4"/>
        <v>105.778267255196</v>
      </c>
      <c r="J38" s="44">
        <f ca="1" t="shared" si="5"/>
        <v>90.7174408982697</v>
      </c>
      <c r="W38" s="24">
        <v>36</v>
      </c>
      <c r="X38" s="25">
        <v>115.923753722219</v>
      </c>
      <c r="Y38" s="25">
        <v>18.3736568097798</v>
      </c>
      <c r="Z38" s="25">
        <v>0</v>
      </c>
      <c r="AA38" s="25">
        <v>0</v>
      </c>
      <c r="AB38" s="25">
        <v>1</v>
      </c>
      <c r="AD38" s="51"/>
    </row>
    <row r="39" spans="6:30">
      <c r="F39" s="21"/>
      <c r="G39" s="22">
        <v>38</v>
      </c>
      <c r="H39" s="43">
        <f ca="1" t="shared" si="3"/>
        <v>106.853550529989</v>
      </c>
      <c r="I39" s="43">
        <f ca="1" t="shared" si="4"/>
        <v>106.616708105366</v>
      </c>
      <c r="J39" s="44">
        <f ca="1" t="shared" si="5"/>
        <v>90.1217149904227</v>
      </c>
      <c r="W39" s="24">
        <v>37</v>
      </c>
      <c r="X39" s="25">
        <v>94.3962850372536</v>
      </c>
      <c r="Y39" s="25">
        <v>0</v>
      </c>
      <c r="Z39" s="25">
        <v>2.52802725390683</v>
      </c>
      <c r="AA39" s="25">
        <v>1</v>
      </c>
      <c r="AB39" s="25">
        <v>0</v>
      </c>
      <c r="AD39" s="51"/>
    </row>
    <row r="40" spans="6:28">
      <c r="F40" s="21"/>
      <c r="G40" s="22">
        <v>39</v>
      </c>
      <c r="H40" s="43">
        <f ca="1" t="shared" si="3"/>
        <v>108.17125177796</v>
      </c>
      <c r="I40" s="43">
        <f ca="1" t="shared" si="4"/>
        <v>105.37508399383</v>
      </c>
      <c r="J40" s="44">
        <f ca="1" t="shared" si="5"/>
        <v>90.7966209801948</v>
      </c>
      <c r="W40" s="24">
        <v>38</v>
      </c>
      <c r="X40" s="25">
        <v>102.754950774819</v>
      </c>
      <c r="Y40" s="25">
        <v>5.58765940657728</v>
      </c>
      <c r="Z40" s="25">
        <v>0</v>
      </c>
      <c r="AA40" s="25">
        <v>1</v>
      </c>
      <c r="AB40" s="25">
        <v>0</v>
      </c>
    </row>
    <row r="41" spans="6:28">
      <c r="F41" s="21"/>
      <c r="G41" s="22">
        <v>40</v>
      </c>
      <c r="H41" s="43">
        <f ca="1" t="shared" si="3"/>
        <v>106.227338532786</v>
      </c>
      <c r="I41" s="43">
        <f ca="1" t="shared" si="4"/>
        <v>104.762693606349</v>
      </c>
      <c r="J41" s="44">
        <f ca="1" t="shared" si="5"/>
        <v>89.0871312418169</v>
      </c>
      <c r="W41" s="24">
        <v>39</v>
      </c>
      <c r="X41" s="25">
        <v>110.89071915099</v>
      </c>
      <c r="Y41" s="25">
        <v>13.4869281363382</v>
      </c>
      <c r="Z41" s="25">
        <v>0</v>
      </c>
      <c r="AA41" s="25">
        <v>0</v>
      </c>
      <c r="AB41" s="25">
        <v>1</v>
      </c>
    </row>
    <row r="42" spans="6:28">
      <c r="F42" s="21"/>
      <c r="G42" s="22">
        <v>41</v>
      </c>
      <c r="H42" s="43">
        <f ca="1" t="shared" si="3"/>
        <v>108.726579694808</v>
      </c>
      <c r="I42" s="43">
        <f ca="1" t="shared" si="4"/>
        <v>103.693355616128</v>
      </c>
      <c r="J42" s="44">
        <f ca="1" t="shared" si="5"/>
        <v>87.264465278476</v>
      </c>
      <c r="W42" s="24">
        <v>40</v>
      </c>
      <c r="X42" s="25">
        <v>94.3639396363488</v>
      </c>
      <c r="Y42" s="25">
        <v>0</v>
      </c>
      <c r="Z42" s="25">
        <v>2.55943240239502</v>
      </c>
      <c r="AA42" s="25">
        <v>1</v>
      </c>
      <c r="AB42" s="25">
        <v>0</v>
      </c>
    </row>
    <row r="43" spans="6:28">
      <c r="F43" s="21"/>
      <c r="G43" s="22">
        <v>42</v>
      </c>
      <c r="H43" s="43">
        <f ca="1" t="shared" si="3"/>
        <v>111.366072737682</v>
      </c>
      <c r="I43" s="43">
        <f ca="1" t="shared" si="4"/>
        <v>103.50918841812</v>
      </c>
      <c r="J43" s="44">
        <f ca="1" t="shared" si="5"/>
        <v>88.3883897146716</v>
      </c>
      <c r="W43" s="24">
        <v>41</v>
      </c>
      <c r="X43" s="25">
        <v>105.217070897832</v>
      </c>
      <c r="Y43" s="25">
        <v>7.97820785847212</v>
      </c>
      <c r="Z43" s="25">
        <v>0</v>
      </c>
      <c r="AA43" s="25">
        <v>0</v>
      </c>
      <c r="AB43" s="25">
        <v>0</v>
      </c>
    </row>
    <row r="44" spans="6:28">
      <c r="F44" s="21"/>
      <c r="G44" s="22">
        <v>43</v>
      </c>
      <c r="H44" s="43">
        <f ca="1" t="shared" si="3"/>
        <v>110.447930610266</v>
      </c>
      <c r="I44" s="43">
        <f ca="1" t="shared" si="4"/>
        <v>105.844832599964</v>
      </c>
      <c r="J44" s="44">
        <f ca="1" t="shared" si="5"/>
        <v>84.3082261114086</v>
      </c>
      <c r="W44" s="24">
        <v>42</v>
      </c>
      <c r="X44" s="25">
        <v>97.0601085177699</v>
      </c>
      <c r="Y44" s="25">
        <v>0.0583612159120726</v>
      </c>
      <c r="Z44" s="25">
        <v>0</v>
      </c>
      <c r="AA44" s="25">
        <v>0</v>
      </c>
      <c r="AB44" s="25">
        <v>1</v>
      </c>
    </row>
    <row r="45" spans="6:28">
      <c r="F45" s="21"/>
      <c r="G45" s="22">
        <v>44</v>
      </c>
      <c r="H45" s="43">
        <f ca="1" t="shared" si="3"/>
        <v>109.600196201978</v>
      </c>
      <c r="I45" s="43">
        <f ca="1" t="shared" si="4"/>
        <v>107.487487887905</v>
      </c>
      <c r="J45" s="44">
        <f ca="1" t="shared" si="5"/>
        <v>85.2008248893357</v>
      </c>
      <c r="W45" s="24">
        <v>43</v>
      </c>
      <c r="X45" s="25">
        <v>89.473655030281</v>
      </c>
      <c r="Y45" s="25">
        <v>0</v>
      </c>
      <c r="Z45" s="25">
        <v>7.30756072687969</v>
      </c>
      <c r="AA45" s="25">
        <v>0</v>
      </c>
      <c r="AB45" s="25">
        <v>0</v>
      </c>
    </row>
    <row r="46" spans="6:28">
      <c r="F46" s="21"/>
      <c r="G46" s="22">
        <v>45</v>
      </c>
      <c r="H46" s="43">
        <f ca="1" t="shared" si="3"/>
        <v>110.844305028835</v>
      </c>
      <c r="I46" s="43">
        <f ca="1" t="shared" si="4"/>
        <v>107.965999974334</v>
      </c>
      <c r="J46" s="44">
        <f ca="1" t="shared" si="5"/>
        <v>85.5463200030713</v>
      </c>
      <c r="W46" s="24">
        <v>44</v>
      </c>
      <c r="X46" s="25">
        <v>98.0301684305487</v>
      </c>
      <c r="Y46" s="25">
        <v>1.00022233839086</v>
      </c>
      <c r="Z46" s="25">
        <v>0</v>
      </c>
      <c r="AA46" s="25">
        <v>0</v>
      </c>
      <c r="AB46" s="25">
        <v>0</v>
      </c>
    </row>
    <row r="47" spans="6:28">
      <c r="F47" s="21"/>
      <c r="G47" s="22">
        <v>46</v>
      </c>
      <c r="H47" s="43">
        <f ca="1" t="shared" si="3"/>
        <v>109.330738562338</v>
      </c>
      <c r="I47" s="43">
        <f ca="1" t="shared" si="4"/>
        <v>107.78566942507</v>
      </c>
      <c r="J47" s="44">
        <f ca="1" t="shared" si="5"/>
        <v>88.5769912771032</v>
      </c>
      <c r="W47" s="24">
        <v>45</v>
      </c>
      <c r="X47" s="25">
        <v>96.3583396209007</v>
      </c>
      <c r="Y47" s="25">
        <v>0</v>
      </c>
      <c r="Z47" s="25">
        <v>0.623007875026512</v>
      </c>
      <c r="AA47" s="25">
        <v>1</v>
      </c>
      <c r="AB47" s="25">
        <v>0</v>
      </c>
    </row>
    <row r="48" spans="6:28">
      <c r="F48" s="21"/>
      <c r="G48" s="22">
        <v>47</v>
      </c>
      <c r="H48" s="43">
        <f ca="1" t="shared" si="3"/>
        <v>111.172919088463</v>
      </c>
      <c r="I48" s="43">
        <f ca="1" t="shared" si="4"/>
        <v>109.011587601644</v>
      </c>
      <c r="J48" s="44">
        <f ca="1" t="shared" si="5"/>
        <v>88.1389329840311</v>
      </c>
      <c r="W48" s="24">
        <v>46</v>
      </c>
      <c r="X48" s="25">
        <v>111.590135208024</v>
      </c>
      <c r="Y48" s="25">
        <v>14.1660127824306</v>
      </c>
      <c r="Z48" s="25">
        <v>0</v>
      </c>
      <c r="AA48" s="25">
        <v>0</v>
      </c>
      <c r="AB48" s="25">
        <v>1</v>
      </c>
    </row>
    <row r="49" spans="6:28">
      <c r="F49" s="21"/>
      <c r="G49" s="22">
        <v>48</v>
      </c>
      <c r="H49" s="43">
        <f ca="1" t="shared" si="3"/>
        <v>111.460068992286</v>
      </c>
      <c r="I49" s="43">
        <f ca="1" t="shared" si="4"/>
        <v>110.470591285418</v>
      </c>
      <c r="J49" s="44">
        <f ca="1" t="shared" si="5"/>
        <v>89.7103185135435</v>
      </c>
      <c r="W49" s="24">
        <v>47</v>
      </c>
      <c r="X49" s="25">
        <v>91.4210826333496</v>
      </c>
      <c r="Y49" s="25">
        <v>0</v>
      </c>
      <c r="Z49" s="25">
        <v>5.41674313508953</v>
      </c>
      <c r="AA49" s="25">
        <v>1</v>
      </c>
      <c r="AB49" s="25">
        <v>0</v>
      </c>
    </row>
    <row r="50" spans="6:28">
      <c r="F50" s="21"/>
      <c r="G50" s="22">
        <v>49</v>
      </c>
      <c r="H50" s="43">
        <f ca="1" t="shared" si="3"/>
        <v>110.864830481713</v>
      </c>
      <c r="I50" s="43">
        <f ca="1" t="shared" si="4"/>
        <v>110.014677159179</v>
      </c>
      <c r="J50" s="44">
        <f ca="1" t="shared" si="5"/>
        <v>90.0587256609977</v>
      </c>
      <c r="W50" s="24">
        <v>48</v>
      </c>
      <c r="X50" s="25">
        <v>100.291011002067</v>
      </c>
      <c r="Y50" s="25">
        <v>3.19534420056339</v>
      </c>
      <c r="Z50" s="25">
        <v>0</v>
      </c>
      <c r="AA50" s="25">
        <v>1</v>
      </c>
      <c r="AB50" s="25">
        <v>0</v>
      </c>
    </row>
    <row r="51" spans="6:28">
      <c r="F51" s="21"/>
      <c r="G51" s="22">
        <v>50</v>
      </c>
      <c r="H51" s="43">
        <f ca="1" t="shared" si="3"/>
        <v>109.443050010458</v>
      </c>
      <c r="I51" s="43">
        <f ca="1" t="shared" si="4"/>
        <v>111.792000763214</v>
      </c>
      <c r="J51" s="44">
        <f ca="1" t="shared" si="5"/>
        <v>90.7760936655113</v>
      </c>
      <c r="W51" s="24">
        <v>49</v>
      </c>
      <c r="X51" s="25">
        <v>101.41439293403</v>
      </c>
      <c r="Y51" s="25">
        <v>4.28607040569094</v>
      </c>
      <c r="Z51" s="25">
        <v>0</v>
      </c>
      <c r="AA51" s="25">
        <v>1</v>
      </c>
      <c r="AB51" s="25">
        <v>0</v>
      </c>
    </row>
    <row r="52" spans="6:28">
      <c r="F52" s="21"/>
      <c r="G52" s="22">
        <v>51</v>
      </c>
      <c r="H52" s="43">
        <f ca="1" t="shared" si="3"/>
        <v>111.029970783051</v>
      </c>
      <c r="I52" s="43">
        <f ca="1" t="shared" si="4"/>
        <v>111.142365740032</v>
      </c>
      <c r="J52" s="44">
        <f ca="1" t="shared" si="5"/>
        <v>91.2693484553958</v>
      </c>
      <c r="W52" s="24">
        <v>50</v>
      </c>
      <c r="X52" s="25">
        <v>110.431609280822</v>
      </c>
      <c r="Y52" s="25">
        <v>13.0411641871622</v>
      </c>
      <c r="Z52" s="25">
        <v>0</v>
      </c>
      <c r="AA52" s="25">
        <v>1</v>
      </c>
      <c r="AB52" s="25">
        <v>0</v>
      </c>
    </row>
    <row r="53" spans="6:28">
      <c r="F53" s="21"/>
      <c r="G53" s="24">
        <v>52</v>
      </c>
      <c r="H53" s="44">
        <f ca="1" t="shared" si="3"/>
        <v>109.224094841624</v>
      </c>
      <c r="I53" s="44">
        <f ca="1" t="shared" si="4"/>
        <v>112.314827442154</v>
      </c>
      <c r="J53" s="44">
        <f ca="1" t="shared" si="5"/>
        <v>93.2179443015473</v>
      </c>
      <c r="W53" s="24">
        <v>51</v>
      </c>
      <c r="X53" s="25">
        <v>99.4674948608597</v>
      </c>
      <c r="Y53" s="25">
        <v>2.39576695082963</v>
      </c>
      <c r="Z53" s="25">
        <v>0</v>
      </c>
      <c r="AA53" s="25">
        <v>1</v>
      </c>
      <c r="AB53" s="25">
        <v>0</v>
      </c>
    </row>
    <row r="54" spans="23:28">
      <c r="W54" s="24">
        <v>52</v>
      </c>
      <c r="X54" s="25">
        <v>111.477401970022</v>
      </c>
      <c r="Y54" s="25">
        <v>14.0565566007179</v>
      </c>
      <c r="Z54" s="25">
        <v>0</v>
      </c>
      <c r="AA54" s="25">
        <v>0</v>
      </c>
      <c r="AB54" s="25">
        <v>0</v>
      </c>
    </row>
    <row r="55" spans="23:28">
      <c r="W55" s="24">
        <v>53</v>
      </c>
      <c r="X55" s="25">
        <v>96.8437069842165</v>
      </c>
      <c r="Y55" s="25">
        <v>0</v>
      </c>
      <c r="Z55" s="25">
        <v>0.151749714983908</v>
      </c>
      <c r="AA55" s="25">
        <v>1</v>
      </c>
      <c r="AB55" s="25">
        <v>0</v>
      </c>
    </row>
    <row r="56" spans="23:28">
      <c r="W56" s="24">
        <v>54</v>
      </c>
      <c r="X56" s="25">
        <v>109.548552533093</v>
      </c>
      <c r="Y56" s="25">
        <v>12.1837771240827</v>
      </c>
      <c r="Z56" s="25">
        <v>0</v>
      </c>
      <c r="AA56" s="25">
        <v>1</v>
      </c>
      <c r="AB56" s="25">
        <v>0</v>
      </c>
    </row>
    <row r="57" spans="23:28">
      <c r="W57" s="24">
        <v>55</v>
      </c>
      <c r="X57" s="25">
        <v>116.552140364633</v>
      </c>
      <c r="Y57" s="25">
        <v>18.9837768039966</v>
      </c>
      <c r="Z57" s="25">
        <v>0</v>
      </c>
      <c r="AA57" s="25">
        <v>1</v>
      </c>
      <c r="AB57" s="25">
        <v>0</v>
      </c>
    </row>
    <row r="58" spans="23:28">
      <c r="W58" s="24">
        <v>56</v>
      </c>
      <c r="X58" s="25">
        <v>102.681785373525</v>
      </c>
      <c r="Y58" s="25">
        <v>5.51662085928567</v>
      </c>
      <c r="Z58" s="25">
        <v>0</v>
      </c>
      <c r="AA58" s="25">
        <v>1</v>
      </c>
      <c r="AB58" s="25">
        <v>0</v>
      </c>
    </row>
    <row r="59" spans="23:28">
      <c r="W59" s="24">
        <v>57</v>
      </c>
      <c r="X59" s="25">
        <v>105.093953871812</v>
      </c>
      <c r="Y59" s="25">
        <v>7.85866973634572</v>
      </c>
      <c r="Z59" s="25">
        <v>0</v>
      </c>
      <c r="AA59" s="25">
        <v>1</v>
      </c>
      <c r="AB59" s="25">
        <v>0</v>
      </c>
    </row>
    <row r="60" spans="23:28">
      <c r="W60" s="24">
        <v>58</v>
      </c>
      <c r="X60" s="25">
        <v>99.8270413969312</v>
      </c>
      <c r="Y60" s="25">
        <v>2.74486178465035</v>
      </c>
      <c r="Z60" s="25">
        <v>0</v>
      </c>
      <c r="AA60" s="25">
        <v>1</v>
      </c>
      <c r="AB60" s="25">
        <v>0</v>
      </c>
    </row>
    <row r="61" spans="23:28">
      <c r="W61" s="24">
        <v>59</v>
      </c>
      <c r="X61" s="25">
        <v>102.588562014078</v>
      </c>
      <c r="Y61" s="25">
        <v>5.42610742108061</v>
      </c>
      <c r="Z61" s="25">
        <v>0</v>
      </c>
      <c r="AA61" s="25">
        <v>1</v>
      </c>
      <c r="AB61" s="25">
        <v>0</v>
      </c>
    </row>
    <row r="62" spans="23:28">
      <c r="W62" s="24">
        <v>60</v>
      </c>
      <c r="X62" s="25">
        <v>117.163613747902</v>
      </c>
      <c r="Y62" s="25">
        <v>19.5774751926681</v>
      </c>
      <c r="Z62" s="25">
        <v>0</v>
      </c>
      <c r="AA62" s="25">
        <v>1</v>
      </c>
      <c r="AB62" s="25">
        <v>0</v>
      </c>
    </row>
    <row r="63" spans="23:28">
      <c r="W63" s="24">
        <v>61</v>
      </c>
      <c r="X63" s="25">
        <v>100.686445308853</v>
      </c>
      <c r="Y63" s="25">
        <v>3.57928357910104</v>
      </c>
      <c r="Z63" s="25">
        <v>0</v>
      </c>
      <c r="AA63" s="25">
        <v>1</v>
      </c>
      <c r="AB63" s="25">
        <v>0</v>
      </c>
    </row>
    <row r="64" spans="23:28">
      <c r="W64" s="24">
        <v>62</v>
      </c>
      <c r="X64" s="25">
        <v>110.934534285791</v>
      </c>
      <c r="Y64" s="25">
        <v>13.529469603624</v>
      </c>
      <c r="Z64" s="25">
        <v>0</v>
      </c>
      <c r="AA64" s="25">
        <v>1</v>
      </c>
      <c r="AB64" s="25">
        <v>0</v>
      </c>
    </row>
    <row r="65" spans="23:28">
      <c r="W65" s="24">
        <v>63</v>
      </c>
      <c r="X65" s="25">
        <v>107.630673727485</v>
      </c>
      <c r="Y65" s="25">
        <v>10.3216493721438</v>
      </c>
      <c r="Z65" s="25">
        <v>0</v>
      </c>
      <c r="AA65" s="25">
        <v>1</v>
      </c>
      <c r="AB65" s="25">
        <v>0</v>
      </c>
    </row>
    <row r="66" spans="23:28">
      <c r="W66" s="24">
        <v>64</v>
      </c>
      <c r="X66" s="25">
        <v>103.870131551946</v>
      </c>
      <c r="Y66" s="25">
        <v>6.67042285724157</v>
      </c>
      <c r="Z66" s="25">
        <v>0</v>
      </c>
      <c r="AA66" s="25">
        <v>1</v>
      </c>
      <c r="AB66" s="25">
        <v>0</v>
      </c>
    </row>
    <row r="67" spans="23:28">
      <c r="W67" s="24">
        <v>65</v>
      </c>
      <c r="X67" s="25">
        <v>110.853258647444</v>
      </c>
      <c r="Y67" s="25">
        <v>13.450556576753</v>
      </c>
      <c r="Z67" s="25">
        <v>0</v>
      </c>
      <c r="AA67" s="25">
        <v>1</v>
      </c>
      <c r="AB67" s="25">
        <v>0</v>
      </c>
    </row>
    <row r="68" spans="23:28">
      <c r="W68" s="24">
        <v>66</v>
      </c>
      <c r="X68" s="25">
        <v>100.140917246711</v>
      </c>
      <c r="Y68" s="25">
        <v>3.04961353894785</v>
      </c>
      <c r="Z68" s="25">
        <v>0</v>
      </c>
      <c r="AA68" s="25">
        <v>1</v>
      </c>
      <c r="AB68" s="25">
        <v>0</v>
      </c>
    </row>
    <row r="69" spans="23:28">
      <c r="W69" s="24">
        <v>67</v>
      </c>
      <c r="X69" s="25">
        <v>110.623049675295</v>
      </c>
      <c r="Y69" s="25">
        <v>13.227039577384</v>
      </c>
      <c r="Z69" s="25">
        <v>0</v>
      </c>
      <c r="AA69" s="25">
        <v>0</v>
      </c>
      <c r="AB69" s="25">
        <v>1</v>
      </c>
    </row>
    <row r="70" spans="23:28">
      <c r="W70" s="24">
        <v>68</v>
      </c>
      <c r="X70" s="25">
        <v>95.7322934341457</v>
      </c>
      <c r="Y70" s="25">
        <v>0</v>
      </c>
      <c r="Z70" s="25">
        <v>1.23085544857642</v>
      </c>
      <c r="AA70" s="25">
        <v>1</v>
      </c>
      <c r="AB70" s="25">
        <v>0</v>
      </c>
    </row>
    <row r="71" spans="23:28">
      <c r="W71" s="24">
        <v>69</v>
      </c>
      <c r="X71" s="25">
        <v>100.279847261227</v>
      </c>
      <c r="Y71" s="25">
        <v>3.18450497987264</v>
      </c>
      <c r="Z71" s="25">
        <v>0</v>
      </c>
      <c r="AA71" s="25">
        <v>0</v>
      </c>
      <c r="AB71" s="25">
        <v>1</v>
      </c>
    </row>
    <row r="72" spans="23:28">
      <c r="W72" s="24">
        <v>70</v>
      </c>
      <c r="X72" s="25">
        <v>94.9096845994369</v>
      </c>
      <c r="Y72" s="25">
        <v>0</v>
      </c>
      <c r="Z72" s="25">
        <v>2.02955176641559</v>
      </c>
      <c r="AA72" s="25">
        <v>1</v>
      </c>
      <c r="AB72" s="25">
        <v>0</v>
      </c>
    </row>
    <row r="73" spans="23:28">
      <c r="W73" s="24">
        <v>71</v>
      </c>
      <c r="X73" s="25">
        <v>119.499795871238</v>
      </c>
      <c r="Y73" s="25">
        <v>21.8457465520085</v>
      </c>
      <c r="Z73" s="25">
        <v>0</v>
      </c>
      <c r="AA73" s="25">
        <v>1</v>
      </c>
      <c r="AB73" s="25">
        <v>0</v>
      </c>
    </row>
    <row r="74" spans="23:28">
      <c r="W74" s="24">
        <v>72</v>
      </c>
      <c r="X74" s="25">
        <v>101.980967244275</v>
      </c>
      <c r="Y74" s="25">
        <v>4.83617489798582</v>
      </c>
      <c r="Z74" s="25">
        <v>0</v>
      </c>
      <c r="AA74" s="25">
        <v>0</v>
      </c>
      <c r="AB74" s="25">
        <v>0</v>
      </c>
    </row>
    <row r="75" spans="23:28">
      <c r="W75" s="24">
        <v>73</v>
      </c>
      <c r="X75" s="25">
        <v>98.0528306644495</v>
      </c>
      <c r="Y75" s="25">
        <v>1.02222580104149</v>
      </c>
      <c r="Z75" s="25">
        <v>0</v>
      </c>
      <c r="AA75" s="25">
        <v>1</v>
      </c>
      <c r="AB75" s="25">
        <v>0</v>
      </c>
    </row>
    <row r="76" spans="23:28">
      <c r="W76" s="24">
        <v>74</v>
      </c>
      <c r="X76" s="25">
        <v>115.663279844622</v>
      </c>
      <c r="Y76" s="25">
        <v>18.1207546792017</v>
      </c>
      <c r="Z76" s="25">
        <v>0</v>
      </c>
      <c r="AA76" s="25">
        <v>0</v>
      </c>
      <c r="AB76" s="25">
        <v>1</v>
      </c>
    </row>
    <row r="77" spans="23:28">
      <c r="W77" s="24">
        <v>75</v>
      </c>
      <c r="X77" s="25">
        <v>95.2477707509342</v>
      </c>
      <c r="Y77" s="25">
        <v>0</v>
      </c>
      <c r="Z77" s="25">
        <v>1.70129348262408</v>
      </c>
      <c r="AA77" s="25">
        <v>1</v>
      </c>
      <c r="AB77" s="25">
        <v>0</v>
      </c>
    </row>
    <row r="78" spans="23:28">
      <c r="W78" s="24">
        <v>76</v>
      </c>
      <c r="X78" s="25">
        <v>100.342668038159</v>
      </c>
      <c r="Y78" s="25">
        <v>3.24549961195271</v>
      </c>
      <c r="Z78" s="25">
        <v>0</v>
      </c>
      <c r="AA78" s="25">
        <v>1</v>
      </c>
      <c r="AB78" s="25">
        <v>0</v>
      </c>
    </row>
    <row r="79" spans="23:28">
      <c r="W79" s="24">
        <v>77</v>
      </c>
      <c r="X79" s="25">
        <v>103.864151464039</v>
      </c>
      <c r="Y79" s="25">
        <v>6.6646166052419</v>
      </c>
      <c r="Z79" s="25">
        <v>0</v>
      </c>
      <c r="AA79" s="25">
        <v>1</v>
      </c>
      <c r="AB79" s="25">
        <v>0</v>
      </c>
    </row>
    <row r="80" spans="23:28">
      <c r="W80" s="24">
        <v>78</v>
      </c>
      <c r="X80" s="25">
        <v>106.988871914674</v>
      </c>
      <c r="Y80" s="25">
        <v>9.69850417476012</v>
      </c>
      <c r="Z80" s="25">
        <v>0</v>
      </c>
      <c r="AA80" s="25">
        <v>0</v>
      </c>
      <c r="AB80" s="25">
        <v>1</v>
      </c>
    </row>
    <row r="81" spans="23:28">
      <c r="W81" s="24">
        <v>79</v>
      </c>
      <c r="X81" s="25">
        <v>94.0842953369554</v>
      </c>
      <c r="Y81" s="25">
        <v>0</v>
      </c>
      <c r="Z81" s="25">
        <v>2.83094768743242</v>
      </c>
      <c r="AA81" s="25">
        <v>1</v>
      </c>
      <c r="AB81" s="25">
        <v>0</v>
      </c>
    </row>
    <row r="82" spans="23:28">
      <c r="W82" s="24">
        <v>80</v>
      </c>
      <c r="X82" s="25">
        <v>116.287148315933</v>
      </c>
      <c r="Y82" s="25">
        <v>18.7264878415844</v>
      </c>
      <c r="Z82" s="25">
        <v>0</v>
      </c>
      <c r="AA82" s="25">
        <v>1</v>
      </c>
      <c r="AB82" s="25">
        <v>0</v>
      </c>
    </row>
    <row r="83" spans="23:28">
      <c r="W83" s="24">
        <v>81</v>
      </c>
      <c r="X83" s="25">
        <v>111.186862998092</v>
      </c>
      <c r="Y83" s="25">
        <v>13.7744633417131</v>
      </c>
      <c r="Z83" s="25">
        <v>0</v>
      </c>
      <c r="AA83" s="25">
        <v>1</v>
      </c>
      <c r="AB83" s="25">
        <v>0</v>
      </c>
    </row>
    <row r="84" spans="23:28">
      <c r="W84" s="24">
        <v>82</v>
      </c>
      <c r="X84" s="25">
        <v>114.637878635934</v>
      </c>
      <c r="Y84" s="25">
        <v>17.1251609837167</v>
      </c>
      <c r="Z84" s="25">
        <v>0</v>
      </c>
      <c r="AA84" s="25">
        <v>1</v>
      </c>
      <c r="AB84" s="25">
        <v>0</v>
      </c>
    </row>
    <row r="85" spans="23:28">
      <c r="W85" s="24">
        <v>83</v>
      </c>
      <c r="X85" s="25">
        <v>111.970289342651</v>
      </c>
      <c r="Y85" s="25">
        <v>14.5351161700026</v>
      </c>
      <c r="Z85" s="25">
        <v>0</v>
      </c>
      <c r="AA85" s="25">
        <v>1</v>
      </c>
      <c r="AB85" s="25">
        <v>0</v>
      </c>
    </row>
    <row r="86" spans="23:28">
      <c r="W86" s="24">
        <v>84</v>
      </c>
      <c r="X86" s="25">
        <v>104.350570797523</v>
      </c>
      <c r="Y86" s="25">
        <v>7.13689615560236</v>
      </c>
      <c r="Z86" s="25">
        <v>0</v>
      </c>
      <c r="AA86" s="25">
        <v>1</v>
      </c>
      <c r="AB86" s="25">
        <v>0</v>
      </c>
    </row>
    <row r="87" spans="23:28">
      <c r="W87" s="24">
        <v>85</v>
      </c>
      <c r="X87" s="25">
        <v>103.924486270396</v>
      </c>
      <c r="Y87" s="25">
        <v>6.72319753173025</v>
      </c>
      <c r="Z87" s="25">
        <v>0</v>
      </c>
      <c r="AA87" s="25">
        <v>1</v>
      </c>
      <c r="AB87" s="25">
        <v>0</v>
      </c>
    </row>
    <row r="88" spans="23:28">
      <c r="W88" s="24">
        <v>86</v>
      </c>
      <c r="X88" s="25">
        <v>106.602725028562</v>
      </c>
      <c r="Y88" s="25">
        <v>9.32358223972914</v>
      </c>
      <c r="Z88" s="25">
        <v>0</v>
      </c>
      <c r="AA88" s="25">
        <v>1</v>
      </c>
      <c r="AB88" s="25">
        <v>0</v>
      </c>
    </row>
    <row r="89" spans="23:28">
      <c r="W89" s="24">
        <v>87</v>
      </c>
      <c r="X89" s="25">
        <v>101.674990309475</v>
      </c>
      <c r="Y89" s="25">
        <v>4.53909244414309</v>
      </c>
      <c r="Z89" s="25">
        <v>0</v>
      </c>
      <c r="AA89" s="25">
        <v>1</v>
      </c>
      <c r="AB89" s="25">
        <v>0</v>
      </c>
    </row>
    <row r="90" spans="23:28">
      <c r="W90" s="24">
        <v>88</v>
      </c>
      <c r="X90" s="25">
        <v>112.66685656457</v>
      </c>
      <c r="Y90" s="25">
        <v>15.2114347941164</v>
      </c>
      <c r="Z90" s="25">
        <v>0</v>
      </c>
      <c r="AA90" s="25">
        <v>0</v>
      </c>
      <c r="AB90" s="25">
        <v>0</v>
      </c>
    </row>
    <row r="91" spans="23:28">
      <c r="W91" s="24">
        <v>89</v>
      </c>
      <c r="X91" s="25">
        <v>95.9375503726665</v>
      </c>
      <c r="Y91" s="25">
        <v>0</v>
      </c>
      <c r="Z91" s="25">
        <v>1.03156514911644</v>
      </c>
      <c r="AA91" s="25">
        <v>1</v>
      </c>
      <c r="AB91" s="25">
        <v>0</v>
      </c>
    </row>
    <row r="92" spans="23:28">
      <c r="W92" s="24">
        <v>90</v>
      </c>
      <c r="X92" s="25">
        <v>102.177374568411</v>
      </c>
      <c r="Y92" s="25">
        <v>5.02687283358467</v>
      </c>
      <c r="Z92" s="25">
        <v>0</v>
      </c>
      <c r="AA92" s="25">
        <v>1</v>
      </c>
      <c r="AB92" s="25">
        <v>0</v>
      </c>
    </row>
    <row r="93" spans="23:28">
      <c r="W93" s="24">
        <v>91</v>
      </c>
      <c r="X93" s="25">
        <v>100.008510743594</v>
      </c>
      <c r="Y93" s="25">
        <v>2.92105597667042</v>
      </c>
      <c r="Z93" s="25">
        <v>0</v>
      </c>
      <c r="AA93" s="25">
        <v>1</v>
      </c>
      <c r="AB93" s="25">
        <v>0</v>
      </c>
    </row>
    <row r="94" spans="23:28">
      <c r="W94" s="24">
        <v>92</v>
      </c>
      <c r="X94" s="25">
        <v>103.759790382683</v>
      </c>
      <c r="Y94" s="25">
        <v>6.56328920892893</v>
      </c>
      <c r="Z94" s="25">
        <v>0</v>
      </c>
      <c r="AA94" s="25">
        <v>1</v>
      </c>
      <c r="AB94" s="25">
        <v>0</v>
      </c>
    </row>
    <row r="95" spans="23:28">
      <c r="W95" s="24">
        <v>93</v>
      </c>
      <c r="X95" s="25">
        <v>98.1956440252488</v>
      </c>
      <c r="Y95" s="25">
        <v>1.16088770278122</v>
      </c>
      <c r="Z95" s="25">
        <v>0</v>
      </c>
      <c r="AA95" s="25">
        <v>0</v>
      </c>
      <c r="AB95" s="25">
        <v>1</v>
      </c>
    </row>
    <row r="96" spans="23:28">
      <c r="W96" s="24">
        <v>94</v>
      </c>
      <c r="X96" s="25">
        <v>91.4655057935466</v>
      </c>
      <c r="Y96" s="25">
        <v>0</v>
      </c>
      <c r="Z96" s="25">
        <v>5.37361131717191</v>
      </c>
      <c r="AA96" s="25">
        <v>1</v>
      </c>
      <c r="AB96" s="25">
        <v>0</v>
      </c>
    </row>
    <row r="97" spans="23:28">
      <c r="W97" s="24">
        <v>95</v>
      </c>
      <c r="X97" s="25">
        <v>115.10243267317</v>
      </c>
      <c r="Y97" s="25">
        <v>17.5762108428015</v>
      </c>
      <c r="Z97" s="25">
        <v>0</v>
      </c>
      <c r="AA97" s="25">
        <v>0</v>
      </c>
      <c r="AB97" s="25">
        <v>1</v>
      </c>
    </row>
    <row r="98" spans="23:28">
      <c r="W98" s="24">
        <v>96</v>
      </c>
      <c r="X98" s="25">
        <v>90.76655968972</v>
      </c>
      <c r="Y98" s="25">
        <v>0</v>
      </c>
      <c r="Z98" s="25">
        <v>6.05223967118416</v>
      </c>
      <c r="AA98" s="25">
        <v>1</v>
      </c>
      <c r="AB98" s="25">
        <v>0</v>
      </c>
    </row>
    <row r="99" spans="23:28">
      <c r="W99" s="24">
        <v>97</v>
      </c>
      <c r="X99" s="25">
        <v>109.25535517261</v>
      </c>
      <c r="Y99" s="25">
        <v>11.8991027535472</v>
      </c>
      <c r="Z99" s="25">
        <v>0</v>
      </c>
      <c r="AA99" s="25">
        <v>1</v>
      </c>
      <c r="AB99" s="25">
        <v>0</v>
      </c>
    </row>
    <row r="100" spans="23:28">
      <c r="W100" s="24">
        <v>98</v>
      </c>
      <c r="X100" s="25">
        <v>101.386656348049</v>
      </c>
      <c r="Y100" s="25">
        <v>4.25914009792135</v>
      </c>
      <c r="Z100" s="25">
        <v>0</v>
      </c>
      <c r="AA100" s="25">
        <v>0</v>
      </c>
      <c r="AB100" s="25">
        <v>1</v>
      </c>
    </row>
    <row r="101" spans="23:28">
      <c r="W101" s="24">
        <v>99</v>
      </c>
      <c r="X101" s="25">
        <v>90.4222564497548</v>
      </c>
      <c r="Y101" s="25">
        <v>0</v>
      </c>
      <c r="Z101" s="25">
        <v>6.38653431813832</v>
      </c>
      <c r="AA101" s="25">
        <v>0</v>
      </c>
      <c r="AB101" s="25">
        <v>1</v>
      </c>
    </row>
    <row r="102" spans="23:28">
      <c r="W102" s="24">
        <v>100</v>
      </c>
      <c r="X102" s="25">
        <v>90.0194044440115</v>
      </c>
      <c r="Y102" s="25">
        <v>0</v>
      </c>
      <c r="Z102" s="25">
        <v>6.77767576963416</v>
      </c>
      <c r="AA102" s="25">
        <v>1</v>
      </c>
      <c r="AB102" s="25">
        <v>0</v>
      </c>
    </row>
    <row r="103" spans="23:28">
      <c r="W103" s="24">
        <v>101</v>
      </c>
      <c r="X103" s="25">
        <v>126.714429512807</v>
      </c>
      <c r="Y103" s="25">
        <v>28.8506571254772</v>
      </c>
      <c r="Z103" s="25">
        <v>0</v>
      </c>
      <c r="AA103" s="25">
        <v>1</v>
      </c>
      <c r="AB103" s="25">
        <v>0</v>
      </c>
    </row>
    <row r="104" spans="23:28">
      <c r="W104" s="24">
        <v>102</v>
      </c>
      <c r="X104" s="25">
        <v>110.603509769921</v>
      </c>
      <c r="Y104" s="25">
        <v>13.2080676799098</v>
      </c>
      <c r="Z104" s="25">
        <v>0</v>
      </c>
      <c r="AA104" s="25">
        <v>1</v>
      </c>
      <c r="AB104" s="25">
        <v>0</v>
      </c>
    </row>
    <row r="105" spans="23:28">
      <c r="W105" s="24">
        <v>103</v>
      </c>
      <c r="X105" s="25">
        <v>112.789443527001</v>
      </c>
      <c r="Y105" s="25">
        <v>15.3304582611372</v>
      </c>
      <c r="Z105" s="25">
        <v>0</v>
      </c>
      <c r="AA105" s="25">
        <v>1</v>
      </c>
      <c r="AB105" s="25">
        <v>0</v>
      </c>
    </row>
    <row r="106" spans="23:28">
      <c r="W106" s="24">
        <v>104</v>
      </c>
      <c r="X106" s="25">
        <v>104.980280871618</v>
      </c>
      <c r="Y106" s="25">
        <v>7.74830111050361</v>
      </c>
      <c r="Z106" s="25">
        <v>0</v>
      </c>
      <c r="AA106" s="25">
        <v>1</v>
      </c>
      <c r="AB106" s="25">
        <v>0</v>
      </c>
    </row>
    <row r="107" spans="23:28">
      <c r="W107" s="24">
        <v>105</v>
      </c>
      <c r="X107" s="25">
        <v>105.981804452058</v>
      </c>
      <c r="Y107" s="25">
        <v>8.72071127943816</v>
      </c>
      <c r="Z107" s="25">
        <v>0</v>
      </c>
      <c r="AA107" s="25">
        <v>1</v>
      </c>
      <c r="AB107" s="25">
        <v>0</v>
      </c>
    </row>
    <row r="108" spans="23:28">
      <c r="W108" s="24">
        <v>106</v>
      </c>
      <c r="X108" s="25">
        <v>115.660605211245</v>
      </c>
      <c r="Y108" s="25">
        <v>18.1181577950698</v>
      </c>
      <c r="Z108" s="25">
        <v>0</v>
      </c>
      <c r="AA108" s="25">
        <v>1</v>
      </c>
      <c r="AB108" s="25">
        <v>0</v>
      </c>
    </row>
    <row r="109" spans="23:28">
      <c r="W109" s="24">
        <v>107</v>
      </c>
      <c r="X109" s="25">
        <v>108.35244223009</v>
      </c>
      <c r="Y109" s="25">
        <v>11.0224366978327</v>
      </c>
      <c r="Z109" s="25">
        <v>0</v>
      </c>
      <c r="AA109" s="25">
        <v>0</v>
      </c>
      <c r="AB109" s="25">
        <v>0</v>
      </c>
    </row>
    <row r="110" spans="23:28">
      <c r="W110" s="24">
        <v>108</v>
      </c>
      <c r="X110" s="25">
        <v>96.2133057022364</v>
      </c>
      <c r="Y110" s="25">
        <v>0</v>
      </c>
      <c r="Z110" s="25">
        <v>0.763825784962952</v>
      </c>
      <c r="AA110" s="25">
        <v>1</v>
      </c>
      <c r="AB110" s="25">
        <v>0</v>
      </c>
    </row>
    <row r="111" spans="23:28">
      <c r="W111" s="24">
        <v>109</v>
      </c>
      <c r="X111" s="25">
        <v>106.714391740853</v>
      </c>
      <c r="Y111" s="25">
        <v>9.43200289869708</v>
      </c>
      <c r="Z111" s="25">
        <v>0</v>
      </c>
      <c r="AA111" s="25">
        <v>1</v>
      </c>
      <c r="AB111" s="25">
        <v>0</v>
      </c>
    </row>
    <row r="112" spans="23:28">
      <c r="W112" s="24">
        <v>110</v>
      </c>
      <c r="X112" s="25">
        <v>101.049226675756</v>
      </c>
      <c r="Y112" s="25">
        <v>3.93151921006009</v>
      </c>
      <c r="Z112" s="25">
        <v>0</v>
      </c>
      <c r="AA112" s="25">
        <v>1</v>
      </c>
      <c r="AB112" s="25">
        <v>0</v>
      </c>
    </row>
    <row r="113" spans="23:28">
      <c r="W113" s="24">
        <v>111</v>
      </c>
      <c r="X113" s="25">
        <v>103.267999796199</v>
      </c>
      <c r="Y113" s="25">
        <v>6.08579454317816</v>
      </c>
      <c r="Z113" s="25">
        <v>0</v>
      </c>
      <c r="AA113" s="25">
        <v>1</v>
      </c>
      <c r="AB113" s="25">
        <v>0</v>
      </c>
    </row>
    <row r="114" spans="23:28">
      <c r="W114" s="24">
        <v>112</v>
      </c>
      <c r="X114" s="25">
        <v>101.528456793625</v>
      </c>
      <c r="Y114" s="25">
        <v>4.39681852899449</v>
      </c>
      <c r="Z114" s="25">
        <v>0</v>
      </c>
      <c r="AA114" s="25">
        <v>1</v>
      </c>
      <c r="AB114" s="25">
        <v>0</v>
      </c>
    </row>
    <row r="115" spans="23:28">
      <c r="W115" s="24">
        <v>113</v>
      </c>
      <c r="X115" s="25">
        <v>107.942671081373</v>
      </c>
      <c r="Y115" s="25">
        <v>10.6245772367769</v>
      </c>
      <c r="Z115" s="25">
        <v>0</v>
      </c>
      <c r="AA115" s="25">
        <v>0</v>
      </c>
      <c r="AB115" s="25">
        <v>1</v>
      </c>
    </row>
    <row r="116" spans="23:28">
      <c r="W116" s="24">
        <v>114</v>
      </c>
      <c r="X116" s="25">
        <v>87.8698908230988</v>
      </c>
      <c r="Y116" s="25">
        <v>0</v>
      </c>
      <c r="Z116" s="25">
        <v>8.8647049160886</v>
      </c>
      <c r="AA116" s="25">
        <v>1</v>
      </c>
      <c r="AB116" s="25">
        <v>0</v>
      </c>
    </row>
    <row r="117" spans="23:28">
      <c r="W117" s="24">
        <v>115</v>
      </c>
      <c r="X117" s="25">
        <v>120.156586169777</v>
      </c>
      <c r="Y117" s="25">
        <v>22.4834445329959</v>
      </c>
      <c r="Z117" s="25">
        <v>0</v>
      </c>
      <c r="AA117" s="25">
        <v>1</v>
      </c>
      <c r="AB117" s="25">
        <v>0</v>
      </c>
    </row>
    <row r="118" spans="23:28">
      <c r="W118" s="24">
        <v>116</v>
      </c>
      <c r="X118" s="25">
        <v>114.653660877591</v>
      </c>
      <c r="Y118" s="25">
        <v>17.1404844494594</v>
      </c>
      <c r="Z118" s="25">
        <v>0</v>
      </c>
      <c r="AA118" s="25">
        <v>1</v>
      </c>
      <c r="AB118" s="25">
        <v>0</v>
      </c>
    </row>
    <row r="119" spans="23:28">
      <c r="W119" s="24">
        <v>117</v>
      </c>
      <c r="X119" s="25">
        <v>106.604152390925</v>
      </c>
      <c r="Y119" s="25">
        <v>9.32496810992081</v>
      </c>
      <c r="Z119" s="25">
        <v>0</v>
      </c>
      <c r="AA119" s="25">
        <v>0</v>
      </c>
      <c r="AB119" s="25">
        <v>1</v>
      </c>
    </row>
    <row r="120" spans="23:28">
      <c r="W120" s="24">
        <v>118</v>
      </c>
      <c r="X120" s="25">
        <v>93.7053556265876</v>
      </c>
      <c r="Y120" s="25">
        <v>0</v>
      </c>
      <c r="Z120" s="25">
        <v>3.19887195299293</v>
      </c>
      <c r="AA120" s="25">
        <v>1</v>
      </c>
      <c r="AB120" s="25">
        <v>0</v>
      </c>
    </row>
    <row r="121" spans="23:28">
      <c r="W121" s="24">
        <v>119</v>
      </c>
      <c r="X121" s="25">
        <v>102.069757980505</v>
      </c>
      <c r="Y121" s="25">
        <v>4.9223845654401</v>
      </c>
      <c r="Z121" s="25">
        <v>0</v>
      </c>
      <c r="AA121" s="25">
        <v>1</v>
      </c>
      <c r="AB121" s="25">
        <v>0</v>
      </c>
    </row>
    <row r="122" spans="23:28">
      <c r="W122" s="24">
        <v>120</v>
      </c>
      <c r="X122" s="25">
        <v>110.624957420586</v>
      </c>
      <c r="Y122" s="25">
        <v>13.228891866193</v>
      </c>
      <c r="Z122" s="25">
        <v>0</v>
      </c>
      <c r="AA122" s="25">
        <v>0</v>
      </c>
      <c r="AB122" s="25">
        <v>1</v>
      </c>
    </row>
    <row r="123" spans="23:28">
      <c r="W123" s="24">
        <v>121</v>
      </c>
      <c r="X123" s="25">
        <v>95.0837612663938</v>
      </c>
      <c r="Y123" s="25">
        <v>0</v>
      </c>
      <c r="Z123" s="25">
        <v>1.86053535539027</v>
      </c>
      <c r="AA123" s="25">
        <v>0</v>
      </c>
      <c r="AB123" s="25">
        <v>0</v>
      </c>
    </row>
    <row r="124" spans="23:28">
      <c r="W124" s="24">
        <v>122</v>
      </c>
      <c r="X124" s="25">
        <v>97.0095820320899</v>
      </c>
      <c r="Y124" s="25">
        <v>0.00930349082666939</v>
      </c>
      <c r="Z124" s="25">
        <v>0</v>
      </c>
      <c r="AA124" s="25">
        <v>1</v>
      </c>
      <c r="AB124" s="25">
        <v>0</v>
      </c>
    </row>
    <row r="125" spans="23:28">
      <c r="W125" s="24">
        <v>123</v>
      </c>
      <c r="X125" s="25">
        <v>100.855391138687</v>
      </c>
      <c r="Y125" s="25">
        <v>3.74331830193592</v>
      </c>
      <c r="Z125" s="25">
        <v>0</v>
      </c>
      <c r="AA125" s="25">
        <v>1</v>
      </c>
      <c r="AB125" s="25">
        <v>0</v>
      </c>
    </row>
    <row r="126" spans="23:28">
      <c r="W126" s="24">
        <v>124</v>
      </c>
      <c r="X126" s="25">
        <v>100.917473912444</v>
      </c>
      <c r="Y126" s="25">
        <v>3.80359638394592</v>
      </c>
      <c r="Z126" s="25">
        <v>0</v>
      </c>
      <c r="AA126" s="25">
        <v>1</v>
      </c>
      <c r="AB126" s="25">
        <v>0</v>
      </c>
    </row>
    <row r="127" spans="23:28">
      <c r="W127" s="24">
        <v>125</v>
      </c>
      <c r="X127" s="25">
        <v>126.658158965583</v>
      </c>
      <c r="Y127" s="25">
        <v>28.7960223136752</v>
      </c>
      <c r="Z127" s="25">
        <v>0</v>
      </c>
      <c r="AA127" s="25">
        <v>1</v>
      </c>
      <c r="AB127" s="25">
        <v>0</v>
      </c>
    </row>
    <row r="128" spans="23:28">
      <c r="W128" s="24">
        <v>126</v>
      </c>
      <c r="X128" s="25">
        <v>104.959455425274</v>
      </c>
      <c r="Y128" s="25">
        <v>7.72808104160729</v>
      </c>
      <c r="Z128" s="25">
        <v>0</v>
      </c>
      <c r="AA128" s="25">
        <v>1</v>
      </c>
      <c r="AB128" s="25">
        <v>0</v>
      </c>
    </row>
    <row r="129" spans="23:28">
      <c r="W129" s="24">
        <v>127</v>
      </c>
      <c r="X129" s="25">
        <v>100.711856718694</v>
      </c>
      <c r="Y129" s="25">
        <v>3.6039563015595</v>
      </c>
      <c r="Z129" s="25">
        <v>0</v>
      </c>
      <c r="AA129" s="25">
        <v>1</v>
      </c>
      <c r="AB129" s="25">
        <v>0</v>
      </c>
    </row>
    <row r="130" spans="23:28">
      <c r="W130" s="24">
        <v>128</v>
      </c>
      <c r="X130" s="25">
        <v>107.189950369889</v>
      </c>
      <c r="Y130" s="25">
        <v>9.89373745575621</v>
      </c>
      <c r="Z130" s="25">
        <v>0</v>
      </c>
      <c r="AA130" s="25">
        <v>1</v>
      </c>
      <c r="AB130" s="25">
        <v>0</v>
      </c>
    </row>
    <row r="131" spans="23:28">
      <c r="W131" s="24">
        <v>129</v>
      </c>
      <c r="X131" s="25">
        <v>98.4688791330958</v>
      </c>
      <c r="Y131" s="25">
        <v>1.42618010584554</v>
      </c>
      <c r="Z131" s="25">
        <v>0</v>
      </c>
      <c r="AA131" s="25">
        <v>1</v>
      </c>
      <c r="AB131" s="25">
        <v>0</v>
      </c>
    </row>
    <row r="132" spans="23:28">
      <c r="W132" s="24">
        <v>130</v>
      </c>
      <c r="X132" s="25">
        <v>105.177067914096</v>
      </c>
      <c r="Y132" s="25">
        <v>7.93936772636448</v>
      </c>
      <c r="Z132" s="25">
        <v>0</v>
      </c>
      <c r="AA132" s="25">
        <v>1</v>
      </c>
      <c r="AB132" s="25">
        <v>0</v>
      </c>
    </row>
    <row r="133" spans="23:28">
      <c r="W133" s="24">
        <v>131</v>
      </c>
      <c r="X133" s="25">
        <v>109.007905503343</v>
      </c>
      <c r="Y133" s="25">
        <v>11.6588462289935</v>
      </c>
      <c r="Z133" s="25">
        <v>0</v>
      </c>
      <c r="AA133" s="25">
        <v>1</v>
      </c>
      <c r="AB133" s="25">
        <v>0</v>
      </c>
    </row>
    <row r="134" spans="23:28">
      <c r="W134" s="24">
        <v>132</v>
      </c>
      <c r="X134" s="25">
        <v>104.870842916019</v>
      </c>
      <c r="Y134" s="25">
        <v>7.64204442022668</v>
      </c>
      <c r="Z134" s="25">
        <v>0</v>
      </c>
      <c r="AA134" s="25">
        <v>1</v>
      </c>
      <c r="AB134" s="25">
        <v>0</v>
      </c>
    </row>
    <row r="135" spans="23:28">
      <c r="W135" s="24">
        <v>133</v>
      </c>
      <c r="X135" s="25">
        <v>104.470442256263</v>
      </c>
      <c r="Y135" s="25">
        <v>7.2532830562416</v>
      </c>
      <c r="Z135" s="25">
        <v>0</v>
      </c>
      <c r="AA135" s="25">
        <v>1</v>
      </c>
      <c r="AB135" s="25">
        <v>0</v>
      </c>
    </row>
    <row r="136" spans="23:28">
      <c r="W136" s="24">
        <v>134</v>
      </c>
      <c r="X136" s="25">
        <v>115.516734153956</v>
      </c>
      <c r="Y136" s="25">
        <v>17.9784689431494</v>
      </c>
      <c r="Z136" s="25">
        <v>0</v>
      </c>
      <c r="AA136" s="25">
        <v>1</v>
      </c>
      <c r="AB136" s="25">
        <v>0</v>
      </c>
    </row>
    <row r="137" spans="23:28">
      <c r="W137" s="24">
        <v>135</v>
      </c>
      <c r="X137" s="25">
        <v>105.175021654142</v>
      </c>
      <c r="Y137" s="25">
        <v>7.93738094939205</v>
      </c>
      <c r="Z137" s="25">
        <v>0</v>
      </c>
      <c r="AA137" s="25">
        <v>0</v>
      </c>
      <c r="AB137" s="25">
        <v>0</v>
      </c>
    </row>
    <row r="138" spans="23:28">
      <c r="W138" s="24">
        <v>136</v>
      </c>
      <c r="X138" s="25">
        <v>96.65731152095</v>
      </c>
      <c r="Y138" s="25">
        <v>0</v>
      </c>
      <c r="Z138" s="25">
        <v>0.332726825721539</v>
      </c>
      <c r="AA138" s="25">
        <v>1</v>
      </c>
      <c r="AB138" s="25">
        <v>0</v>
      </c>
    </row>
    <row r="139" spans="23:28">
      <c r="W139" s="24">
        <v>137</v>
      </c>
      <c r="X139" s="25">
        <v>99.9029759507767</v>
      </c>
      <c r="Y139" s="25">
        <v>2.81858898765891</v>
      </c>
      <c r="Z139" s="25">
        <v>0</v>
      </c>
      <c r="AA139" s="25">
        <v>1</v>
      </c>
      <c r="AB139" s="25">
        <v>0</v>
      </c>
    </row>
    <row r="140" spans="23:28">
      <c r="W140" s="24">
        <v>138</v>
      </c>
      <c r="X140" s="25">
        <v>104.695409206802</v>
      </c>
      <c r="Y140" s="25">
        <v>7.47171041496883</v>
      </c>
      <c r="Z140" s="25">
        <v>0</v>
      </c>
      <c r="AA140" s="25">
        <v>1</v>
      </c>
      <c r="AB140" s="25">
        <v>0</v>
      </c>
    </row>
    <row r="141" spans="23:28">
      <c r="W141" s="24">
        <v>139</v>
      </c>
      <c r="X141" s="25">
        <v>106.95259212171</v>
      </c>
      <c r="Y141" s="25">
        <v>9.66327900353653</v>
      </c>
      <c r="Z141" s="25">
        <v>0</v>
      </c>
      <c r="AA141" s="25">
        <v>0</v>
      </c>
      <c r="AB141" s="25">
        <v>1</v>
      </c>
    </row>
    <row r="142" spans="23:28">
      <c r="W142" s="24">
        <v>140</v>
      </c>
      <c r="X142" s="25">
        <v>93.4740757126578</v>
      </c>
      <c r="Y142" s="25">
        <v>0</v>
      </c>
      <c r="Z142" s="25">
        <v>3.42342876280558</v>
      </c>
      <c r="AA142" s="25">
        <v>1</v>
      </c>
      <c r="AB142" s="25">
        <v>0</v>
      </c>
    </row>
    <row r="143" spans="23:28">
      <c r="W143" s="24">
        <v>141</v>
      </c>
      <c r="X143" s="25">
        <v>100.674590670464</v>
      </c>
      <c r="Y143" s="25">
        <v>3.56777354464537</v>
      </c>
      <c r="Z143" s="25">
        <v>0</v>
      </c>
      <c r="AA143" s="25">
        <v>1</v>
      </c>
      <c r="AB143" s="25">
        <v>0</v>
      </c>
    </row>
    <row r="144" spans="23:28">
      <c r="W144" s="24">
        <v>142</v>
      </c>
      <c r="X144" s="25">
        <v>104.093379567371</v>
      </c>
      <c r="Y144" s="25">
        <v>6.88718124878996</v>
      </c>
      <c r="Z144" s="25">
        <v>0</v>
      </c>
      <c r="AA144" s="25">
        <v>1</v>
      </c>
      <c r="AB144" s="25">
        <v>0</v>
      </c>
    </row>
    <row r="145" spans="23:28">
      <c r="W145" s="24">
        <v>143</v>
      </c>
      <c r="X145" s="25">
        <v>103.840994950702</v>
      </c>
      <c r="Y145" s="25">
        <v>6.64213323142365</v>
      </c>
      <c r="Z145" s="25">
        <v>0</v>
      </c>
      <c r="AA145" s="25">
        <v>1</v>
      </c>
      <c r="AB145" s="25">
        <v>0</v>
      </c>
    </row>
    <row r="146" spans="23:28">
      <c r="W146" s="24">
        <v>144</v>
      </c>
      <c r="X146" s="25">
        <v>106.360058345538</v>
      </c>
      <c r="Y146" s="25">
        <v>9.08796966420635</v>
      </c>
      <c r="Z146" s="25">
        <v>0</v>
      </c>
      <c r="AA146" s="25">
        <v>1</v>
      </c>
      <c r="AB146" s="25">
        <v>0</v>
      </c>
    </row>
    <row r="147" spans="23:28">
      <c r="W147" s="24">
        <v>145</v>
      </c>
      <c r="X147" s="25">
        <v>101.904548121248</v>
      </c>
      <c r="Y147" s="25">
        <v>4.76197721179694</v>
      </c>
      <c r="Z147" s="25">
        <v>0</v>
      </c>
      <c r="AA147" s="25">
        <v>1</v>
      </c>
      <c r="AB147" s="25">
        <v>0</v>
      </c>
    </row>
    <row r="148" spans="23:28">
      <c r="W148" s="24">
        <v>146</v>
      </c>
      <c r="X148" s="25">
        <v>107.982346779202</v>
      </c>
      <c r="Y148" s="25">
        <v>10.6630995968907</v>
      </c>
      <c r="Z148" s="25">
        <v>0</v>
      </c>
      <c r="AA148" s="25">
        <v>1</v>
      </c>
      <c r="AB148" s="25">
        <v>0</v>
      </c>
    </row>
    <row r="149" spans="23:28">
      <c r="W149" s="24">
        <v>147</v>
      </c>
      <c r="X149" s="25">
        <v>117.770650139172</v>
      </c>
      <c r="Y149" s="25">
        <v>20.1668655688043</v>
      </c>
      <c r="Z149" s="25">
        <v>0</v>
      </c>
      <c r="AA149" s="25">
        <v>1</v>
      </c>
      <c r="AB149" s="25">
        <v>0</v>
      </c>
    </row>
    <row r="150" spans="23:28">
      <c r="W150" s="24">
        <v>148</v>
      </c>
      <c r="X150" s="25">
        <v>108.651274932433</v>
      </c>
      <c r="Y150" s="25">
        <v>11.3125825957856</v>
      </c>
      <c r="Z150" s="25">
        <v>0</v>
      </c>
      <c r="AA150" s="25">
        <v>0</v>
      </c>
      <c r="AB150" s="25">
        <v>1</v>
      </c>
    </row>
    <row r="151" spans="23:28">
      <c r="W151" s="24">
        <v>149</v>
      </c>
      <c r="X151" s="25">
        <v>94.8085285828101</v>
      </c>
      <c r="Y151" s="25">
        <v>0</v>
      </c>
      <c r="Z151" s="25">
        <v>2.12776726641776</v>
      </c>
      <c r="AA151" s="25">
        <v>1</v>
      </c>
      <c r="AB151" s="25">
        <v>0</v>
      </c>
    </row>
    <row r="152" spans="23:28">
      <c r="W152" s="24">
        <v>150</v>
      </c>
      <c r="X152" s="25">
        <v>98.5235881738568</v>
      </c>
      <c r="Y152" s="25">
        <v>1.47929880280651</v>
      </c>
      <c r="Z152" s="25">
        <v>0</v>
      </c>
      <c r="AA152" s="25">
        <v>0</v>
      </c>
      <c r="AB152" s="25">
        <v>1</v>
      </c>
    </row>
    <row r="153" spans="23:28">
      <c r="W153" s="24">
        <v>151</v>
      </c>
      <c r="X153" s="25">
        <v>94.3568377519005</v>
      </c>
      <c r="Y153" s="25">
        <v>0</v>
      </c>
      <c r="Z153" s="25">
        <v>2.56632784129529</v>
      </c>
      <c r="AA153" s="25">
        <v>0</v>
      </c>
      <c r="AB153" s="25">
        <v>1</v>
      </c>
    </row>
    <row r="154" spans="23:28">
      <c r="W154" s="24">
        <v>152</v>
      </c>
      <c r="X154" s="25">
        <v>95.1415124983764</v>
      </c>
      <c r="Y154" s="25">
        <v>0</v>
      </c>
      <c r="Z154" s="25">
        <v>1.80446290103656</v>
      </c>
      <c r="AA154" s="25">
        <v>1</v>
      </c>
      <c r="AB154" s="25">
        <v>0</v>
      </c>
    </row>
    <row r="155" spans="23:28">
      <c r="W155" s="24">
        <v>153</v>
      </c>
      <c r="X155" s="25">
        <v>110.639863215324</v>
      </c>
      <c r="Y155" s="25">
        <v>13.2433643625608</v>
      </c>
      <c r="Z155" s="25">
        <v>0</v>
      </c>
      <c r="AA155" s="25">
        <v>1</v>
      </c>
      <c r="AB155" s="25">
        <v>0</v>
      </c>
    </row>
    <row r="156" spans="23:28">
      <c r="W156" s="24">
        <v>154</v>
      </c>
      <c r="X156" s="25">
        <v>124.279194833745</v>
      </c>
      <c r="Y156" s="25">
        <v>26.4862125812733</v>
      </c>
      <c r="Z156" s="25">
        <v>0</v>
      </c>
      <c r="AA156" s="25">
        <v>0</v>
      </c>
      <c r="AB156" s="25">
        <v>0</v>
      </c>
    </row>
    <row r="157" spans="23:28">
      <c r="W157" s="24">
        <v>155</v>
      </c>
      <c r="X157" s="25">
        <v>97.3481154443875</v>
      </c>
      <c r="Y157" s="25">
        <v>0.337996033939654</v>
      </c>
      <c r="Z157" s="25">
        <v>0</v>
      </c>
      <c r="AA157" s="25">
        <v>0</v>
      </c>
      <c r="AB157" s="25">
        <v>1</v>
      </c>
    </row>
    <row r="158" spans="23:28">
      <c r="W158" s="24">
        <v>156</v>
      </c>
      <c r="X158" s="25">
        <v>95.2845902674239</v>
      </c>
      <c r="Y158" s="25">
        <v>0</v>
      </c>
      <c r="Z158" s="25">
        <v>1.66554427716434</v>
      </c>
      <c r="AA158" s="25">
        <v>1</v>
      </c>
      <c r="AB158" s="25">
        <v>0</v>
      </c>
    </row>
    <row r="159" spans="23:28">
      <c r="W159" s="24">
        <v>157</v>
      </c>
      <c r="X159" s="25">
        <v>101.848001498495</v>
      </c>
      <c r="Y159" s="25">
        <v>4.70707434973938</v>
      </c>
      <c r="Z159" s="25">
        <v>0</v>
      </c>
      <c r="AA159" s="25">
        <v>1</v>
      </c>
      <c r="AB159" s="25">
        <v>0</v>
      </c>
    </row>
    <row r="160" spans="23:28">
      <c r="W160" s="24">
        <v>158</v>
      </c>
      <c r="X160" s="25">
        <v>108.258262591125</v>
      </c>
      <c r="Y160" s="25">
        <v>10.9309947783164</v>
      </c>
      <c r="Z160" s="25">
        <v>0</v>
      </c>
      <c r="AA160" s="25">
        <v>1</v>
      </c>
      <c r="AB160" s="25">
        <v>0</v>
      </c>
    </row>
    <row r="161" spans="23:28">
      <c r="W161" s="24">
        <v>159</v>
      </c>
      <c r="X161" s="25">
        <v>103.947088859308</v>
      </c>
      <c r="Y161" s="25">
        <v>6.74514308321966</v>
      </c>
      <c r="Z161" s="25">
        <v>0</v>
      </c>
      <c r="AA161" s="25">
        <v>1</v>
      </c>
      <c r="AB161" s="25">
        <v>0</v>
      </c>
    </row>
    <row r="162" spans="23:28">
      <c r="W162" s="24">
        <v>160</v>
      </c>
      <c r="X162" s="25">
        <v>104.546932212657</v>
      </c>
      <c r="Y162" s="25">
        <v>7.3275495167333</v>
      </c>
      <c r="Z162" s="25">
        <v>0</v>
      </c>
      <c r="AA162" s="25">
        <v>1</v>
      </c>
      <c r="AB162" s="25">
        <v>0</v>
      </c>
    </row>
    <row r="163" spans="23:28">
      <c r="W163" s="24">
        <v>161</v>
      </c>
      <c r="X163" s="25">
        <v>100.137913362234</v>
      </c>
      <c r="Y163" s="25">
        <v>3.04669697475541</v>
      </c>
      <c r="Z163" s="25">
        <v>0</v>
      </c>
      <c r="AA163" s="25">
        <v>1</v>
      </c>
      <c r="AB163" s="25">
        <v>0</v>
      </c>
    </row>
    <row r="164" spans="23:28">
      <c r="W164" s="24">
        <v>162</v>
      </c>
      <c r="X164" s="25">
        <v>99.483363614961</v>
      </c>
      <c r="Y164" s="25">
        <v>2.41117441417631</v>
      </c>
      <c r="Z164" s="25">
        <v>0</v>
      </c>
      <c r="AA164" s="25">
        <v>1</v>
      </c>
      <c r="AB164" s="25">
        <v>0</v>
      </c>
    </row>
    <row r="165" spans="23:28">
      <c r="W165" s="24">
        <v>163</v>
      </c>
      <c r="X165" s="25">
        <v>106.367238158413</v>
      </c>
      <c r="Y165" s="25">
        <v>9.09494076622225</v>
      </c>
      <c r="Z165" s="25">
        <v>0</v>
      </c>
      <c r="AA165" s="25">
        <v>1</v>
      </c>
      <c r="AB165" s="25">
        <v>0</v>
      </c>
    </row>
    <row r="166" spans="23:28">
      <c r="W166" s="24">
        <v>164</v>
      </c>
      <c r="X166" s="25">
        <v>106.652593805956</v>
      </c>
      <c r="Y166" s="25">
        <v>9.37200137553078</v>
      </c>
      <c r="Z166" s="25">
        <v>0</v>
      </c>
      <c r="AA166" s="25">
        <v>1</v>
      </c>
      <c r="AB166" s="25">
        <v>0</v>
      </c>
    </row>
    <row r="167" spans="23:28">
      <c r="W167" s="24">
        <v>165</v>
      </c>
      <c r="X167" s="25">
        <v>113.472388543018</v>
      </c>
      <c r="Y167" s="25">
        <v>15.9935506649187</v>
      </c>
      <c r="Z167" s="25">
        <v>0</v>
      </c>
      <c r="AA167" s="25">
        <v>1</v>
      </c>
      <c r="AB167" s="25">
        <v>0</v>
      </c>
    </row>
    <row r="168" spans="23:28">
      <c r="W168" s="24">
        <v>166</v>
      </c>
      <c r="X168" s="25">
        <v>102.528401483814</v>
      </c>
      <c r="Y168" s="25">
        <v>5.36769570463206</v>
      </c>
      <c r="Z168" s="25">
        <v>0</v>
      </c>
      <c r="AA168" s="25">
        <v>1</v>
      </c>
      <c r="AB168" s="25">
        <v>0</v>
      </c>
    </row>
    <row r="169" spans="23:28">
      <c r="W169" s="24">
        <v>167</v>
      </c>
      <c r="X169" s="25">
        <v>105.137035437749</v>
      </c>
      <c r="Y169" s="25">
        <v>7.90049895897128</v>
      </c>
      <c r="Z169" s="25">
        <v>0</v>
      </c>
      <c r="AA169" s="25">
        <v>1</v>
      </c>
      <c r="AB169" s="25">
        <v>0</v>
      </c>
    </row>
    <row r="170" spans="23:28">
      <c r="W170" s="24">
        <v>168</v>
      </c>
      <c r="X170" s="25">
        <v>100.628960103913</v>
      </c>
      <c r="Y170" s="25">
        <v>3.52346941861673</v>
      </c>
      <c r="Z170" s="25">
        <v>0</v>
      </c>
      <c r="AA170" s="25">
        <v>1</v>
      </c>
      <c r="AB170" s="25">
        <v>0</v>
      </c>
    </row>
    <row r="171" spans="23:28">
      <c r="W171" s="24">
        <v>169</v>
      </c>
      <c r="X171" s="25">
        <v>102.555483695677</v>
      </c>
      <c r="Y171" s="25">
        <v>5.39399066036508</v>
      </c>
      <c r="Z171" s="25">
        <v>0</v>
      </c>
      <c r="AA171" s="25">
        <v>0</v>
      </c>
      <c r="AB171" s="25">
        <v>1</v>
      </c>
    </row>
    <row r="172" spans="23:28">
      <c r="W172" s="24">
        <v>170</v>
      </c>
      <c r="X172" s="25">
        <v>93.6382667835252</v>
      </c>
      <c r="Y172" s="25">
        <v>0</v>
      </c>
      <c r="Z172" s="25">
        <v>3.26401058226739</v>
      </c>
      <c r="AA172" s="25">
        <v>1</v>
      </c>
      <c r="AB172" s="25">
        <v>0</v>
      </c>
    </row>
    <row r="173" spans="23:28">
      <c r="W173" s="24">
        <v>171</v>
      </c>
      <c r="X173" s="25">
        <v>109.198877678551</v>
      </c>
      <c r="Y173" s="25">
        <v>11.8442670106732</v>
      </c>
      <c r="Z173" s="25">
        <v>0</v>
      </c>
      <c r="AA173" s="25">
        <v>1</v>
      </c>
      <c r="AB173" s="25">
        <v>0</v>
      </c>
    </row>
    <row r="174" spans="23:28">
      <c r="W174" s="24">
        <v>172</v>
      </c>
      <c r="X174" s="25">
        <v>98.9667610234198</v>
      </c>
      <c r="Y174" s="25">
        <v>1.9095890065795</v>
      </c>
      <c r="Z174" s="25">
        <v>0</v>
      </c>
      <c r="AA174" s="25">
        <v>1</v>
      </c>
      <c r="AB174" s="25">
        <v>0</v>
      </c>
    </row>
    <row r="175" spans="23:28">
      <c r="W175" s="24">
        <v>173</v>
      </c>
      <c r="X175" s="25">
        <v>108.588532697959</v>
      </c>
      <c r="Y175" s="25">
        <v>11.2516642230027</v>
      </c>
      <c r="Z175" s="25">
        <v>0</v>
      </c>
      <c r="AA175" s="25">
        <v>1</v>
      </c>
      <c r="AB175" s="25">
        <v>0</v>
      </c>
    </row>
    <row r="176" spans="23:28">
      <c r="W176" s="24">
        <v>174</v>
      </c>
      <c r="X176" s="25">
        <v>101.799369343901</v>
      </c>
      <c r="Y176" s="25">
        <v>4.65985588919776</v>
      </c>
      <c r="Z176" s="25">
        <v>0</v>
      </c>
      <c r="AA176" s="25">
        <v>0</v>
      </c>
      <c r="AB176" s="25">
        <v>0</v>
      </c>
    </row>
    <row r="177" spans="23:28">
      <c r="W177" s="24">
        <v>175</v>
      </c>
      <c r="X177" s="25">
        <v>97.1971622727269</v>
      </c>
      <c r="Y177" s="25">
        <v>0.191430938496461</v>
      </c>
      <c r="Z177" s="25">
        <v>0</v>
      </c>
      <c r="AA177" s="25">
        <v>1</v>
      </c>
      <c r="AB177" s="25">
        <v>0</v>
      </c>
    </row>
    <row r="178" spans="23:28">
      <c r="W178" s="24">
        <v>176</v>
      </c>
      <c r="X178" s="25">
        <v>117.865079405742</v>
      </c>
      <c r="Y178" s="25">
        <v>20.2585498594706</v>
      </c>
      <c r="Z178" s="25">
        <v>0</v>
      </c>
      <c r="AA178" s="25">
        <v>1</v>
      </c>
      <c r="AB178" s="25">
        <v>0</v>
      </c>
    </row>
    <row r="179" spans="23:28">
      <c r="W179" s="24">
        <v>177</v>
      </c>
      <c r="X179" s="25">
        <v>98.9258237880721</v>
      </c>
      <c r="Y179" s="25">
        <v>1.86984178073516</v>
      </c>
      <c r="Z179" s="25">
        <v>0</v>
      </c>
      <c r="AA179" s="25">
        <v>1</v>
      </c>
      <c r="AB179" s="25">
        <v>0</v>
      </c>
    </row>
    <row r="180" spans="23:28">
      <c r="W180" s="24">
        <v>178</v>
      </c>
      <c r="X180" s="25">
        <v>111.195553801217</v>
      </c>
      <c r="Y180" s="25">
        <v>13.7829015108182</v>
      </c>
      <c r="Z180" s="25">
        <v>0</v>
      </c>
      <c r="AA180" s="25">
        <v>1</v>
      </c>
      <c r="AB180" s="25">
        <v>0</v>
      </c>
    </row>
    <row r="181" spans="23:28">
      <c r="W181" s="24">
        <v>179</v>
      </c>
      <c r="X181" s="25">
        <v>98.1904022881238</v>
      </c>
      <c r="Y181" s="25">
        <v>1.15579833835411</v>
      </c>
      <c r="Z181" s="25">
        <v>0</v>
      </c>
      <c r="AA181" s="25">
        <v>1</v>
      </c>
      <c r="AB181" s="25">
        <v>0</v>
      </c>
    </row>
    <row r="182" spans="23:28">
      <c r="W182" s="24">
        <v>180</v>
      </c>
      <c r="X182" s="25">
        <v>101.207640003844</v>
      </c>
      <c r="Y182" s="25">
        <v>4.08532760173073</v>
      </c>
      <c r="Z182" s="25">
        <v>0</v>
      </c>
      <c r="AA182" s="25">
        <v>1</v>
      </c>
      <c r="AB182" s="25">
        <v>0</v>
      </c>
    </row>
    <row r="183" spans="23:28">
      <c r="W183" s="24">
        <v>181</v>
      </c>
      <c r="X183" s="25">
        <v>101.277375476338</v>
      </c>
      <c r="Y183" s="25">
        <v>4.15303592524149</v>
      </c>
      <c r="Z183" s="25">
        <v>0</v>
      </c>
      <c r="AA183" s="25">
        <v>0</v>
      </c>
      <c r="AB183" s="25">
        <v>1</v>
      </c>
    </row>
    <row r="184" spans="23:28">
      <c r="W184" s="24">
        <v>182</v>
      </c>
      <c r="X184" s="25">
        <v>95.3816589486091</v>
      </c>
      <c r="Y184" s="25">
        <v>0</v>
      </c>
      <c r="Z184" s="25">
        <v>1.57129729734977</v>
      </c>
      <c r="AA184" s="25">
        <v>1</v>
      </c>
      <c r="AB184" s="25">
        <v>0</v>
      </c>
    </row>
    <row r="185" spans="23:28">
      <c r="W185" s="24">
        <v>183</v>
      </c>
      <c r="X185" s="25">
        <v>99.3004574682902</v>
      </c>
      <c r="Y185" s="25">
        <v>2.23358518866325</v>
      </c>
      <c r="Z185" s="25">
        <v>0</v>
      </c>
      <c r="AA185" s="25">
        <v>1</v>
      </c>
      <c r="AB185" s="25">
        <v>0</v>
      </c>
    </row>
    <row r="186" spans="23:28">
      <c r="W186" s="24">
        <v>184</v>
      </c>
      <c r="X186" s="25">
        <v>105.360957265521</v>
      </c>
      <c r="Y186" s="25">
        <v>8.11791157573274</v>
      </c>
      <c r="Z186" s="25">
        <v>0</v>
      </c>
      <c r="AA186" s="25">
        <v>1</v>
      </c>
      <c r="AB186" s="25">
        <v>0</v>
      </c>
    </row>
    <row r="187" spans="23:28">
      <c r="W187" s="24">
        <v>185</v>
      </c>
      <c r="X187" s="25">
        <v>106.172840708165</v>
      </c>
      <c r="Y187" s="25">
        <v>8.90619427924125</v>
      </c>
      <c r="Z187" s="25">
        <v>0</v>
      </c>
      <c r="AA187" s="25">
        <v>1</v>
      </c>
      <c r="AB187" s="25">
        <v>0</v>
      </c>
    </row>
    <row r="188" spans="23:28">
      <c r="W188" s="24">
        <v>186</v>
      </c>
      <c r="X188" s="25">
        <v>100.829817166245</v>
      </c>
      <c r="Y188" s="25">
        <v>3.71848774242749</v>
      </c>
      <c r="Z188" s="25">
        <v>0</v>
      </c>
      <c r="AA188" s="25">
        <v>1</v>
      </c>
      <c r="AB188" s="25">
        <v>0</v>
      </c>
    </row>
    <row r="189" spans="23:28">
      <c r="W189" s="24">
        <v>187</v>
      </c>
      <c r="X189" s="25">
        <v>110.150848610571</v>
      </c>
      <c r="Y189" s="25">
        <v>12.7685649831886</v>
      </c>
      <c r="Z189" s="25">
        <v>0</v>
      </c>
      <c r="AA189" s="25">
        <v>1</v>
      </c>
      <c r="AB189" s="25">
        <v>0</v>
      </c>
    </row>
    <row r="190" spans="23:28">
      <c r="W190" s="24">
        <v>188</v>
      </c>
      <c r="X190" s="25">
        <v>111.284462708109</v>
      </c>
      <c r="Y190" s="25">
        <v>13.8692259138172</v>
      </c>
      <c r="Z190" s="25">
        <v>0</v>
      </c>
      <c r="AA190" s="25">
        <v>1</v>
      </c>
      <c r="AB190" s="25">
        <v>0</v>
      </c>
    </row>
    <row r="191" spans="23:28">
      <c r="W191" s="24">
        <v>189</v>
      </c>
      <c r="X191" s="25">
        <v>98.2716985851564</v>
      </c>
      <c r="Y191" s="25">
        <v>1.23473142338095</v>
      </c>
      <c r="Z191" s="25">
        <v>0</v>
      </c>
      <c r="AA191" s="25">
        <v>1</v>
      </c>
      <c r="AB191" s="25">
        <v>0</v>
      </c>
    </row>
    <row r="192" spans="23:28">
      <c r="W192" s="24">
        <v>190</v>
      </c>
      <c r="X192" s="25">
        <v>103.995507593581</v>
      </c>
      <c r="Y192" s="25">
        <v>6.79215432738107</v>
      </c>
      <c r="Z192" s="25">
        <v>0</v>
      </c>
      <c r="AA192" s="25">
        <v>0</v>
      </c>
      <c r="AB192" s="25">
        <v>1</v>
      </c>
    </row>
    <row r="193" spans="23:28">
      <c r="W193" s="24">
        <v>191</v>
      </c>
      <c r="X193" s="25">
        <v>92.596372707991</v>
      </c>
      <c r="Y193" s="25">
        <v>0</v>
      </c>
      <c r="Z193" s="25">
        <v>4.27561771143502</v>
      </c>
      <c r="AA193" s="25">
        <v>1</v>
      </c>
      <c r="AB193" s="25">
        <v>0</v>
      </c>
    </row>
    <row r="194" spans="23:28">
      <c r="W194" s="24">
        <v>192</v>
      </c>
      <c r="X194" s="25">
        <v>110.731146636719</v>
      </c>
      <c r="Y194" s="25">
        <v>13.3319942550091</v>
      </c>
      <c r="Z194" s="25">
        <v>0</v>
      </c>
      <c r="AA194" s="25">
        <v>1</v>
      </c>
      <c r="AB194" s="25">
        <v>0</v>
      </c>
    </row>
    <row r="195" spans="23:28">
      <c r="W195" s="24">
        <v>193</v>
      </c>
      <c r="X195" s="25">
        <v>99.9047561518596</v>
      </c>
      <c r="Y195" s="25">
        <v>2.82031743985867</v>
      </c>
      <c r="Z195" s="25">
        <v>0</v>
      </c>
      <c r="AA195" s="25">
        <v>1</v>
      </c>
      <c r="AB195" s="25">
        <v>0</v>
      </c>
    </row>
    <row r="196" spans="23:28">
      <c r="W196" s="24">
        <v>194</v>
      </c>
      <c r="X196" s="25">
        <v>106.154985120122</v>
      </c>
      <c r="Y196" s="25">
        <v>8.88885773747213</v>
      </c>
      <c r="Z196" s="25">
        <v>0</v>
      </c>
      <c r="AA196" s="25">
        <v>1</v>
      </c>
      <c r="AB196" s="25">
        <v>0</v>
      </c>
    </row>
    <row r="197" spans="23:28">
      <c r="W197" s="24">
        <v>195</v>
      </c>
      <c r="X197" s="25">
        <v>103.820998435314</v>
      </c>
      <c r="Y197" s="25">
        <v>6.622717997189</v>
      </c>
      <c r="Z197" s="25">
        <v>0</v>
      </c>
      <c r="AA197" s="25">
        <v>1</v>
      </c>
      <c r="AB197" s="25">
        <v>0</v>
      </c>
    </row>
    <row r="198" spans="23:28">
      <c r="W198" s="24">
        <v>196</v>
      </c>
      <c r="X198" s="25">
        <v>104.021995543963</v>
      </c>
      <c r="Y198" s="25">
        <v>6.81787229629269</v>
      </c>
      <c r="Z198" s="25">
        <v>0</v>
      </c>
      <c r="AA198" s="25">
        <v>1</v>
      </c>
      <c r="AB198" s="25">
        <v>0</v>
      </c>
    </row>
    <row r="199" spans="23:28">
      <c r="W199" s="24">
        <v>197</v>
      </c>
      <c r="X199" s="25">
        <v>106.956393781444</v>
      </c>
      <c r="Y199" s="25">
        <v>9.6669701523591</v>
      </c>
      <c r="Z199" s="25">
        <v>0</v>
      </c>
      <c r="AA199" s="25">
        <v>1</v>
      </c>
      <c r="AB199" s="25">
        <v>0</v>
      </c>
    </row>
    <row r="200" spans="23:28">
      <c r="W200" s="24">
        <v>198</v>
      </c>
      <c r="X200" s="25">
        <v>113.105135278293</v>
      </c>
      <c r="Y200" s="25">
        <v>15.6369731302829</v>
      </c>
      <c r="Z200" s="25">
        <v>0</v>
      </c>
      <c r="AA200" s="25">
        <v>1</v>
      </c>
      <c r="AB200" s="25">
        <v>0</v>
      </c>
    </row>
    <row r="201" spans="23:28">
      <c r="W201" s="24">
        <v>199</v>
      </c>
      <c r="X201" s="25">
        <v>106.90162470069</v>
      </c>
      <c r="Y201" s="25">
        <v>9.61379316071479</v>
      </c>
      <c r="Z201" s="25">
        <v>0</v>
      </c>
      <c r="AA201" s="25">
        <v>1</v>
      </c>
      <c r="AB201" s="25">
        <v>0</v>
      </c>
    </row>
    <row r="202" spans="23:28">
      <c r="W202" s="24">
        <v>200</v>
      </c>
      <c r="X202" s="25">
        <v>104.501698379671</v>
      </c>
      <c r="Y202" s="25">
        <v>7.28363059157365</v>
      </c>
      <c r="Z202" s="25">
        <v>0</v>
      </c>
      <c r="AA202" s="25">
        <v>1</v>
      </c>
      <c r="AB202" s="25">
        <v>0</v>
      </c>
    </row>
    <row r="203" spans="23:28">
      <c r="W203" s="24">
        <v>201</v>
      </c>
      <c r="X203" s="25">
        <v>115.156404475876</v>
      </c>
      <c r="Y203" s="25">
        <v>17.6286137325705</v>
      </c>
      <c r="Z203" s="25">
        <v>0</v>
      </c>
      <c r="AA203" s="25">
        <v>1</v>
      </c>
      <c r="AB203" s="25">
        <v>0</v>
      </c>
    </row>
    <row r="204" spans="23:28">
      <c r="W204" s="24">
        <v>202</v>
      </c>
      <c r="X204" s="25">
        <v>107.773234976958</v>
      </c>
      <c r="Y204" s="25">
        <v>10.4600664912129</v>
      </c>
      <c r="Z204" s="25">
        <v>0</v>
      </c>
      <c r="AA204" s="25">
        <v>1</v>
      </c>
      <c r="AB204" s="25">
        <v>0</v>
      </c>
    </row>
    <row r="205" spans="23:28">
      <c r="W205" s="24">
        <v>203</v>
      </c>
      <c r="X205" s="25">
        <v>104.921579417802</v>
      </c>
      <c r="Y205" s="25">
        <v>7.69130605643062</v>
      </c>
      <c r="Z205" s="25">
        <v>0</v>
      </c>
      <c r="AA205" s="25">
        <v>0</v>
      </c>
      <c r="AB205" s="25">
        <v>0</v>
      </c>
    </row>
    <row r="206" spans="23:28">
      <c r="W206" s="24">
        <v>204</v>
      </c>
      <c r="X206" s="25">
        <v>96.6062393377813</v>
      </c>
      <c r="Y206" s="25">
        <v>0</v>
      </c>
      <c r="Z206" s="25">
        <v>0.382314385348577</v>
      </c>
      <c r="AA206" s="25">
        <v>1</v>
      </c>
      <c r="AB206" s="25">
        <v>0</v>
      </c>
    </row>
    <row r="207" spans="23:28">
      <c r="W207" s="24">
        <v>205</v>
      </c>
      <c r="X207" s="25">
        <v>108.514216727094</v>
      </c>
      <c r="Y207" s="25">
        <v>11.1795085521884</v>
      </c>
      <c r="Z207" s="25">
        <v>0</v>
      </c>
      <c r="AA207" s="25">
        <v>1</v>
      </c>
      <c r="AB207" s="25">
        <v>0</v>
      </c>
    </row>
    <row r="208" spans="23:28">
      <c r="W208" s="24">
        <v>206</v>
      </c>
      <c r="X208" s="25">
        <v>105.191971803423</v>
      </c>
      <c r="Y208" s="25">
        <v>7.95383837270907</v>
      </c>
      <c r="Z208" s="25">
        <v>0</v>
      </c>
      <c r="AA208" s="25">
        <v>0</v>
      </c>
      <c r="AB208" s="25">
        <v>1</v>
      </c>
    </row>
    <row r="209" spans="23:28">
      <c r="W209" s="24">
        <v>207</v>
      </c>
      <c r="X209" s="25">
        <v>95.1459456584688</v>
      </c>
      <c r="Y209" s="25">
        <v>0</v>
      </c>
      <c r="Z209" s="25">
        <v>1.80015860901734</v>
      </c>
      <c r="AA209" s="25">
        <v>1</v>
      </c>
      <c r="AB209" s="25">
        <v>0</v>
      </c>
    </row>
    <row r="210" spans="23:28">
      <c r="W210" s="24">
        <v>208</v>
      </c>
      <c r="X210" s="25">
        <v>100.769961673027</v>
      </c>
      <c r="Y210" s="25">
        <v>3.66037219586614</v>
      </c>
      <c r="Z210" s="25">
        <v>0</v>
      </c>
      <c r="AA210" s="25">
        <v>1</v>
      </c>
      <c r="AB210" s="25">
        <v>0</v>
      </c>
    </row>
    <row r="211" spans="23:28">
      <c r="W211" s="24">
        <v>209</v>
      </c>
      <c r="X211" s="25">
        <v>109.792996485345</v>
      </c>
      <c r="Y211" s="25">
        <v>12.4211153051768</v>
      </c>
      <c r="Z211" s="25">
        <v>0</v>
      </c>
      <c r="AA211" s="25">
        <v>0</v>
      </c>
      <c r="AB211" s="25">
        <v>1</v>
      </c>
    </row>
    <row r="212" spans="23:28">
      <c r="W212" s="24">
        <v>210</v>
      </c>
      <c r="X212" s="25">
        <v>95.4792616678054</v>
      </c>
      <c r="Y212" s="25">
        <v>0</v>
      </c>
      <c r="Z212" s="25">
        <v>1.47653180354032</v>
      </c>
      <c r="AA212" s="25">
        <v>1</v>
      </c>
      <c r="AB212" s="25">
        <v>0</v>
      </c>
    </row>
    <row r="213" spans="23:28">
      <c r="W213" s="24">
        <v>211</v>
      </c>
      <c r="X213" s="25">
        <v>104.817884912091</v>
      </c>
      <c r="Y213" s="25">
        <v>7.5906258589939</v>
      </c>
      <c r="Z213" s="25">
        <v>0</v>
      </c>
      <c r="AA213" s="25">
        <v>1</v>
      </c>
      <c r="AB213" s="25">
        <v>0</v>
      </c>
    </row>
    <row r="214" spans="23:28">
      <c r="W214" s="24">
        <v>212</v>
      </c>
      <c r="X214" s="25">
        <v>102.32386664744</v>
      </c>
      <c r="Y214" s="25">
        <v>5.16910651644353</v>
      </c>
      <c r="Z214" s="25">
        <v>0</v>
      </c>
      <c r="AA214" s="25">
        <v>1</v>
      </c>
      <c r="AB214" s="25">
        <v>0</v>
      </c>
    </row>
    <row r="215" spans="23:28">
      <c r="W215" s="24">
        <v>213</v>
      </c>
      <c r="X215" s="25">
        <v>110.397305741116</v>
      </c>
      <c r="Y215" s="25">
        <v>13.0078578212495</v>
      </c>
      <c r="Z215" s="25">
        <v>0</v>
      </c>
      <c r="AA215" s="25">
        <v>0</v>
      </c>
      <c r="AB215" s="25">
        <v>1</v>
      </c>
    </row>
    <row r="216" spans="23:28">
      <c r="W216" s="24">
        <v>214</v>
      </c>
      <c r="X216" s="25">
        <v>93.9025480835185</v>
      </c>
      <c r="Y216" s="25">
        <v>0</v>
      </c>
      <c r="Z216" s="25">
        <v>3.00741170772083</v>
      </c>
      <c r="AA216" s="25">
        <v>1</v>
      </c>
      <c r="AB216" s="25">
        <v>0</v>
      </c>
    </row>
    <row r="217" spans="23:28">
      <c r="W217" s="24">
        <v>215</v>
      </c>
      <c r="X217" s="25">
        <v>105.999587395253</v>
      </c>
      <c r="Y217" s="25">
        <v>8.73797728808193</v>
      </c>
      <c r="Z217" s="25">
        <v>0</v>
      </c>
      <c r="AA217" s="25">
        <v>1</v>
      </c>
      <c r="AB217" s="25">
        <v>0</v>
      </c>
    </row>
    <row r="218" spans="23:28">
      <c r="W218" s="24">
        <v>216</v>
      </c>
      <c r="X218" s="25">
        <v>105.879021573758</v>
      </c>
      <c r="Y218" s="25">
        <v>8.62091620920374</v>
      </c>
      <c r="Z218" s="25">
        <v>0</v>
      </c>
      <c r="AA218" s="25">
        <v>1</v>
      </c>
      <c r="AB218" s="25">
        <v>0</v>
      </c>
    </row>
    <row r="219" spans="23:28">
      <c r="W219" s="24">
        <v>217</v>
      </c>
      <c r="X219" s="25">
        <v>111.251256373325</v>
      </c>
      <c r="Y219" s="25">
        <v>13.8369848580417</v>
      </c>
      <c r="Z219" s="25">
        <v>0</v>
      </c>
      <c r="AA219" s="25">
        <v>1</v>
      </c>
      <c r="AB219" s="25">
        <v>0</v>
      </c>
    </row>
    <row r="220" spans="23:28">
      <c r="W220" s="24">
        <v>218</v>
      </c>
      <c r="X220" s="25">
        <v>105.598076264006</v>
      </c>
      <c r="Y220" s="25">
        <v>8.3481377330373</v>
      </c>
      <c r="Z220" s="25">
        <v>0</v>
      </c>
      <c r="AA220" s="25">
        <v>1</v>
      </c>
      <c r="AB220" s="25">
        <v>0</v>
      </c>
    </row>
    <row r="221" spans="23:28">
      <c r="W221" s="24">
        <v>219</v>
      </c>
      <c r="X221" s="25">
        <v>106.617808355168</v>
      </c>
      <c r="Y221" s="25">
        <v>9.33822710726835</v>
      </c>
      <c r="Z221" s="25">
        <v>0</v>
      </c>
      <c r="AA221" s="25">
        <v>1</v>
      </c>
      <c r="AB221" s="25">
        <v>0</v>
      </c>
    </row>
    <row r="222" spans="23:28">
      <c r="W222" s="24">
        <v>220</v>
      </c>
      <c r="X222" s="25">
        <v>100.341693225551</v>
      </c>
      <c r="Y222" s="25">
        <v>3.24455313629152</v>
      </c>
      <c r="Z222" s="25">
        <v>0</v>
      </c>
      <c r="AA222" s="25">
        <v>1</v>
      </c>
      <c r="AB222" s="25">
        <v>0</v>
      </c>
    </row>
    <row r="223" spans="23:28">
      <c r="W223" s="24">
        <v>221</v>
      </c>
      <c r="X223" s="25">
        <v>102.434411132509</v>
      </c>
      <c r="Y223" s="25">
        <v>5.2764375703503</v>
      </c>
      <c r="Z223" s="25">
        <v>0</v>
      </c>
      <c r="AA223" s="25">
        <v>1</v>
      </c>
      <c r="AB223" s="25">
        <v>0</v>
      </c>
    </row>
    <row r="224" spans="23:28">
      <c r="W224" s="24">
        <v>222</v>
      </c>
      <c r="X224" s="25">
        <v>119.352298881674</v>
      </c>
      <c r="Y224" s="25">
        <v>21.7025371704823</v>
      </c>
      <c r="Z224" s="25">
        <v>0</v>
      </c>
      <c r="AA224" s="25">
        <v>1</v>
      </c>
      <c r="AB224" s="25">
        <v>0</v>
      </c>
    </row>
    <row r="225" spans="23:28">
      <c r="W225" s="24">
        <v>223</v>
      </c>
      <c r="X225" s="25">
        <v>98.8429047893759</v>
      </c>
      <c r="Y225" s="25">
        <v>1.78933316455785</v>
      </c>
      <c r="Z225" s="25">
        <v>0</v>
      </c>
      <c r="AA225" s="25">
        <v>0</v>
      </c>
      <c r="AB225" s="25">
        <v>1</v>
      </c>
    </row>
    <row r="226" spans="23:28">
      <c r="W226" s="24">
        <v>224</v>
      </c>
      <c r="X226" s="25">
        <v>86.347338706803</v>
      </c>
      <c r="Y226" s="25">
        <v>0</v>
      </c>
      <c r="Z226" s="25">
        <v>10.3429977786182</v>
      </c>
      <c r="AA226" s="25">
        <v>0</v>
      </c>
      <c r="AB226" s="25">
        <v>1</v>
      </c>
    </row>
    <row r="227" spans="23:28">
      <c r="W227" s="24">
        <v>225</v>
      </c>
      <c r="X227" s="25">
        <v>94.8898682545602</v>
      </c>
      <c r="Y227" s="25">
        <v>0</v>
      </c>
      <c r="Z227" s="25">
        <v>2.0487920675384</v>
      </c>
      <c r="AA227" s="25">
        <v>1</v>
      </c>
      <c r="AB227" s="25">
        <v>0</v>
      </c>
    </row>
    <row r="228" spans="23:28">
      <c r="W228" s="24">
        <v>226</v>
      </c>
      <c r="X228" s="25">
        <v>100.963451106316</v>
      </c>
      <c r="Y228" s="25">
        <v>3.84823706114337</v>
      </c>
      <c r="Z228" s="25">
        <v>0</v>
      </c>
      <c r="AA228" s="25">
        <v>1</v>
      </c>
      <c r="AB228" s="25">
        <v>0</v>
      </c>
    </row>
    <row r="229" spans="23:28">
      <c r="W229" s="24">
        <v>227</v>
      </c>
      <c r="X229" s="25">
        <v>104.853944375409</v>
      </c>
      <c r="Y229" s="25">
        <v>7.62563710536094</v>
      </c>
      <c r="Z229" s="25">
        <v>0</v>
      </c>
      <c r="AA229" s="25">
        <v>0</v>
      </c>
      <c r="AB229" s="25">
        <v>0</v>
      </c>
    </row>
    <row r="230" spans="23:28">
      <c r="W230" s="24">
        <v>228</v>
      </c>
      <c r="X230" s="25">
        <v>96.9191935265212</v>
      </c>
      <c r="Y230" s="25">
        <v>0</v>
      </c>
      <c r="Z230" s="25">
        <v>0.0784575002138216</v>
      </c>
      <c r="AA230" s="25">
        <v>1</v>
      </c>
      <c r="AB230" s="25">
        <v>0</v>
      </c>
    </row>
    <row r="231" spans="23:28">
      <c r="W231" s="24">
        <v>229</v>
      </c>
      <c r="X231" s="25">
        <v>111.067170029012</v>
      </c>
      <c r="Y231" s="25">
        <v>13.6582497421964</v>
      </c>
      <c r="Z231" s="25">
        <v>0</v>
      </c>
      <c r="AA231" s="25">
        <v>0</v>
      </c>
      <c r="AB231" s="25">
        <v>1</v>
      </c>
    </row>
    <row r="232" spans="23:28">
      <c r="W232" s="24">
        <v>230</v>
      </c>
      <c r="X232" s="25">
        <v>94.544323648653</v>
      </c>
      <c r="Y232" s="25">
        <v>0</v>
      </c>
      <c r="Z232" s="25">
        <v>2.38429199501609</v>
      </c>
      <c r="AA232" s="25">
        <v>1</v>
      </c>
      <c r="AB232" s="25">
        <v>0</v>
      </c>
    </row>
    <row r="233" spans="23:28">
      <c r="W233" s="24">
        <v>231</v>
      </c>
      <c r="X233" s="25">
        <v>113.292442843701</v>
      </c>
      <c r="Y233" s="25">
        <v>15.8188358291535</v>
      </c>
      <c r="Z233" s="25">
        <v>0</v>
      </c>
      <c r="AA233" s="25">
        <v>1</v>
      </c>
      <c r="AB233" s="25">
        <v>0</v>
      </c>
    </row>
    <row r="234" spans="23:28">
      <c r="W234" s="24">
        <v>232</v>
      </c>
      <c r="X234" s="25">
        <v>99.7734961004915</v>
      </c>
      <c r="Y234" s="25">
        <v>2.69287300298468</v>
      </c>
      <c r="Z234" s="25">
        <v>0</v>
      </c>
      <c r="AA234" s="25">
        <v>1</v>
      </c>
      <c r="AB234" s="25">
        <v>0</v>
      </c>
    </row>
    <row r="235" spans="23:28">
      <c r="W235" s="24">
        <v>233</v>
      </c>
      <c r="X235" s="25">
        <v>114.580734465064</v>
      </c>
      <c r="Y235" s="25">
        <v>17.0696779437417</v>
      </c>
      <c r="Z235" s="25">
        <v>0</v>
      </c>
      <c r="AA235" s="25">
        <v>0</v>
      </c>
      <c r="AB235" s="25">
        <v>0</v>
      </c>
    </row>
    <row r="236" spans="23:28">
      <c r="W236" s="24">
        <v>234</v>
      </c>
      <c r="X236" s="25">
        <v>97.2938861065997</v>
      </c>
      <c r="Y236" s="25">
        <v>0.285343095407373</v>
      </c>
      <c r="Z236" s="25">
        <v>0</v>
      </c>
      <c r="AA236" s="25">
        <v>1</v>
      </c>
      <c r="AB236" s="25">
        <v>0</v>
      </c>
    </row>
    <row r="237" spans="23:28">
      <c r="W237" s="24">
        <v>235</v>
      </c>
      <c r="X237" s="25">
        <v>100.253794743066</v>
      </c>
      <c r="Y237" s="25">
        <v>3.15920978554933</v>
      </c>
      <c r="Z237" s="25">
        <v>0</v>
      </c>
      <c r="AA237" s="25">
        <v>1</v>
      </c>
      <c r="AB237" s="25">
        <v>0</v>
      </c>
    </row>
    <row r="238" spans="23:28">
      <c r="W238" s="24">
        <v>236</v>
      </c>
      <c r="X238" s="25">
        <v>104.043267216011</v>
      </c>
      <c r="Y238" s="25">
        <v>6.83852561950299</v>
      </c>
      <c r="Z238" s="25">
        <v>0</v>
      </c>
      <c r="AA238" s="25">
        <v>1</v>
      </c>
      <c r="AB238" s="25">
        <v>0</v>
      </c>
    </row>
    <row r="239" spans="23:28">
      <c r="W239" s="24">
        <v>237</v>
      </c>
      <c r="X239" s="25">
        <v>114.133411434558</v>
      </c>
      <c r="Y239" s="25">
        <v>16.635358201143</v>
      </c>
      <c r="Z239" s="25">
        <v>0</v>
      </c>
      <c r="AA239" s="25">
        <v>0</v>
      </c>
      <c r="AB239" s="25">
        <v>1</v>
      </c>
    </row>
    <row r="240" spans="23:28">
      <c r="W240" s="24">
        <v>238</v>
      </c>
      <c r="X240" s="25">
        <v>91.6842792584328</v>
      </c>
      <c r="Y240" s="25">
        <v>0</v>
      </c>
      <c r="Z240" s="25">
        <v>5.16119740490532</v>
      </c>
      <c r="AA240" s="25">
        <v>1</v>
      </c>
      <c r="AB240" s="25">
        <v>0</v>
      </c>
    </row>
    <row r="241" spans="23:28">
      <c r="W241" s="24">
        <v>239</v>
      </c>
      <c r="X241" s="25">
        <v>116.147866870833</v>
      </c>
      <c r="Y241" s="25">
        <v>18.5912551858547</v>
      </c>
      <c r="Z241" s="25">
        <v>0</v>
      </c>
      <c r="AA241" s="25">
        <v>1</v>
      </c>
      <c r="AB241" s="25">
        <v>0</v>
      </c>
    </row>
    <row r="242" spans="23:28">
      <c r="W242" s="24">
        <v>240</v>
      </c>
      <c r="X242" s="25">
        <v>102.226959297836</v>
      </c>
      <c r="Y242" s="25">
        <v>5.07501617844311</v>
      </c>
      <c r="Z242" s="25">
        <v>0</v>
      </c>
      <c r="AA242" s="25">
        <v>1</v>
      </c>
      <c r="AB242" s="25">
        <v>0</v>
      </c>
    </row>
    <row r="243" spans="23:28">
      <c r="W243" s="24">
        <v>241</v>
      </c>
      <c r="X243" s="25">
        <v>114.044108001335</v>
      </c>
      <c r="Y243" s="25">
        <v>16.5486507403477</v>
      </c>
      <c r="Z243" s="25">
        <v>0</v>
      </c>
      <c r="AA243" s="25">
        <v>1</v>
      </c>
      <c r="AB243" s="25">
        <v>0</v>
      </c>
    </row>
    <row r="244" spans="23:28">
      <c r="W244" s="24">
        <v>242</v>
      </c>
      <c r="X244" s="25">
        <v>109.968716751831</v>
      </c>
      <c r="Y244" s="25">
        <v>12.5917275377349</v>
      </c>
      <c r="Z244" s="25">
        <v>0</v>
      </c>
      <c r="AA244" s="25">
        <v>1</v>
      </c>
      <c r="AB244" s="25">
        <v>0</v>
      </c>
    </row>
    <row r="245" spans="23:28">
      <c r="W245" s="24">
        <v>243</v>
      </c>
      <c r="X245" s="25">
        <v>104.918872434685</v>
      </c>
      <c r="Y245" s="25">
        <v>7.68867776293738</v>
      </c>
      <c r="Z245" s="25">
        <v>0</v>
      </c>
      <c r="AA245" s="25">
        <v>0</v>
      </c>
      <c r="AB245" s="25">
        <v>1</v>
      </c>
    </row>
    <row r="246" spans="23:28">
      <c r="W246" s="24">
        <v>244</v>
      </c>
      <c r="X246" s="25">
        <v>95.5010259396051</v>
      </c>
      <c r="Y246" s="25">
        <v>0</v>
      </c>
      <c r="Z246" s="25">
        <v>1.45540020002065</v>
      </c>
      <c r="AA246" s="25">
        <v>1</v>
      </c>
      <c r="AB246" s="25">
        <v>0</v>
      </c>
    </row>
    <row r="247" spans="23:28">
      <c r="W247" s="24">
        <v>245</v>
      </c>
      <c r="X247" s="25">
        <v>105.6267910756</v>
      </c>
      <c r="Y247" s="25">
        <v>8.37601783025947</v>
      </c>
      <c r="Z247" s="25">
        <v>0</v>
      </c>
      <c r="AA247" s="25">
        <v>1</v>
      </c>
      <c r="AB247" s="25">
        <v>0</v>
      </c>
    </row>
    <row r="248" spans="23:28">
      <c r="W248" s="24">
        <v>246</v>
      </c>
      <c r="X248" s="25">
        <v>104.798371828418</v>
      </c>
      <c r="Y248" s="25">
        <v>7.5716800035385</v>
      </c>
      <c r="Z248" s="25">
        <v>0</v>
      </c>
      <c r="AA248" s="25">
        <v>1</v>
      </c>
      <c r="AB248" s="25">
        <v>0</v>
      </c>
    </row>
    <row r="249" spans="23:28">
      <c r="W249" s="24">
        <v>247</v>
      </c>
      <c r="X249" s="25">
        <v>99.8159467959017</v>
      </c>
      <c r="Y249" s="25">
        <v>2.73408969393578</v>
      </c>
      <c r="Z249" s="25">
        <v>0</v>
      </c>
      <c r="AA249" s="25">
        <v>1</v>
      </c>
      <c r="AB249" s="25">
        <v>0</v>
      </c>
    </row>
    <row r="250" spans="23:28">
      <c r="W250" s="24">
        <v>248</v>
      </c>
      <c r="X250" s="25">
        <v>108.914910098458</v>
      </c>
      <c r="Y250" s="25">
        <v>11.5685541189114</v>
      </c>
      <c r="Z250" s="25">
        <v>0</v>
      </c>
      <c r="AA250" s="25">
        <v>0</v>
      </c>
      <c r="AB250" s="25">
        <v>1</v>
      </c>
    </row>
    <row r="251" spans="23:28">
      <c r="W251" s="24">
        <v>249</v>
      </c>
      <c r="X251" s="25">
        <v>94.2897643207481</v>
      </c>
      <c r="Y251" s="25">
        <v>0</v>
      </c>
      <c r="Z251" s="25">
        <v>2.63145150667052</v>
      </c>
      <c r="AA251" s="25">
        <v>1</v>
      </c>
      <c r="AB251" s="25">
        <v>0</v>
      </c>
    </row>
    <row r="252" spans="23:28">
      <c r="W252" s="24">
        <v>250</v>
      </c>
      <c r="X252" s="25">
        <v>100.682161648681</v>
      </c>
      <c r="Y252" s="25">
        <v>3.57512444117019</v>
      </c>
      <c r="Z252" s="25">
        <v>0</v>
      </c>
      <c r="AA252" s="25">
        <v>1</v>
      </c>
      <c r="AB252" s="25">
        <v>0</v>
      </c>
    </row>
    <row r="253" spans="23:28">
      <c r="W253" s="24">
        <v>251</v>
      </c>
      <c r="X253" s="25">
        <v>104.56263508938</v>
      </c>
      <c r="Y253" s="25">
        <v>7.34279592461229</v>
      </c>
      <c r="Z253" s="25">
        <v>0</v>
      </c>
      <c r="AA253" s="25">
        <v>1</v>
      </c>
      <c r="AB253" s="25">
        <v>0</v>
      </c>
    </row>
    <row r="254" spans="23:28">
      <c r="W254" s="24">
        <v>252</v>
      </c>
      <c r="X254" s="25">
        <v>109.196700325084</v>
      </c>
      <c r="Y254" s="25">
        <v>11.8421529509606</v>
      </c>
      <c r="Z254" s="25">
        <v>0</v>
      </c>
      <c r="AA254" s="25">
        <v>1</v>
      </c>
      <c r="AB254" s="25">
        <v>0</v>
      </c>
    </row>
    <row r="255" spans="23:28">
      <c r="W255" s="24">
        <v>253</v>
      </c>
      <c r="X255" s="25">
        <v>103.731785367334</v>
      </c>
      <c r="Y255" s="25">
        <v>6.5360982747982</v>
      </c>
      <c r="Z255" s="25">
        <v>0</v>
      </c>
      <c r="AA255" s="25">
        <v>1</v>
      </c>
      <c r="AB255" s="25">
        <v>0</v>
      </c>
    </row>
    <row r="256" spans="23:28">
      <c r="W256" s="24">
        <v>254</v>
      </c>
      <c r="X256" s="25">
        <v>102.40415849737</v>
      </c>
      <c r="Y256" s="25">
        <v>5.24706435276309</v>
      </c>
      <c r="Z256" s="25">
        <v>0</v>
      </c>
      <c r="AA256" s="25">
        <v>1</v>
      </c>
      <c r="AB256" s="25">
        <v>0</v>
      </c>
    </row>
    <row r="257" spans="23:28">
      <c r="W257" s="24">
        <v>255</v>
      </c>
      <c r="X257" s="25">
        <v>104.590310624442</v>
      </c>
      <c r="Y257" s="25">
        <v>7.36966695615867</v>
      </c>
      <c r="Z257" s="25">
        <v>0</v>
      </c>
      <c r="AA257" s="25">
        <v>1</v>
      </c>
      <c r="AB257" s="25">
        <v>0</v>
      </c>
    </row>
    <row r="258" spans="23:28">
      <c r="W258" s="24">
        <v>256</v>
      </c>
      <c r="X258" s="25">
        <v>104.256145685046</v>
      </c>
      <c r="Y258" s="25">
        <v>7.04521589827415</v>
      </c>
      <c r="Z258" s="25">
        <v>0</v>
      </c>
      <c r="AA258" s="25">
        <v>1</v>
      </c>
      <c r="AB258" s="25">
        <v>0</v>
      </c>
    </row>
    <row r="259" spans="23:28">
      <c r="W259" s="24">
        <v>257</v>
      </c>
      <c r="X259" s="25">
        <v>109.857728502282</v>
      </c>
      <c r="Y259" s="25">
        <v>12.4839656191929</v>
      </c>
      <c r="Z259" s="25">
        <v>0</v>
      </c>
      <c r="AA259" s="25">
        <v>1</v>
      </c>
      <c r="AB259" s="25">
        <v>0</v>
      </c>
    </row>
    <row r="260" spans="23:28">
      <c r="W260" s="24">
        <v>258</v>
      </c>
      <c r="X260" s="25">
        <v>106.326335901753</v>
      </c>
      <c r="Y260" s="25">
        <v>9.05522750226588</v>
      </c>
      <c r="Z260" s="25">
        <v>0</v>
      </c>
      <c r="AA260" s="25">
        <v>1</v>
      </c>
      <c r="AB260" s="25">
        <v>0</v>
      </c>
    </row>
    <row r="261" spans="23:28">
      <c r="W261" s="24">
        <v>259</v>
      </c>
      <c r="X261" s="25">
        <v>103.382623651378</v>
      </c>
      <c r="Y261" s="25">
        <v>6.19708638348584</v>
      </c>
      <c r="Z261" s="25">
        <v>0</v>
      </c>
      <c r="AA261" s="25">
        <v>1</v>
      </c>
      <c r="AB261" s="25">
        <v>0</v>
      </c>
    </row>
    <row r="262" spans="23:28">
      <c r="W262" s="24">
        <v>260</v>
      </c>
      <c r="X262" s="25">
        <v>108.471565999949</v>
      </c>
      <c r="Y262" s="25">
        <v>11.1380976442497</v>
      </c>
      <c r="Z262" s="25">
        <v>0</v>
      </c>
      <c r="AA262" s="25">
        <v>1</v>
      </c>
      <c r="AB262" s="25">
        <v>0</v>
      </c>
    </row>
    <row r="263" spans="23:28">
      <c r="W263" s="24">
        <v>261</v>
      </c>
      <c r="X263" s="25">
        <v>99.853998394354</v>
      </c>
      <c r="Y263" s="25">
        <v>2.77103516581665</v>
      </c>
      <c r="Z263" s="25">
        <v>0</v>
      </c>
      <c r="AA263" s="25">
        <v>1</v>
      </c>
      <c r="AB263" s="25">
        <v>0</v>
      </c>
    </row>
    <row r="264" spans="23:28">
      <c r="W264" s="24">
        <v>262</v>
      </c>
      <c r="X264" s="25">
        <v>98.7971590708877</v>
      </c>
      <c r="Y264" s="25">
        <v>1.74491723395784</v>
      </c>
      <c r="Z264" s="25">
        <v>0</v>
      </c>
      <c r="AA264" s="25">
        <v>1</v>
      </c>
      <c r="AB264" s="25">
        <v>0</v>
      </c>
    </row>
    <row r="265" spans="23:28">
      <c r="W265" s="24">
        <v>263</v>
      </c>
      <c r="X265" s="25">
        <v>106.238561425877</v>
      </c>
      <c r="Y265" s="25">
        <v>8.9700045533689</v>
      </c>
      <c r="Z265" s="25">
        <v>0</v>
      </c>
      <c r="AA265" s="25">
        <v>1</v>
      </c>
      <c r="AB265" s="25">
        <v>0</v>
      </c>
    </row>
    <row r="266" spans="23:28">
      <c r="W266" s="24">
        <v>264</v>
      </c>
      <c r="X266" s="25">
        <v>102.133581424899</v>
      </c>
      <c r="Y266" s="25">
        <v>4.98435271831957</v>
      </c>
      <c r="Z266" s="25">
        <v>0</v>
      </c>
      <c r="AA266" s="25">
        <v>1</v>
      </c>
      <c r="AB266" s="25">
        <v>0</v>
      </c>
    </row>
    <row r="267" spans="23:28">
      <c r="W267" s="24">
        <v>265</v>
      </c>
      <c r="X267" s="25">
        <v>117.163365993713</v>
      </c>
      <c r="Y267" s="25">
        <v>19.5772346404768</v>
      </c>
      <c r="Z267" s="25">
        <v>0</v>
      </c>
      <c r="AA267" s="25">
        <v>1</v>
      </c>
      <c r="AB267" s="25">
        <v>0</v>
      </c>
    </row>
    <row r="268" spans="23:28">
      <c r="W268" s="24">
        <v>266</v>
      </c>
      <c r="X268" s="25">
        <v>117.355675441352</v>
      </c>
      <c r="Y268" s="25">
        <v>19.7639538212512</v>
      </c>
      <c r="Z268" s="25">
        <v>0</v>
      </c>
      <c r="AA268" s="25">
        <v>1</v>
      </c>
      <c r="AB268" s="25">
        <v>0</v>
      </c>
    </row>
    <row r="269" spans="23:28">
      <c r="W269" s="24">
        <v>267</v>
      </c>
      <c r="X269" s="25">
        <v>113.952486968929</v>
      </c>
      <c r="Y269" s="25">
        <v>16.4596930509434</v>
      </c>
      <c r="Z269" s="25">
        <v>0</v>
      </c>
      <c r="AA269" s="25">
        <v>0</v>
      </c>
      <c r="AB269" s="25">
        <v>0</v>
      </c>
    </row>
    <row r="270" spans="23:28">
      <c r="W270" s="24">
        <v>268</v>
      </c>
      <c r="X270" s="25">
        <v>96.6370821633711</v>
      </c>
      <c r="Y270" s="25">
        <v>0</v>
      </c>
      <c r="Z270" s="25">
        <v>0.352368133629709</v>
      </c>
      <c r="AA270" s="25">
        <v>1</v>
      </c>
      <c r="AB270" s="25">
        <v>0</v>
      </c>
    </row>
    <row r="271" spans="23:28">
      <c r="W271" s="24">
        <v>269</v>
      </c>
      <c r="X271" s="25">
        <v>115.533337845819</v>
      </c>
      <c r="Y271" s="25">
        <v>17.9945899802622</v>
      </c>
      <c r="Z271" s="25">
        <v>0</v>
      </c>
      <c r="AA271" s="25">
        <v>0</v>
      </c>
      <c r="AB271" s="25">
        <v>1</v>
      </c>
    </row>
    <row r="272" spans="23:28">
      <c r="W272" s="24">
        <v>270</v>
      </c>
      <c r="X272" s="25">
        <v>95.2274881619184</v>
      </c>
      <c r="Y272" s="25">
        <v>0</v>
      </c>
      <c r="Z272" s="25">
        <v>1.72098647457796</v>
      </c>
      <c r="AA272" s="25">
        <v>1</v>
      </c>
      <c r="AB272" s="25">
        <v>0</v>
      </c>
    </row>
    <row r="273" spans="23:28">
      <c r="W273" s="24">
        <v>271</v>
      </c>
      <c r="X273" s="25">
        <v>110.561918335485</v>
      </c>
      <c r="Y273" s="25">
        <v>13.167685271971</v>
      </c>
      <c r="Z273" s="25">
        <v>0</v>
      </c>
      <c r="AA273" s="25">
        <v>0</v>
      </c>
      <c r="AB273" s="25">
        <v>1</v>
      </c>
    </row>
    <row r="274" spans="23:28">
      <c r="W274" s="24">
        <v>272</v>
      </c>
      <c r="X274" s="25">
        <v>90.3874336933419</v>
      </c>
      <c r="Y274" s="25">
        <v>0</v>
      </c>
      <c r="Z274" s="25">
        <v>6.42034480758416</v>
      </c>
      <c r="AA274" s="25">
        <v>1</v>
      </c>
      <c r="AB274" s="25">
        <v>0</v>
      </c>
    </row>
    <row r="275" spans="23:28">
      <c r="W275" s="24">
        <v>273</v>
      </c>
      <c r="X275" s="25">
        <v>111.705204089681</v>
      </c>
      <c r="Y275" s="25">
        <v>14.2777367126868</v>
      </c>
      <c r="Z275" s="25">
        <v>0</v>
      </c>
      <c r="AA275" s="25">
        <v>1</v>
      </c>
      <c r="AB275" s="25">
        <v>0</v>
      </c>
    </row>
    <row r="276" spans="23:28">
      <c r="W276" s="24">
        <v>274</v>
      </c>
      <c r="X276" s="25">
        <v>110.442589278632</v>
      </c>
      <c r="Y276" s="25">
        <v>13.051825006072</v>
      </c>
      <c r="Z276" s="25">
        <v>0</v>
      </c>
      <c r="AA276" s="25">
        <v>1</v>
      </c>
      <c r="AB276" s="25">
        <v>0</v>
      </c>
    </row>
    <row r="277" spans="23:28">
      <c r="W277" s="24">
        <v>275</v>
      </c>
      <c r="X277" s="25">
        <v>112.20045314827</v>
      </c>
      <c r="Y277" s="25">
        <v>14.7585893157939</v>
      </c>
      <c r="Z277" s="25">
        <v>0</v>
      </c>
      <c r="AA277" s="25">
        <v>1</v>
      </c>
      <c r="AB277" s="25">
        <v>0</v>
      </c>
    </row>
    <row r="278" spans="23:28">
      <c r="W278" s="24">
        <v>276</v>
      </c>
      <c r="X278" s="25">
        <v>99.8612333473845</v>
      </c>
      <c r="Y278" s="25">
        <v>2.77805980511224</v>
      </c>
      <c r="Z278" s="25">
        <v>0</v>
      </c>
      <c r="AA278" s="25">
        <v>1</v>
      </c>
      <c r="AB278" s="25">
        <v>0</v>
      </c>
    </row>
    <row r="279" spans="23:28">
      <c r="W279" s="24">
        <v>277</v>
      </c>
      <c r="X279" s="25">
        <v>109.430084604211</v>
      </c>
      <c r="Y279" s="25">
        <v>12.068752953921</v>
      </c>
      <c r="Z279" s="25">
        <v>0</v>
      </c>
      <c r="AA279" s="25">
        <v>1</v>
      </c>
      <c r="AB279" s="25">
        <v>0</v>
      </c>
    </row>
    <row r="280" spans="23:28">
      <c r="W280" s="24">
        <v>278</v>
      </c>
      <c r="X280" s="25">
        <v>101.491150132783</v>
      </c>
      <c r="Y280" s="25">
        <v>4.36059634004138</v>
      </c>
      <c r="Z280" s="25">
        <v>0</v>
      </c>
      <c r="AA280" s="25">
        <v>0</v>
      </c>
      <c r="AB280" s="25">
        <v>1</v>
      </c>
    </row>
    <row r="281" spans="23:28">
      <c r="W281" s="24">
        <v>279</v>
      </c>
      <c r="X281" s="25">
        <v>91.1078242298146</v>
      </c>
      <c r="Y281" s="25">
        <v>0</v>
      </c>
      <c r="Z281" s="25">
        <v>5.72089539176232</v>
      </c>
      <c r="AA281" s="25">
        <v>1</v>
      </c>
      <c r="AB281" s="25">
        <v>0</v>
      </c>
    </row>
    <row r="282" spans="23:28">
      <c r="W282" s="24">
        <v>280</v>
      </c>
      <c r="X282" s="25">
        <v>103.900594900595</v>
      </c>
      <c r="Y282" s="25">
        <v>6.70000066308101</v>
      </c>
      <c r="Z282" s="25">
        <v>0</v>
      </c>
      <c r="AA282" s="25">
        <v>1</v>
      </c>
      <c r="AB282" s="25">
        <v>0</v>
      </c>
    </row>
    <row r="283" spans="23:28">
      <c r="W283" s="24">
        <v>281</v>
      </c>
      <c r="X283" s="25">
        <v>102.528908461412</v>
      </c>
      <c r="Y283" s="25">
        <v>5.36818794483647</v>
      </c>
      <c r="Z283" s="25">
        <v>0</v>
      </c>
      <c r="AA283" s="25">
        <v>1</v>
      </c>
      <c r="AB283" s="25">
        <v>0</v>
      </c>
    </row>
    <row r="284" spans="23:28">
      <c r="W284" s="24">
        <v>282</v>
      </c>
      <c r="X284" s="25">
        <v>112.978194517217</v>
      </c>
      <c r="Y284" s="25">
        <v>15.5137224257236</v>
      </c>
      <c r="Z284" s="25">
        <v>0</v>
      </c>
      <c r="AA284" s="25">
        <v>0</v>
      </c>
      <c r="AB284" s="25">
        <v>0</v>
      </c>
    </row>
    <row r="285" spans="23:28">
      <c r="W285" s="24">
        <v>283</v>
      </c>
      <c r="X285" s="25">
        <v>97.392808790614</v>
      </c>
      <c r="Y285" s="25">
        <v>0.381390183816025</v>
      </c>
      <c r="Z285" s="25">
        <v>0</v>
      </c>
      <c r="AA285" s="25">
        <v>1</v>
      </c>
      <c r="AB285" s="25">
        <v>0</v>
      </c>
    </row>
    <row r="286" spans="23:28">
      <c r="W286" s="24">
        <v>284</v>
      </c>
      <c r="X286" s="25">
        <v>104.018117507686</v>
      </c>
      <c r="Y286" s="25">
        <v>6.81410699112661</v>
      </c>
      <c r="Z286" s="25">
        <v>0</v>
      </c>
      <c r="AA286" s="25">
        <v>1</v>
      </c>
      <c r="AB286" s="25">
        <v>0</v>
      </c>
    </row>
    <row r="287" spans="23:28">
      <c r="W287" s="24">
        <v>285</v>
      </c>
      <c r="X287" s="25">
        <v>100.423358323244</v>
      </c>
      <c r="Y287" s="25">
        <v>3.32384430126727</v>
      </c>
      <c r="Z287" s="25">
        <v>0</v>
      </c>
      <c r="AA287" s="25">
        <v>1</v>
      </c>
      <c r="AB287" s="25">
        <v>0</v>
      </c>
    </row>
    <row r="288" spans="23:28">
      <c r="W288" s="24">
        <v>286</v>
      </c>
      <c r="X288" s="25">
        <v>110.231556762107</v>
      </c>
      <c r="Y288" s="25">
        <v>12.8469270195921</v>
      </c>
      <c r="Z288" s="25">
        <v>0</v>
      </c>
      <c r="AA288" s="25">
        <v>1</v>
      </c>
      <c r="AB288" s="25">
        <v>0</v>
      </c>
    </row>
    <row r="289" spans="23:28">
      <c r="W289" s="24">
        <v>287</v>
      </c>
      <c r="X289" s="25">
        <v>107.195637059816</v>
      </c>
      <c r="Y289" s="25">
        <v>9.89925883859856</v>
      </c>
      <c r="Z289" s="25">
        <v>0</v>
      </c>
      <c r="AA289" s="25">
        <v>1</v>
      </c>
      <c r="AB289" s="25">
        <v>0</v>
      </c>
    </row>
    <row r="290" spans="23:28">
      <c r="W290" s="24">
        <v>288</v>
      </c>
      <c r="X290" s="25">
        <v>112.521946873523</v>
      </c>
      <c r="Y290" s="25">
        <v>15.07073750061</v>
      </c>
      <c r="Z290" s="25">
        <v>0</v>
      </c>
      <c r="AA290" s="25">
        <v>1</v>
      </c>
      <c r="AB290" s="25">
        <v>0</v>
      </c>
    </row>
    <row r="291" spans="23:28">
      <c r="W291" s="24">
        <v>289</v>
      </c>
      <c r="X291" s="25">
        <v>101.767641314627</v>
      </c>
      <c r="Y291" s="25">
        <v>4.62905016588969</v>
      </c>
      <c r="Z291" s="25">
        <v>0</v>
      </c>
      <c r="AA291" s="25">
        <v>1</v>
      </c>
      <c r="AB291" s="25">
        <v>0</v>
      </c>
    </row>
    <row r="292" spans="23:28">
      <c r="W292" s="24">
        <v>290</v>
      </c>
      <c r="X292" s="25">
        <v>100.940162231403</v>
      </c>
      <c r="Y292" s="25">
        <v>3.82562517338488</v>
      </c>
      <c r="Z292" s="25">
        <v>0</v>
      </c>
      <c r="AA292" s="25">
        <v>1</v>
      </c>
      <c r="AB292" s="25">
        <v>0</v>
      </c>
    </row>
    <row r="293" spans="23:28">
      <c r="W293" s="24">
        <v>291</v>
      </c>
      <c r="X293" s="25">
        <v>105.104364418392</v>
      </c>
      <c r="Y293" s="25">
        <v>7.86877765747296</v>
      </c>
      <c r="Z293" s="25">
        <v>0</v>
      </c>
      <c r="AA293" s="25">
        <v>1</v>
      </c>
      <c r="AB293" s="25">
        <v>0</v>
      </c>
    </row>
    <row r="294" spans="23:28">
      <c r="W294" s="24">
        <v>292</v>
      </c>
      <c r="X294" s="25">
        <v>112.381680339252</v>
      </c>
      <c r="Y294" s="25">
        <v>14.9345483913865</v>
      </c>
      <c r="Z294" s="25">
        <v>0</v>
      </c>
      <c r="AA294" s="25">
        <v>1</v>
      </c>
      <c r="AB294" s="25">
        <v>0</v>
      </c>
    </row>
    <row r="295" spans="23:28">
      <c r="W295" s="24">
        <v>293</v>
      </c>
      <c r="X295" s="25">
        <v>109.326415889285</v>
      </c>
      <c r="Y295" s="25">
        <v>11.9680977975536</v>
      </c>
      <c r="Z295" s="25">
        <v>0</v>
      </c>
      <c r="AA295" s="25">
        <v>1</v>
      </c>
      <c r="AB295" s="25">
        <v>0</v>
      </c>
    </row>
    <row r="296" spans="23:28">
      <c r="W296" s="24">
        <v>294</v>
      </c>
      <c r="X296" s="25">
        <v>121.805249918382</v>
      </c>
      <c r="Y296" s="25">
        <v>24.0841830733634</v>
      </c>
      <c r="Z296" s="25">
        <v>0</v>
      </c>
      <c r="AA296" s="25">
        <v>1</v>
      </c>
      <c r="AB296" s="25">
        <v>0</v>
      </c>
    </row>
    <row r="297" spans="23:28">
      <c r="W297" s="24">
        <v>295</v>
      </c>
      <c r="X297" s="25">
        <v>99.7948410641594</v>
      </c>
      <c r="Y297" s="25">
        <v>2.71359748729196</v>
      </c>
      <c r="Z297" s="25">
        <v>0</v>
      </c>
      <c r="AA297" s="25">
        <v>1</v>
      </c>
      <c r="AB297" s="25">
        <v>0</v>
      </c>
    </row>
    <row r="298" spans="23:28">
      <c r="W298" s="24">
        <v>296</v>
      </c>
      <c r="X298" s="25">
        <v>102.556538118182</v>
      </c>
      <c r="Y298" s="25">
        <v>5.39501443173323</v>
      </c>
      <c r="Z298" s="25">
        <v>0</v>
      </c>
      <c r="AA298" s="25">
        <v>1</v>
      </c>
      <c r="AB298" s="25">
        <v>0</v>
      </c>
    </row>
    <row r="299" spans="23:28">
      <c r="W299" s="24">
        <v>297</v>
      </c>
      <c r="X299" s="25">
        <v>103.049809647266</v>
      </c>
      <c r="Y299" s="25">
        <v>5.87394699038223</v>
      </c>
      <c r="Z299" s="25">
        <v>0</v>
      </c>
      <c r="AA299" s="25">
        <v>1</v>
      </c>
      <c r="AB299" s="25">
        <v>0</v>
      </c>
    </row>
    <row r="300" spans="23:28">
      <c r="W300" s="24">
        <v>298</v>
      </c>
      <c r="X300" s="25">
        <v>108.353904543127</v>
      </c>
      <c r="Y300" s="25">
        <v>11.0238565027122</v>
      </c>
      <c r="Z300" s="25">
        <v>0</v>
      </c>
      <c r="AA300" s="25">
        <v>1</v>
      </c>
      <c r="AB300" s="25">
        <v>0</v>
      </c>
    </row>
    <row r="301" spans="23:28">
      <c r="W301" s="24">
        <v>299</v>
      </c>
      <c r="X301" s="25">
        <v>105.313795609148</v>
      </c>
      <c r="Y301" s="25">
        <v>8.0721208673193</v>
      </c>
      <c r="Z301" s="25">
        <v>0</v>
      </c>
      <c r="AA301" s="25">
        <v>1</v>
      </c>
      <c r="AB301" s="25">
        <v>0</v>
      </c>
    </row>
    <row r="302" spans="23:28">
      <c r="W302" s="24">
        <v>300</v>
      </c>
      <c r="X302" s="25">
        <v>108.652943141746</v>
      </c>
      <c r="Y302" s="25">
        <v>11.3142023117182</v>
      </c>
      <c r="Z302" s="25">
        <v>0</v>
      </c>
      <c r="AA302" s="25">
        <v>0</v>
      </c>
      <c r="AB302" s="25">
        <v>0</v>
      </c>
    </row>
    <row r="303" spans="23:28">
      <c r="W303" s="24">
        <v>301</v>
      </c>
      <c r="X303" s="25">
        <v>95.9330247099429</v>
      </c>
      <c r="Y303" s="25">
        <v>0</v>
      </c>
      <c r="Z303" s="25">
        <v>1.0359592547966</v>
      </c>
      <c r="AA303" s="25">
        <v>1</v>
      </c>
      <c r="AB303" s="25">
        <v>0</v>
      </c>
    </row>
    <row r="304" spans="23:28">
      <c r="W304" s="24">
        <v>302</v>
      </c>
      <c r="X304" s="25">
        <v>105.107623922189</v>
      </c>
      <c r="Y304" s="25">
        <v>7.87194241035537</v>
      </c>
      <c r="Z304" s="25">
        <v>0</v>
      </c>
      <c r="AA304" s="25">
        <v>1</v>
      </c>
      <c r="AB304" s="25">
        <v>0</v>
      </c>
    </row>
    <row r="305" spans="23:28">
      <c r="W305" s="24">
        <v>303</v>
      </c>
      <c r="X305" s="25">
        <v>109.814410550367</v>
      </c>
      <c r="Y305" s="25">
        <v>12.4419068821224</v>
      </c>
      <c r="Z305" s="25">
        <v>0</v>
      </c>
      <c r="AA305" s="25">
        <v>1</v>
      </c>
      <c r="AB305" s="25">
        <v>0</v>
      </c>
    </row>
    <row r="306" spans="23:28">
      <c r="W306" s="24">
        <v>304</v>
      </c>
      <c r="X306" s="25">
        <v>104.442031781418</v>
      </c>
      <c r="Y306" s="25">
        <v>7.22569844896552</v>
      </c>
      <c r="Z306" s="25">
        <v>0</v>
      </c>
      <c r="AA306" s="25">
        <v>0</v>
      </c>
      <c r="AB306" s="25">
        <v>1</v>
      </c>
    </row>
    <row r="307" spans="23:28">
      <c r="W307" s="24">
        <v>305</v>
      </c>
      <c r="X307" s="25">
        <v>94.8656134945069</v>
      </c>
      <c r="Y307" s="25">
        <v>0</v>
      </c>
      <c r="Z307" s="25">
        <v>2.07234176300398</v>
      </c>
      <c r="AA307" s="25">
        <v>0</v>
      </c>
      <c r="AB307" s="25">
        <v>1</v>
      </c>
    </row>
    <row r="308" spans="23:28">
      <c r="W308" s="24">
        <v>306</v>
      </c>
      <c r="X308" s="25">
        <v>95.7414592326693</v>
      </c>
      <c r="Y308" s="25">
        <v>0</v>
      </c>
      <c r="Z308" s="25">
        <v>1.22195609177163</v>
      </c>
      <c r="AA308" s="25">
        <v>1</v>
      </c>
      <c r="AB308" s="25">
        <v>0</v>
      </c>
    </row>
    <row r="309" spans="23:28">
      <c r="W309" s="24">
        <v>307</v>
      </c>
      <c r="X309" s="25">
        <v>103.645452766766</v>
      </c>
      <c r="Y309" s="25">
        <v>6.45227528715923</v>
      </c>
      <c r="Z309" s="25">
        <v>0</v>
      </c>
      <c r="AA309" s="25">
        <v>1</v>
      </c>
      <c r="AB309" s="25">
        <v>0</v>
      </c>
    </row>
    <row r="310" spans="23:28">
      <c r="W310" s="24">
        <v>308</v>
      </c>
      <c r="X310" s="25">
        <v>99.3011164036998</v>
      </c>
      <c r="Y310" s="25">
        <v>2.23422496939875</v>
      </c>
      <c r="Z310" s="25">
        <v>0</v>
      </c>
      <c r="AA310" s="25">
        <v>1</v>
      </c>
      <c r="AB310" s="25">
        <v>0</v>
      </c>
    </row>
    <row r="311" spans="23:28">
      <c r="W311" s="24">
        <v>309</v>
      </c>
      <c r="X311" s="25">
        <v>98.3376178752425</v>
      </c>
      <c r="Y311" s="25">
        <v>1.29873449755774</v>
      </c>
      <c r="Z311" s="25">
        <v>0</v>
      </c>
      <c r="AA311" s="25">
        <v>1</v>
      </c>
      <c r="AB311" s="25">
        <v>0</v>
      </c>
    </row>
    <row r="312" spans="23:28">
      <c r="W312" s="24">
        <v>310</v>
      </c>
      <c r="X312" s="25">
        <v>104.540817703199</v>
      </c>
      <c r="Y312" s="25">
        <v>7.32161275069893</v>
      </c>
      <c r="Z312" s="25">
        <v>0</v>
      </c>
      <c r="AA312" s="25">
        <v>1</v>
      </c>
      <c r="AB312" s="25">
        <v>0</v>
      </c>
    </row>
    <row r="313" spans="23:28">
      <c r="W313" s="24">
        <v>311</v>
      </c>
      <c r="X313" s="25">
        <v>111.560800760187</v>
      </c>
      <c r="Y313" s="25">
        <v>14.1375310612468</v>
      </c>
      <c r="Z313" s="25">
        <v>0</v>
      </c>
      <c r="AA313" s="25">
        <v>0</v>
      </c>
      <c r="AB313" s="25">
        <v>0</v>
      </c>
    </row>
    <row r="314" spans="23:28">
      <c r="W314" s="24">
        <v>312</v>
      </c>
      <c r="X314" s="25">
        <v>96.2920649057491</v>
      </c>
      <c r="Y314" s="25">
        <v>0</v>
      </c>
      <c r="Z314" s="25">
        <v>0.687356042374055</v>
      </c>
      <c r="AA314" s="25">
        <v>1</v>
      </c>
      <c r="AB314" s="25">
        <v>0</v>
      </c>
    </row>
    <row r="315" spans="23:28">
      <c r="W315" s="24">
        <v>313</v>
      </c>
      <c r="X315" s="25">
        <v>101.589340080959</v>
      </c>
      <c r="Y315" s="25">
        <v>4.45593199259909</v>
      </c>
      <c r="Z315" s="25">
        <v>0</v>
      </c>
      <c r="AA315" s="25">
        <v>1</v>
      </c>
      <c r="AB315" s="25">
        <v>0</v>
      </c>
    </row>
    <row r="316" spans="23:28">
      <c r="W316" s="24">
        <v>314</v>
      </c>
      <c r="X316" s="25">
        <v>98.9544825293192</v>
      </c>
      <c r="Y316" s="25">
        <v>1.89766743752625</v>
      </c>
      <c r="Z316" s="25">
        <v>0</v>
      </c>
      <c r="AA316" s="25">
        <v>1</v>
      </c>
      <c r="AB316" s="25">
        <v>0</v>
      </c>
    </row>
    <row r="317" spans="23:28">
      <c r="W317" s="24">
        <v>315</v>
      </c>
      <c r="X317" s="25">
        <v>101.084697098477</v>
      </c>
      <c r="Y317" s="25">
        <v>3.96595853872304</v>
      </c>
      <c r="Z317" s="25">
        <v>0</v>
      </c>
      <c r="AA317" s="25">
        <v>1</v>
      </c>
      <c r="AB317" s="25">
        <v>0</v>
      </c>
    </row>
    <row r="318" spans="23:28">
      <c r="W318" s="24">
        <v>316</v>
      </c>
      <c r="X318" s="25">
        <v>100.759256313824</v>
      </c>
      <c r="Y318" s="25">
        <v>3.64997803205936</v>
      </c>
      <c r="Z318" s="25">
        <v>0</v>
      </c>
      <c r="AA318" s="25">
        <v>1</v>
      </c>
      <c r="AB318" s="25">
        <v>0</v>
      </c>
    </row>
    <row r="319" spans="23:28">
      <c r="W319" s="24">
        <v>317</v>
      </c>
      <c r="X319" s="25">
        <v>99.91310087735</v>
      </c>
      <c r="Y319" s="25">
        <v>2.82841959150279</v>
      </c>
      <c r="Z319" s="25">
        <v>0</v>
      </c>
      <c r="AA319" s="25">
        <v>1</v>
      </c>
      <c r="AB319" s="25">
        <v>0</v>
      </c>
    </row>
    <row r="320" spans="23:28">
      <c r="W320" s="24">
        <v>318</v>
      </c>
      <c r="X320" s="25">
        <v>111.102936033915</v>
      </c>
      <c r="Y320" s="25">
        <v>13.6929760607268</v>
      </c>
      <c r="Z320" s="25">
        <v>0</v>
      </c>
      <c r="AA320" s="25">
        <v>1</v>
      </c>
      <c r="AB320" s="25">
        <v>0</v>
      </c>
    </row>
    <row r="321" spans="23:28">
      <c r="W321" s="24">
        <v>319</v>
      </c>
      <c r="X321" s="25">
        <v>108.866091199707</v>
      </c>
      <c r="Y321" s="25">
        <v>11.521154342702</v>
      </c>
      <c r="Z321" s="25">
        <v>0</v>
      </c>
      <c r="AA321" s="25">
        <v>1</v>
      </c>
      <c r="AB321" s="25">
        <v>0</v>
      </c>
    </row>
    <row r="322" spans="23:28">
      <c r="W322" s="24">
        <v>320</v>
      </c>
      <c r="X322" s="25">
        <v>105.943538918459</v>
      </c>
      <c r="Y322" s="25">
        <v>8.6835580913171</v>
      </c>
      <c r="Z322" s="25">
        <v>0</v>
      </c>
      <c r="AA322" s="25">
        <v>0</v>
      </c>
      <c r="AB322" s="25">
        <v>1</v>
      </c>
    </row>
    <row r="323" spans="23:28">
      <c r="W323" s="24">
        <v>321</v>
      </c>
      <c r="X323" s="25">
        <v>90.4688629851539</v>
      </c>
      <c r="Y323" s="25">
        <v>0</v>
      </c>
      <c r="Z323" s="25">
        <v>6.3412825938194</v>
      </c>
      <c r="AA323" s="25">
        <v>0</v>
      </c>
      <c r="AB323" s="25">
        <v>0</v>
      </c>
    </row>
    <row r="324" spans="23:28">
      <c r="W324" s="24">
        <v>322</v>
      </c>
      <c r="X324" s="25">
        <v>96.9416939462936</v>
      </c>
      <c r="Y324" s="25">
        <v>0</v>
      </c>
      <c r="Z324" s="25">
        <v>0.0566111478969247</v>
      </c>
      <c r="AA324" s="25">
        <v>1</v>
      </c>
      <c r="AB324" s="25">
        <v>0</v>
      </c>
    </row>
    <row r="325" spans="23:28">
      <c r="W325" s="24">
        <v>323</v>
      </c>
      <c r="X325" s="25">
        <v>98.8912099471643</v>
      </c>
      <c r="Y325" s="25">
        <v>1.83623413380402</v>
      </c>
      <c r="Z325" s="25">
        <v>0</v>
      </c>
      <c r="AA325" s="25">
        <v>1</v>
      </c>
      <c r="AB325" s="25">
        <v>0</v>
      </c>
    </row>
    <row r="326" spans="23:28">
      <c r="W326" s="24">
        <v>324</v>
      </c>
      <c r="X326" s="25">
        <v>115.337390610285</v>
      </c>
      <c r="Y326" s="25">
        <v>17.8043387588935</v>
      </c>
      <c r="Z326" s="25">
        <v>0</v>
      </c>
      <c r="AA326" s="25">
        <v>1</v>
      </c>
      <c r="AB326" s="25">
        <v>0</v>
      </c>
    </row>
    <row r="327" spans="23:28">
      <c r="W327" s="24">
        <v>325</v>
      </c>
      <c r="X327" s="25">
        <v>109.542497845239</v>
      </c>
      <c r="Y327" s="25">
        <v>12.177898440691</v>
      </c>
      <c r="Z327" s="25">
        <v>0</v>
      </c>
      <c r="AA327" s="25">
        <v>0</v>
      </c>
      <c r="AB327" s="25">
        <v>0</v>
      </c>
    </row>
    <row r="328" spans="23:28">
      <c r="W328" s="24">
        <v>326</v>
      </c>
      <c r="X328" s="25">
        <v>97.9397585218612</v>
      </c>
      <c r="Y328" s="25">
        <v>0.912440566401453</v>
      </c>
      <c r="Z328" s="25">
        <v>0</v>
      </c>
      <c r="AA328" s="25">
        <v>1</v>
      </c>
      <c r="AB328" s="25">
        <v>0</v>
      </c>
    </row>
    <row r="329" spans="23:28">
      <c r="W329" s="24">
        <v>327</v>
      </c>
      <c r="X329" s="25">
        <v>108.037689333245</v>
      </c>
      <c r="Y329" s="25">
        <v>10.7168333914584</v>
      </c>
      <c r="Z329" s="25">
        <v>0</v>
      </c>
      <c r="AA329" s="25">
        <v>1</v>
      </c>
      <c r="AB329" s="25">
        <v>0</v>
      </c>
    </row>
    <row r="330" spans="23:28">
      <c r="W330" s="24">
        <v>328</v>
      </c>
      <c r="X330" s="25">
        <v>111.610222171162</v>
      </c>
      <c r="Y330" s="25">
        <v>14.1855158351793</v>
      </c>
      <c r="Z330" s="25">
        <v>0</v>
      </c>
      <c r="AA330" s="25">
        <v>1</v>
      </c>
      <c r="AB330" s="25">
        <v>0</v>
      </c>
    </row>
    <row r="331" spans="23:28">
      <c r="W331" s="24">
        <v>329</v>
      </c>
      <c r="X331" s="25">
        <v>99.4279504963572</v>
      </c>
      <c r="Y331" s="25">
        <v>2.35737210629748</v>
      </c>
      <c r="Z331" s="25">
        <v>0</v>
      </c>
      <c r="AA331" s="25">
        <v>1</v>
      </c>
      <c r="AB331" s="25">
        <v>0</v>
      </c>
    </row>
    <row r="332" spans="23:28">
      <c r="W332" s="24">
        <v>330</v>
      </c>
      <c r="X332" s="25">
        <v>114.069381626269</v>
      </c>
      <c r="Y332" s="25">
        <v>16.5731896831862</v>
      </c>
      <c r="Z332" s="25">
        <v>0</v>
      </c>
      <c r="AA332" s="25">
        <v>1</v>
      </c>
      <c r="AB332" s="25">
        <v>0</v>
      </c>
    </row>
    <row r="333" spans="23:28">
      <c r="W333" s="24">
        <v>331</v>
      </c>
      <c r="X333" s="25">
        <v>108.794147834231</v>
      </c>
      <c r="Y333" s="25">
        <v>11.4513023077202</v>
      </c>
      <c r="Z333" s="25">
        <v>0</v>
      </c>
      <c r="AA333" s="25">
        <v>1</v>
      </c>
      <c r="AB333" s="25">
        <v>0</v>
      </c>
    </row>
    <row r="334" spans="23:28">
      <c r="W334" s="24">
        <v>332</v>
      </c>
      <c r="X334" s="25">
        <v>102.395811158154</v>
      </c>
      <c r="Y334" s="25">
        <v>5.23895966337227</v>
      </c>
      <c r="Z334" s="25">
        <v>0</v>
      </c>
      <c r="AA334" s="25">
        <v>1</v>
      </c>
      <c r="AB334" s="25">
        <v>0</v>
      </c>
    </row>
    <row r="335" spans="23:28">
      <c r="W335" s="24">
        <v>333</v>
      </c>
      <c r="X335" s="25">
        <v>102.420454826524</v>
      </c>
      <c r="Y335" s="25">
        <v>5.26288696193153</v>
      </c>
      <c r="Z335" s="25">
        <v>0</v>
      </c>
      <c r="AA335" s="25">
        <v>1</v>
      </c>
      <c r="AB335" s="25">
        <v>0</v>
      </c>
    </row>
    <row r="336" spans="23:28">
      <c r="W336" s="24">
        <v>334</v>
      </c>
      <c r="X336" s="25">
        <v>102.580714631908</v>
      </c>
      <c r="Y336" s="25">
        <v>5.41848815542313</v>
      </c>
      <c r="Z336" s="25">
        <v>0</v>
      </c>
      <c r="AA336" s="25">
        <v>1</v>
      </c>
      <c r="AB336" s="25">
        <v>0</v>
      </c>
    </row>
    <row r="337" spans="23:28">
      <c r="W337" s="24">
        <v>335</v>
      </c>
      <c r="X337" s="25">
        <v>115.06243173878</v>
      </c>
      <c r="Y337" s="25">
        <v>17.5373727004675</v>
      </c>
      <c r="Z337" s="25">
        <v>0</v>
      </c>
      <c r="AA337" s="25">
        <v>1</v>
      </c>
      <c r="AB337" s="25">
        <v>0</v>
      </c>
    </row>
    <row r="338" spans="23:28">
      <c r="W338" s="24">
        <v>336</v>
      </c>
      <c r="X338" s="25">
        <v>112.098345578083</v>
      </c>
      <c r="Y338" s="25">
        <v>14.6594499230585</v>
      </c>
      <c r="Z338" s="25">
        <v>0</v>
      </c>
      <c r="AA338" s="25">
        <v>1</v>
      </c>
      <c r="AB338" s="25">
        <v>0</v>
      </c>
    </row>
    <row r="339" spans="23:28">
      <c r="W339" s="24">
        <v>337</v>
      </c>
      <c r="X339" s="25">
        <v>103.627635180887</v>
      </c>
      <c r="Y339" s="25">
        <v>6.43497564286394</v>
      </c>
      <c r="Z339" s="25">
        <v>0</v>
      </c>
      <c r="AA339" s="25">
        <v>0</v>
      </c>
      <c r="AB339" s="25">
        <v>1</v>
      </c>
    </row>
    <row r="340" spans="23:28">
      <c r="W340" s="24">
        <v>338</v>
      </c>
      <c r="X340" s="25">
        <v>95.62350826485</v>
      </c>
      <c r="Y340" s="25">
        <v>0</v>
      </c>
      <c r="Z340" s="25">
        <v>1.33647832847508</v>
      </c>
      <c r="AA340" s="25">
        <v>1</v>
      </c>
      <c r="AB340" s="25">
        <v>0</v>
      </c>
    </row>
    <row r="341" spans="23:28">
      <c r="W341" s="24">
        <v>339</v>
      </c>
      <c r="X341" s="25">
        <v>109.459260725223</v>
      </c>
      <c r="Y341" s="25">
        <v>12.0970809507015</v>
      </c>
      <c r="Z341" s="25">
        <v>0</v>
      </c>
      <c r="AA341" s="25">
        <v>1</v>
      </c>
      <c r="AB341" s="25">
        <v>0</v>
      </c>
    </row>
    <row r="342" spans="23:28">
      <c r="W342" s="24">
        <v>340</v>
      </c>
      <c r="X342" s="25">
        <v>100.78056903414</v>
      </c>
      <c r="Y342" s="25">
        <v>3.67067121030071</v>
      </c>
      <c r="Z342" s="25">
        <v>0</v>
      </c>
      <c r="AA342" s="25">
        <v>0</v>
      </c>
      <c r="AB342" s="25">
        <v>0</v>
      </c>
    </row>
    <row r="343" spans="23:28">
      <c r="W343" s="24">
        <v>341</v>
      </c>
      <c r="X343" s="25">
        <v>96.7775256261345</v>
      </c>
      <c r="Y343" s="25">
        <v>0</v>
      </c>
      <c r="Z343" s="25">
        <v>0.216007239069928</v>
      </c>
      <c r="AA343" s="25">
        <v>1</v>
      </c>
      <c r="AB343" s="25">
        <v>0</v>
      </c>
    </row>
    <row r="344" spans="23:28">
      <c r="W344" s="24">
        <v>342</v>
      </c>
      <c r="X344" s="25">
        <v>98.674893945469</v>
      </c>
      <c r="Y344" s="25">
        <v>1.62620624843011</v>
      </c>
      <c r="Z344" s="25">
        <v>0</v>
      </c>
      <c r="AA344" s="25">
        <v>0</v>
      </c>
      <c r="AB344" s="25">
        <v>1</v>
      </c>
    </row>
    <row r="345" spans="23:28">
      <c r="W345" s="24">
        <v>343</v>
      </c>
      <c r="X345" s="25">
        <v>87.1178301980501</v>
      </c>
      <c r="Y345" s="25">
        <v>0</v>
      </c>
      <c r="Z345" s="25">
        <v>9.59490379880652</v>
      </c>
      <c r="AA345" s="25">
        <v>1</v>
      </c>
      <c r="AB345" s="25">
        <v>0</v>
      </c>
    </row>
    <row r="346" spans="23:28">
      <c r="W346" s="24">
        <v>344</v>
      </c>
      <c r="X346" s="25">
        <v>110.688107969821</v>
      </c>
      <c r="Y346" s="25">
        <v>13.2902066843859</v>
      </c>
      <c r="Z346" s="25">
        <v>0</v>
      </c>
      <c r="AA346" s="25">
        <v>1</v>
      </c>
      <c r="AB346" s="25">
        <v>0</v>
      </c>
    </row>
    <row r="347" spans="23:28">
      <c r="W347" s="24">
        <v>345</v>
      </c>
      <c r="X347" s="25">
        <v>102.204541676833</v>
      </c>
      <c r="Y347" s="25">
        <v>5.05325021800776</v>
      </c>
      <c r="Z347" s="25">
        <v>0</v>
      </c>
      <c r="AA347" s="25">
        <v>1</v>
      </c>
      <c r="AB347" s="25">
        <v>0</v>
      </c>
    </row>
    <row r="348" spans="23:28">
      <c r="W348" s="24">
        <v>346</v>
      </c>
      <c r="X348" s="25">
        <v>120.203450844478</v>
      </c>
      <c r="Y348" s="25">
        <v>22.5289468927338</v>
      </c>
      <c r="Z348" s="25">
        <v>0</v>
      </c>
      <c r="AA348" s="25">
        <v>1</v>
      </c>
      <c r="AB348" s="25">
        <v>0</v>
      </c>
    </row>
    <row r="349" spans="23:28">
      <c r="W349" s="24">
        <v>347</v>
      </c>
      <c r="X349" s="25">
        <v>105.260256328816</v>
      </c>
      <c r="Y349" s="25">
        <v>8.02013792687826</v>
      </c>
      <c r="Z349" s="25">
        <v>0</v>
      </c>
      <c r="AA349" s="25">
        <v>1</v>
      </c>
      <c r="AB349" s="25">
        <v>0</v>
      </c>
    </row>
    <row r="350" spans="23:28">
      <c r="W350" s="24">
        <v>348</v>
      </c>
      <c r="X350" s="25">
        <v>114.567665105778</v>
      </c>
      <c r="Y350" s="25">
        <v>17.0569884992596</v>
      </c>
      <c r="Z350" s="25">
        <v>0</v>
      </c>
      <c r="AA350" s="25">
        <v>1</v>
      </c>
      <c r="AB350" s="25">
        <v>0</v>
      </c>
    </row>
    <row r="351" spans="23:28">
      <c r="W351" s="24">
        <v>349</v>
      </c>
      <c r="X351" s="25">
        <v>106.279218785623</v>
      </c>
      <c r="Y351" s="25">
        <v>9.00948003934917</v>
      </c>
      <c r="Z351" s="25">
        <v>0</v>
      </c>
      <c r="AA351" s="25">
        <v>1</v>
      </c>
      <c r="AB351" s="25">
        <v>0</v>
      </c>
    </row>
    <row r="352" spans="23:28">
      <c r="W352" s="24">
        <v>350</v>
      </c>
      <c r="X352" s="25">
        <v>120.724736864961</v>
      </c>
      <c r="Y352" s="25">
        <v>23.0350795861031</v>
      </c>
      <c r="Z352" s="25">
        <v>0</v>
      </c>
      <c r="AA352" s="25">
        <v>0</v>
      </c>
      <c r="AB352" s="25">
        <v>1</v>
      </c>
    </row>
    <row r="353" spans="23:28">
      <c r="W353" s="24">
        <v>351</v>
      </c>
      <c r="X353" s="25">
        <v>82.8243881989656</v>
      </c>
      <c r="Y353" s="25">
        <v>0</v>
      </c>
      <c r="Z353" s="25">
        <v>13.7635392070792</v>
      </c>
      <c r="AA353" s="25">
        <v>1</v>
      </c>
      <c r="AB353" s="25">
        <v>0</v>
      </c>
    </row>
    <row r="354" spans="23:28">
      <c r="W354" s="24">
        <v>352</v>
      </c>
      <c r="X354" s="25">
        <v>99.8745526114126</v>
      </c>
      <c r="Y354" s="25">
        <v>2.79099188982461</v>
      </c>
      <c r="Z354" s="25">
        <v>0</v>
      </c>
      <c r="AA354" s="25">
        <v>1</v>
      </c>
      <c r="AB354" s="25">
        <v>0</v>
      </c>
    </row>
    <row r="355" spans="23:28">
      <c r="W355" s="24">
        <v>353</v>
      </c>
      <c r="X355" s="25">
        <v>100.211666279917</v>
      </c>
      <c r="Y355" s="25">
        <v>3.11830595985</v>
      </c>
      <c r="Z355" s="25">
        <v>0</v>
      </c>
      <c r="AA355" s="25">
        <v>1</v>
      </c>
      <c r="AB355" s="25">
        <v>0</v>
      </c>
    </row>
    <row r="356" spans="23:28">
      <c r="W356" s="24">
        <v>354</v>
      </c>
      <c r="X356" s="25">
        <v>112.115166497805</v>
      </c>
      <c r="Y356" s="25">
        <v>14.6757818734061</v>
      </c>
      <c r="Z356" s="25">
        <v>0</v>
      </c>
      <c r="AA356" s="25">
        <v>1</v>
      </c>
      <c r="AB356" s="25">
        <v>0</v>
      </c>
    </row>
    <row r="357" spans="23:28">
      <c r="W357" s="24">
        <v>355</v>
      </c>
      <c r="X357" s="25">
        <v>110.14586742134</v>
      </c>
      <c r="Y357" s="25">
        <v>12.7637285927562</v>
      </c>
      <c r="Z357" s="25">
        <v>0</v>
      </c>
      <c r="AA357" s="25">
        <v>0</v>
      </c>
      <c r="AB357" s="25">
        <v>0</v>
      </c>
    </row>
    <row r="358" spans="23:28">
      <c r="W358" s="24">
        <v>356</v>
      </c>
      <c r="X358" s="25">
        <v>97.3564038279445</v>
      </c>
      <c r="Y358" s="25">
        <v>0.346043481460797</v>
      </c>
      <c r="Z358" s="25">
        <v>0</v>
      </c>
      <c r="AA358" s="25">
        <v>1</v>
      </c>
      <c r="AB358" s="25">
        <v>0</v>
      </c>
    </row>
    <row r="359" spans="23:28">
      <c r="W359" s="24">
        <v>357</v>
      </c>
      <c r="X359" s="25">
        <v>99.9526222137265</v>
      </c>
      <c r="Y359" s="25">
        <v>2.86679207731634</v>
      </c>
      <c r="Z359" s="25">
        <v>0</v>
      </c>
      <c r="AA359" s="25">
        <v>1</v>
      </c>
      <c r="AB359" s="25">
        <v>0</v>
      </c>
    </row>
    <row r="360" spans="23:28">
      <c r="W360" s="24">
        <v>358</v>
      </c>
      <c r="X360" s="25">
        <v>110.375877323982</v>
      </c>
      <c r="Y360" s="25">
        <v>12.9870523093947</v>
      </c>
      <c r="Z360" s="25">
        <v>0</v>
      </c>
      <c r="AA360" s="25">
        <v>0</v>
      </c>
      <c r="AB360" s="25">
        <v>1</v>
      </c>
    </row>
    <row r="361" spans="23:28">
      <c r="W361" s="24">
        <v>359</v>
      </c>
      <c r="X361" s="25">
        <v>92.9343425517181</v>
      </c>
      <c r="Y361" s="25">
        <v>0</v>
      </c>
      <c r="Z361" s="25">
        <v>3.94747235444881</v>
      </c>
      <c r="AA361" s="25">
        <v>1</v>
      </c>
      <c r="AB361" s="25">
        <v>0</v>
      </c>
    </row>
    <row r="362" spans="23:28">
      <c r="W362" s="24">
        <v>360</v>
      </c>
      <c r="X362" s="25">
        <v>98.5569223467991</v>
      </c>
      <c r="Y362" s="25">
        <v>1.51166398059686</v>
      </c>
      <c r="Z362" s="25">
        <v>0</v>
      </c>
      <c r="AA362" s="25">
        <v>1</v>
      </c>
      <c r="AB362" s="25">
        <v>0</v>
      </c>
    </row>
    <row r="363" spans="23:28">
      <c r="W363" s="24">
        <v>361</v>
      </c>
      <c r="X363" s="25">
        <v>115.677661263601</v>
      </c>
      <c r="Y363" s="25">
        <v>18.1347180429535</v>
      </c>
      <c r="Z363" s="25">
        <v>0</v>
      </c>
      <c r="AA363" s="25">
        <v>1</v>
      </c>
      <c r="AB363" s="25">
        <v>0</v>
      </c>
    </row>
    <row r="364" spans="23:28">
      <c r="W364" s="24">
        <v>362</v>
      </c>
      <c r="X364" s="25">
        <v>103.716178259718</v>
      </c>
      <c r="Y364" s="25">
        <v>6.52094485210235</v>
      </c>
      <c r="Z364" s="25">
        <v>0</v>
      </c>
      <c r="AA364" s="25">
        <v>0</v>
      </c>
      <c r="AB364" s="25">
        <v>1</v>
      </c>
    </row>
    <row r="365" spans="23:28">
      <c r="W365" s="24">
        <v>363</v>
      </c>
      <c r="X365" s="25">
        <v>92.7934536721482</v>
      </c>
      <c r="Y365" s="25">
        <v>0</v>
      </c>
      <c r="Z365" s="25">
        <v>4.0842657179395</v>
      </c>
      <c r="AA365" s="25">
        <v>0</v>
      </c>
      <c r="AB365" s="25">
        <v>1</v>
      </c>
    </row>
    <row r="366" spans="23:28">
      <c r="W366" s="24">
        <v>364</v>
      </c>
      <c r="X366" s="25">
        <v>91.5880582479206</v>
      </c>
      <c r="Y366" s="25">
        <v>0</v>
      </c>
      <c r="Z366" s="25">
        <v>5.25462135508952</v>
      </c>
      <c r="AA366" s="25">
        <v>1</v>
      </c>
      <c r="AB366" s="25">
        <v>0</v>
      </c>
    </row>
    <row r="367" spans="23:28">
      <c r="W367" s="24">
        <v>365</v>
      </c>
      <c r="X367" s="25">
        <v>98.807231548467</v>
      </c>
      <c r="Y367" s="25">
        <v>1.75469691345396</v>
      </c>
      <c r="Z367" s="25">
        <v>0</v>
      </c>
      <c r="AA367" s="25">
        <v>1</v>
      </c>
      <c r="AB367" s="25">
        <v>0</v>
      </c>
    </row>
    <row r="368" spans="23:28">
      <c r="W368" s="24">
        <v>366</v>
      </c>
      <c r="X368" s="25">
        <v>116.48963953003</v>
      </c>
      <c r="Y368" s="25">
        <v>18.9230928138027</v>
      </c>
      <c r="Z368" s="25">
        <v>0</v>
      </c>
      <c r="AA368" s="25">
        <v>1</v>
      </c>
      <c r="AB368" s="25">
        <v>0</v>
      </c>
    </row>
    <row r="369" spans="23:28">
      <c r="W369" s="24">
        <v>367</v>
      </c>
      <c r="X369" s="25">
        <v>102.205363740799</v>
      </c>
      <c r="Y369" s="25">
        <v>5.05404838529576</v>
      </c>
      <c r="Z369" s="25">
        <v>0</v>
      </c>
      <c r="AA369" s="25">
        <v>1</v>
      </c>
      <c r="AB369" s="25">
        <v>0</v>
      </c>
    </row>
    <row r="370" spans="23:28">
      <c r="W370" s="24">
        <v>368</v>
      </c>
      <c r="X370" s="25">
        <v>101.667030677087</v>
      </c>
      <c r="Y370" s="25">
        <v>4.53136419128294</v>
      </c>
      <c r="Z370" s="25">
        <v>0</v>
      </c>
      <c r="AA370" s="25">
        <v>1</v>
      </c>
      <c r="AB370" s="25">
        <v>0</v>
      </c>
    </row>
    <row r="371" spans="23:28">
      <c r="W371" s="24">
        <v>369</v>
      </c>
      <c r="X371" s="25">
        <v>107.879867891092</v>
      </c>
      <c r="Y371" s="25">
        <v>10.5635996801185</v>
      </c>
      <c r="Z371" s="25">
        <v>0</v>
      </c>
      <c r="AA371" s="25">
        <v>1</v>
      </c>
      <c r="AB371" s="25">
        <v>0</v>
      </c>
    </row>
    <row r="372" spans="23:28">
      <c r="W372" s="24">
        <v>370</v>
      </c>
      <c r="X372" s="25">
        <v>103.53664826131</v>
      </c>
      <c r="Y372" s="25">
        <v>6.34663363318577</v>
      </c>
      <c r="Z372" s="25">
        <v>0</v>
      </c>
      <c r="AA372" s="25">
        <v>1</v>
      </c>
      <c r="AB372" s="25">
        <v>0</v>
      </c>
    </row>
    <row r="373" spans="23:28">
      <c r="W373" s="24">
        <v>371</v>
      </c>
      <c r="X373" s="25">
        <v>98.4573053627133</v>
      </c>
      <c r="Y373" s="25">
        <v>1.41494277481043</v>
      </c>
      <c r="Z373" s="25">
        <v>0</v>
      </c>
      <c r="AA373" s="25">
        <v>1</v>
      </c>
      <c r="AB373" s="25">
        <v>0</v>
      </c>
    </row>
    <row r="374" spans="23:28">
      <c r="W374" s="24">
        <v>372</v>
      </c>
      <c r="X374" s="25">
        <v>106.362436932387</v>
      </c>
      <c r="Y374" s="25">
        <v>9.09027910762267</v>
      </c>
      <c r="Z374" s="25">
        <v>0</v>
      </c>
      <c r="AA374" s="25">
        <v>1</v>
      </c>
      <c r="AB374" s="25">
        <v>0</v>
      </c>
    </row>
    <row r="375" spans="23:28">
      <c r="W375" s="24">
        <v>373</v>
      </c>
      <c r="X375" s="25">
        <v>105.507693616472</v>
      </c>
      <c r="Y375" s="25">
        <v>8.26038242974353</v>
      </c>
      <c r="Z375" s="25">
        <v>0</v>
      </c>
      <c r="AA375" s="25">
        <v>1</v>
      </c>
      <c r="AB375" s="25">
        <v>0</v>
      </c>
    </row>
    <row r="376" spans="23:28">
      <c r="W376" s="24">
        <v>374</v>
      </c>
      <c r="X376" s="25">
        <v>103.856439796601</v>
      </c>
      <c r="Y376" s="25">
        <v>6.65712910920739</v>
      </c>
      <c r="Z376" s="25">
        <v>0</v>
      </c>
      <c r="AA376" s="25">
        <v>1</v>
      </c>
      <c r="AB376" s="25">
        <v>0</v>
      </c>
    </row>
    <row r="377" spans="23:28">
      <c r="W377" s="24">
        <v>375</v>
      </c>
      <c r="X377" s="25">
        <v>100.243819697705</v>
      </c>
      <c r="Y377" s="25">
        <v>3.14952470600207</v>
      </c>
      <c r="Z377" s="25">
        <v>0</v>
      </c>
      <c r="AA377" s="25">
        <v>0</v>
      </c>
      <c r="AB377" s="25">
        <v>1</v>
      </c>
    </row>
    <row r="378" spans="23:28">
      <c r="W378" s="24">
        <v>376</v>
      </c>
      <c r="X378" s="25">
        <v>92.7982769924443</v>
      </c>
      <c r="Y378" s="25">
        <v>0</v>
      </c>
      <c r="Z378" s="25">
        <v>4.07958260733124</v>
      </c>
      <c r="AA378" s="25">
        <v>1</v>
      </c>
      <c r="AB378" s="25">
        <v>0</v>
      </c>
    </row>
    <row r="379" spans="23:28">
      <c r="W379" s="24">
        <v>377</v>
      </c>
      <c r="X379" s="25">
        <v>109.819256891071</v>
      </c>
      <c r="Y379" s="25">
        <v>12.4466123439554</v>
      </c>
      <c r="Z379" s="25">
        <v>0</v>
      </c>
      <c r="AA379" s="25">
        <v>1</v>
      </c>
      <c r="AB379" s="25">
        <v>0</v>
      </c>
    </row>
    <row r="380" spans="23:28">
      <c r="W380" s="24">
        <v>378</v>
      </c>
      <c r="X380" s="25">
        <v>107.796001392737</v>
      </c>
      <c r="Y380" s="25">
        <v>10.4821711072659</v>
      </c>
      <c r="Z380" s="25">
        <v>0</v>
      </c>
      <c r="AA380" s="25">
        <v>1</v>
      </c>
      <c r="AB380" s="25">
        <v>0</v>
      </c>
    </row>
    <row r="381" spans="23:28">
      <c r="W381" s="24">
        <v>379</v>
      </c>
      <c r="X381" s="25">
        <v>100.113563686383</v>
      </c>
      <c r="Y381" s="25">
        <v>3.02305512261156</v>
      </c>
      <c r="Z381" s="25">
        <v>0</v>
      </c>
      <c r="AA381" s="25">
        <v>1</v>
      </c>
      <c r="AB381" s="25">
        <v>0</v>
      </c>
    </row>
    <row r="382" spans="23:28">
      <c r="W382" s="24">
        <v>380</v>
      </c>
      <c r="X382" s="25">
        <v>106.59326722833</v>
      </c>
      <c r="Y382" s="25">
        <v>9.31439936944891</v>
      </c>
      <c r="Z382" s="25">
        <v>0</v>
      </c>
      <c r="AA382" s="25">
        <v>1</v>
      </c>
      <c r="AB382" s="25">
        <v>0</v>
      </c>
    </row>
    <row r="383" spans="23:28">
      <c r="W383" s="24">
        <v>381</v>
      </c>
      <c r="X383" s="25">
        <v>119.404409987817</v>
      </c>
      <c r="Y383" s="25">
        <v>21.753133452504</v>
      </c>
      <c r="Z383" s="25">
        <v>0</v>
      </c>
      <c r="AA383" s="25">
        <v>1</v>
      </c>
      <c r="AB383" s="25">
        <v>0</v>
      </c>
    </row>
    <row r="384" spans="23:28">
      <c r="W384" s="24">
        <v>382</v>
      </c>
      <c r="X384" s="25">
        <v>105.001769465726</v>
      </c>
      <c r="Y384" s="25">
        <v>7.7691650500399</v>
      </c>
      <c r="Z384" s="25">
        <v>0</v>
      </c>
      <c r="AA384" s="25">
        <v>1</v>
      </c>
      <c r="AB384" s="25">
        <v>0</v>
      </c>
    </row>
    <row r="385" spans="23:28">
      <c r="W385" s="24">
        <v>383</v>
      </c>
      <c r="X385" s="25">
        <v>106.969487609524</v>
      </c>
      <c r="Y385" s="25">
        <v>9.67968335434788</v>
      </c>
      <c r="Z385" s="25">
        <v>0</v>
      </c>
      <c r="AA385" s="25">
        <v>1</v>
      </c>
      <c r="AB385" s="25">
        <v>0</v>
      </c>
    </row>
    <row r="386" spans="23:28">
      <c r="W386" s="24">
        <v>384</v>
      </c>
      <c r="X386" s="25">
        <v>99.8231538582508</v>
      </c>
      <c r="Y386" s="25">
        <v>2.74108725330761</v>
      </c>
      <c r="Z386" s="25">
        <v>0</v>
      </c>
      <c r="AA386" s="25">
        <v>1</v>
      </c>
      <c r="AB386" s="25">
        <v>0</v>
      </c>
    </row>
    <row r="387" spans="23:28">
      <c r="W387" s="24">
        <v>385</v>
      </c>
      <c r="X387" s="25">
        <v>111.781756182859</v>
      </c>
      <c r="Y387" s="25">
        <v>14.3520635037015</v>
      </c>
      <c r="Z387" s="25">
        <v>0</v>
      </c>
      <c r="AA387" s="25">
        <v>1</v>
      </c>
      <c r="AB387" s="25">
        <v>0</v>
      </c>
    </row>
    <row r="388" spans="23:28">
      <c r="W388" s="24">
        <v>386</v>
      </c>
      <c r="X388" s="25">
        <v>113.458932100838</v>
      </c>
      <c r="Y388" s="25">
        <v>15.9804853897037</v>
      </c>
      <c r="Z388" s="25">
        <v>0</v>
      </c>
      <c r="AA388" s="25">
        <v>1</v>
      </c>
      <c r="AB388" s="25">
        <v>0</v>
      </c>
    </row>
    <row r="389" spans="23:28">
      <c r="W389" s="24">
        <v>387</v>
      </c>
      <c r="X389" s="25">
        <v>106.677743008364</v>
      </c>
      <c r="Y389" s="25">
        <v>9.39641951269721</v>
      </c>
      <c r="Z389" s="25">
        <v>0</v>
      </c>
      <c r="AA389" s="25">
        <v>1</v>
      </c>
      <c r="AB389" s="25">
        <v>0</v>
      </c>
    </row>
    <row r="390" spans="23:28">
      <c r="W390" s="24">
        <v>388</v>
      </c>
      <c r="X390" s="25">
        <v>108.723692922965</v>
      </c>
      <c r="Y390" s="25">
        <v>11.3828954588905</v>
      </c>
      <c r="Z390" s="25">
        <v>0</v>
      </c>
      <c r="AA390" s="25">
        <v>1</v>
      </c>
      <c r="AB390" s="25">
        <v>0</v>
      </c>
    </row>
    <row r="391" spans="23:28">
      <c r="W391" s="24">
        <v>389</v>
      </c>
      <c r="X391" s="25">
        <v>101.312834329968</v>
      </c>
      <c r="Y391" s="25">
        <v>4.18746402111668</v>
      </c>
      <c r="Z391" s="25">
        <v>0</v>
      </c>
      <c r="AA391" s="25">
        <v>0</v>
      </c>
      <c r="AB391" s="25">
        <v>0</v>
      </c>
    </row>
    <row r="392" spans="23:28">
      <c r="W392" s="24">
        <v>390</v>
      </c>
      <c r="X392" s="25">
        <v>97.1370293109089</v>
      </c>
      <c r="Y392" s="25">
        <v>0.133045989103305</v>
      </c>
      <c r="Z392" s="25">
        <v>0</v>
      </c>
      <c r="AA392" s="25">
        <v>1</v>
      </c>
      <c r="AB392" s="25">
        <v>0</v>
      </c>
    </row>
    <row r="393" spans="23:28">
      <c r="W393" s="24">
        <v>391</v>
      </c>
      <c r="X393" s="25">
        <v>108.05809516782</v>
      </c>
      <c r="Y393" s="25">
        <v>10.7366460463309</v>
      </c>
      <c r="Z393" s="25">
        <v>0</v>
      </c>
      <c r="AA393" s="25">
        <v>1</v>
      </c>
      <c r="AB393" s="25">
        <v>0</v>
      </c>
    </row>
    <row r="394" spans="23:28">
      <c r="W394" s="24">
        <v>392</v>
      </c>
      <c r="X394" s="25">
        <v>109.58228559446</v>
      </c>
      <c r="Y394" s="25">
        <v>12.2165295949616</v>
      </c>
      <c r="Z394" s="25">
        <v>0</v>
      </c>
      <c r="AA394" s="25">
        <v>1</v>
      </c>
      <c r="AB394" s="25">
        <v>0</v>
      </c>
    </row>
    <row r="395" spans="23:28">
      <c r="W395" s="24">
        <v>393</v>
      </c>
      <c r="X395" s="25">
        <v>100.50024856821</v>
      </c>
      <c r="Y395" s="25">
        <v>3.39849941429413</v>
      </c>
      <c r="Z395" s="25">
        <v>0</v>
      </c>
      <c r="AA395" s="25">
        <v>1</v>
      </c>
      <c r="AB395" s="25">
        <v>0</v>
      </c>
    </row>
    <row r="396" spans="23:28">
      <c r="W396" s="24">
        <v>394</v>
      </c>
      <c r="X396" s="25">
        <v>101.212346010686</v>
      </c>
      <c r="Y396" s="25">
        <v>4.08989680908344</v>
      </c>
      <c r="Z396" s="25">
        <v>0</v>
      </c>
      <c r="AA396" s="25">
        <v>1</v>
      </c>
      <c r="AB396" s="25">
        <v>0</v>
      </c>
    </row>
    <row r="397" spans="23:28">
      <c r="W397" s="24">
        <v>395</v>
      </c>
      <c r="X397" s="25">
        <v>108.212224188572</v>
      </c>
      <c r="Y397" s="25">
        <v>10.8862946717203</v>
      </c>
      <c r="Z397" s="25">
        <v>0</v>
      </c>
      <c r="AA397" s="25">
        <v>1</v>
      </c>
      <c r="AB397" s="25">
        <v>0</v>
      </c>
    </row>
    <row r="398" spans="23:28">
      <c r="W398" s="24">
        <v>396</v>
      </c>
      <c r="X398" s="25">
        <v>116.39802337801</v>
      </c>
      <c r="Y398" s="25">
        <v>18.8341398629159</v>
      </c>
      <c r="Z398" s="25">
        <v>0</v>
      </c>
      <c r="AA398" s="25">
        <v>1</v>
      </c>
      <c r="AB398" s="25">
        <v>0</v>
      </c>
    </row>
    <row r="399" spans="23:28">
      <c r="W399" s="24">
        <v>397</v>
      </c>
      <c r="X399" s="25">
        <v>108.377756517027</v>
      </c>
      <c r="Y399" s="25">
        <v>11.047015120665</v>
      </c>
      <c r="Z399" s="25">
        <v>0</v>
      </c>
      <c r="AA399" s="25">
        <v>1</v>
      </c>
      <c r="AB399" s="25">
        <v>0</v>
      </c>
    </row>
    <row r="400" spans="23:28">
      <c r="W400" s="24">
        <v>398</v>
      </c>
      <c r="X400" s="25">
        <v>105.843951761488</v>
      </c>
      <c r="Y400" s="25">
        <v>8.58686584559808</v>
      </c>
      <c r="Z400" s="25">
        <v>0</v>
      </c>
      <c r="AA400" s="25">
        <v>1</v>
      </c>
      <c r="AB400" s="25">
        <v>0</v>
      </c>
    </row>
    <row r="401" spans="23:28">
      <c r="W401" s="24">
        <v>399</v>
      </c>
      <c r="X401" s="25">
        <v>100.932973647575</v>
      </c>
      <c r="Y401" s="25">
        <v>3.81864555537951</v>
      </c>
      <c r="Z401" s="25">
        <v>0</v>
      </c>
      <c r="AA401" s="25">
        <v>0</v>
      </c>
      <c r="AB401" s="25">
        <v>1</v>
      </c>
    </row>
    <row r="402" spans="23:28">
      <c r="W402" s="24">
        <v>400</v>
      </c>
      <c r="X402" s="25">
        <v>95.7848357897605</v>
      </c>
      <c r="Y402" s="25">
        <v>0</v>
      </c>
      <c r="Z402" s="25">
        <v>1.17984045312596</v>
      </c>
      <c r="AA402" s="25">
        <v>1</v>
      </c>
      <c r="AB402" s="25">
        <v>0</v>
      </c>
    </row>
    <row r="403" spans="23:28">
      <c r="W403" s="24">
        <v>401</v>
      </c>
      <c r="X403" s="25">
        <v>104.495367198668</v>
      </c>
      <c r="Y403" s="25">
        <v>7.27748345244526</v>
      </c>
      <c r="Z403" s="25">
        <v>0</v>
      </c>
      <c r="AA403" s="25">
        <v>1</v>
      </c>
      <c r="AB403" s="25">
        <v>0</v>
      </c>
    </row>
    <row r="404" spans="23:28">
      <c r="W404" s="24">
        <v>402</v>
      </c>
      <c r="X404" s="25">
        <v>105.429345174044</v>
      </c>
      <c r="Y404" s="25">
        <v>8.18431150777491</v>
      </c>
      <c r="Z404" s="25">
        <v>0</v>
      </c>
      <c r="AA404" s="25">
        <v>1</v>
      </c>
      <c r="AB404" s="25">
        <v>0</v>
      </c>
    </row>
    <row r="405" spans="23:28">
      <c r="W405" s="24">
        <v>403</v>
      </c>
      <c r="X405" s="25">
        <v>115.415043492676</v>
      </c>
      <c r="Y405" s="25">
        <v>17.8797343401445</v>
      </c>
      <c r="Z405" s="25">
        <v>0</v>
      </c>
      <c r="AA405" s="25">
        <v>1</v>
      </c>
      <c r="AB405" s="25">
        <v>0</v>
      </c>
    </row>
    <row r="406" spans="23:28">
      <c r="W406" s="24">
        <v>404</v>
      </c>
      <c r="X406" s="25">
        <v>104.903320114717</v>
      </c>
      <c r="Y406" s="25">
        <v>7.67357753526146</v>
      </c>
      <c r="Z406" s="25">
        <v>0</v>
      </c>
      <c r="AA406" s="25">
        <v>1</v>
      </c>
      <c r="AB406" s="25">
        <v>0</v>
      </c>
    </row>
    <row r="407" spans="23:28">
      <c r="W407" s="24">
        <v>405</v>
      </c>
      <c r="X407" s="25">
        <v>103.518356609119</v>
      </c>
      <c r="Y407" s="25">
        <v>6.32887370327024</v>
      </c>
      <c r="Z407" s="25">
        <v>0</v>
      </c>
      <c r="AA407" s="25">
        <v>1</v>
      </c>
      <c r="AB407" s="25">
        <v>0</v>
      </c>
    </row>
    <row r="408" spans="23:28">
      <c r="W408" s="24">
        <v>406</v>
      </c>
      <c r="X408" s="25">
        <v>122.337703243825</v>
      </c>
      <c r="Y408" s="25">
        <v>24.6011584479394</v>
      </c>
      <c r="Z408" s="25">
        <v>0</v>
      </c>
      <c r="AA408" s="25">
        <v>1</v>
      </c>
      <c r="AB408" s="25">
        <v>0</v>
      </c>
    </row>
    <row r="409" spans="23:28">
      <c r="W409" s="24">
        <v>407</v>
      </c>
      <c r="X409" s="25">
        <v>110.738268685824</v>
      </c>
      <c r="Y409" s="25">
        <v>13.3389092723973</v>
      </c>
      <c r="Z409" s="25">
        <v>0</v>
      </c>
      <c r="AA409" s="25">
        <v>1</v>
      </c>
      <c r="AB409" s="25">
        <v>0</v>
      </c>
    </row>
    <row r="410" spans="23:28">
      <c r="W410" s="24">
        <v>408</v>
      </c>
      <c r="X410" s="25">
        <v>108.393637401026</v>
      </c>
      <c r="Y410" s="25">
        <v>11.0624343613036</v>
      </c>
      <c r="Z410" s="25">
        <v>0</v>
      </c>
      <c r="AA410" s="25">
        <v>1</v>
      </c>
      <c r="AB410" s="25">
        <v>0</v>
      </c>
    </row>
    <row r="411" spans="23:28">
      <c r="W411" s="24">
        <v>409</v>
      </c>
      <c r="X411" s="25">
        <v>117.203710680917</v>
      </c>
      <c r="Y411" s="25">
        <v>19.6164065430317</v>
      </c>
      <c r="Z411" s="25">
        <v>0</v>
      </c>
      <c r="AA411" s="25">
        <v>0</v>
      </c>
      <c r="AB411" s="25">
        <v>1</v>
      </c>
    </row>
    <row r="412" spans="23:28">
      <c r="W412" s="24">
        <v>410</v>
      </c>
      <c r="X412" s="25">
        <v>95.8033453250094</v>
      </c>
      <c r="Y412" s="25">
        <v>0</v>
      </c>
      <c r="Z412" s="25">
        <v>1.16186897382206</v>
      </c>
      <c r="AA412" s="25">
        <v>1</v>
      </c>
      <c r="AB412" s="25">
        <v>0</v>
      </c>
    </row>
    <row r="413" spans="23:28">
      <c r="W413" s="24">
        <v>411</v>
      </c>
      <c r="X413" s="25">
        <v>116.655680814734</v>
      </c>
      <c r="Y413" s="25">
        <v>19.0843074240848</v>
      </c>
      <c r="Z413" s="25">
        <v>0</v>
      </c>
      <c r="AA413" s="25">
        <v>1</v>
      </c>
      <c r="AB413" s="25">
        <v>0</v>
      </c>
    </row>
    <row r="414" spans="23:28">
      <c r="W414" s="24">
        <v>412</v>
      </c>
      <c r="X414" s="25">
        <v>110.632303142905</v>
      </c>
      <c r="Y414" s="25">
        <v>13.2360240548113</v>
      </c>
      <c r="Z414" s="25">
        <v>0</v>
      </c>
      <c r="AA414" s="25">
        <v>1</v>
      </c>
      <c r="AB414" s="25">
        <v>0</v>
      </c>
    </row>
    <row r="415" spans="23:28">
      <c r="W415" s="24">
        <v>413</v>
      </c>
      <c r="X415" s="25">
        <v>108.425419219734</v>
      </c>
      <c r="Y415" s="25">
        <v>11.093292310435</v>
      </c>
      <c r="Z415" s="25">
        <v>0</v>
      </c>
      <c r="AA415" s="25">
        <v>1</v>
      </c>
      <c r="AB415" s="25">
        <v>0</v>
      </c>
    </row>
    <row r="416" spans="23:28">
      <c r="W416" s="24">
        <v>414</v>
      </c>
      <c r="X416" s="25">
        <v>101.15834781283</v>
      </c>
      <c r="Y416" s="25">
        <v>4.03746829144848</v>
      </c>
      <c r="Z416" s="25">
        <v>0</v>
      </c>
      <c r="AA416" s="25">
        <v>1</v>
      </c>
      <c r="AB416" s="25">
        <v>0</v>
      </c>
    </row>
    <row r="417" spans="23:28">
      <c r="W417" s="24">
        <v>415</v>
      </c>
      <c r="X417" s="25">
        <v>104.670492370072</v>
      </c>
      <c r="Y417" s="25">
        <v>7.44751788881402</v>
      </c>
      <c r="Z417" s="25">
        <v>0</v>
      </c>
      <c r="AA417" s="25">
        <v>0</v>
      </c>
      <c r="AB417" s="25">
        <v>0</v>
      </c>
    </row>
    <row r="418" spans="23:28">
      <c r="W418" s="24">
        <v>416</v>
      </c>
      <c r="X418" s="25">
        <v>96.8250544446238</v>
      </c>
      <c r="Y418" s="25">
        <v>0</v>
      </c>
      <c r="Z418" s="25">
        <v>0.169860041620824</v>
      </c>
      <c r="AA418" s="25">
        <v>1</v>
      </c>
      <c r="AB418" s="25">
        <v>0</v>
      </c>
    </row>
    <row r="419" spans="23:28">
      <c r="W419" s="24">
        <v>417</v>
      </c>
      <c r="X419" s="25">
        <v>111.346160300906</v>
      </c>
      <c r="Y419" s="25">
        <v>13.9291300117395</v>
      </c>
      <c r="Z419" s="25">
        <v>0</v>
      </c>
      <c r="AA419" s="25">
        <v>1</v>
      </c>
      <c r="AB419" s="25">
        <v>0</v>
      </c>
    </row>
    <row r="420" spans="23:28">
      <c r="W420" s="24">
        <v>418</v>
      </c>
      <c r="X420" s="25">
        <v>116.009573329168</v>
      </c>
      <c r="Y420" s="25">
        <v>18.4569817160739</v>
      </c>
      <c r="Z420" s="25">
        <v>0</v>
      </c>
      <c r="AA420" s="25">
        <v>1</v>
      </c>
      <c r="AB420" s="25">
        <v>0</v>
      </c>
    </row>
    <row r="421" spans="23:28">
      <c r="W421" s="24">
        <v>419</v>
      </c>
      <c r="X421" s="25">
        <v>102.362615146912</v>
      </c>
      <c r="Y421" s="25">
        <v>5.20672863104308</v>
      </c>
      <c r="Z421" s="25">
        <v>0</v>
      </c>
      <c r="AA421" s="25">
        <v>1</v>
      </c>
      <c r="AB421" s="25">
        <v>0</v>
      </c>
    </row>
    <row r="422" spans="23:28">
      <c r="W422" s="24">
        <v>420</v>
      </c>
      <c r="X422" s="25">
        <v>104.854469921916</v>
      </c>
      <c r="Y422" s="25">
        <v>7.62614737469205</v>
      </c>
      <c r="Z422" s="25">
        <v>0</v>
      </c>
      <c r="AA422" s="25">
        <v>1</v>
      </c>
      <c r="AB422" s="25">
        <v>0</v>
      </c>
    </row>
    <row r="423" spans="23:28">
      <c r="W423" s="24">
        <v>421</v>
      </c>
      <c r="X423" s="25">
        <v>103.912970774533</v>
      </c>
      <c r="Y423" s="25">
        <v>6.71201678122569</v>
      </c>
      <c r="Z423" s="25">
        <v>0</v>
      </c>
      <c r="AA423" s="25">
        <v>1</v>
      </c>
      <c r="AB423" s="25">
        <v>0</v>
      </c>
    </row>
    <row r="424" spans="23:28">
      <c r="W424" s="24">
        <v>422</v>
      </c>
      <c r="X424" s="25">
        <v>98.9152308565353</v>
      </c>
      <c r="Y424" s="25">
        <v>1.85955677642128</v>
      </c>
      <c r="Z424" s="25">
        <v>0</v>
      </c>
      <c r="AA424" s="25">
        <v>0</v>
      </c>
      <c r="AB424" s="25">
        <v>1</v>
      </c>
    </row>
    <row r="425" spans="23:28">
      <c r="W425" s="24">
        <v>423</v>
      </c>
      <c r="X425" s="25">
        <v>87.75628586124</v>
      </c>
      <c r="Y425" s="25">
        <v>0</v>
      </c>
      <c r="Z425" s="25">
        <v>8.97500748141052</v>
      </c>
      <c r="AA425" s="25">
        <v>1</v>
      </c>
      <c r="AB425" s="25">
        <v>0</v>
      </c>
    </row>
    <row r="426" spans="23:28">
      <c r="W426" s="24">
        <v>424</v>
      </c>
      <c r="X426" s="25">
        <v>111.53229376769</v>
      </c>
      <c r="Y426" s="25">
        <v>14.1098527420026</v>
      </c>
      <c r="Z426" s="25">
        <v>0</v>
      </c>
      <c r="AA426" s="25">
        <v>1</v>
      </c>
      <c r="AB426" s="25">
        <v>0</v>
      </c>
    </row>
    <row r="427" spans="23:28">
      <c r="W427" s="24">
        <v>425</v>
      </c>
      <c r="X427" s="25">
        <v>102.952422165384</v>
      </c>
      <c r="Y427" s="25">
        <v>5.77939047712737</v>
      </c>
      <c r="Z427" s="25">
        <v>0</v>
      </c>
      <c r="AA427" s="25">
        <v>1</v>
      </c>
      <c r="AB427" s="25">
        <v>0</v>
      </c>
    </row>
    <row r="428" spans="23:28">
      <c r="W428" s="24">
        <v>426</v>
      </c>
      <c r="X428" s="25">
        <v>115.794298355136</v>
      </c>
      <c r="Y428" s="25">
        <v>18.2479645966028</v>
      </c>
      <c r="Z428" s="25">
        <v>0</v>
      </c>
      <c r="AA428" s="25">
        <v>1</v>
      </c>
      <c r="AB428" s="25">
        <v>0</v>
      </c>
    </row>
    <row r="429" spans="23:28">
      <c r="W429" s="24">
        <v>427</v>
      </c>
      <c r="X429" s="25">
        <v>109.533268299179</v>
      </c>
      <c r="Y429" s="25">
        <v>12.1689371894346</v>
      </c>
      <c r="Z429" s="25">
        <v>0</v>
      </c>
      <c r="AA429" s="25">
        <v>0</v>
      </c>
      <c r="AB429" s="25">
        <v>1</v>
      </c>
    </row>
    <row r="430" spans="23:28">
      <c r="W430" s="24">
        <v>428</v>
      </c>
      <c r="X430" s="25">
        <v>90.6722303212826</v>
      </c>
      <c r="Y430" s="25">
        <v>0</v>
      </c>
      <c r="Z430" s="25">
        <v>6.14382696766841</v>
      </c>
      <c r="AA430" s="25">
        <v>0</v>
      </c>
      <c r="AB430" s="25">
        <v>1</v>
      </c>
    </row>
    <row r="431" spans="23:28">
      <c r="W431" s="24">
        <v>429</v>
      </c>
      <c r="X431" s="25">
        <v>92.9957343670764</v>
      </c>
      <c r="Y431" s="25">
        <v>0</v>
      </c>
      <c r="Z431" s="25">
        <v>3.887865145283</v>
      </c>
      <c r="AA431" s="25">
        <v>1</v>
      </c>
      <c r="AB431" s="25">
        <v>0</v>
      </c>
    </row>
    <row r="432" spans="23:28">
      <c r="W432" s="24">
        <v>430</v>
      </c>
      <c r="X432" s="25">
        <v>102.653026830674</v>
      </c>
      <c r="Y432" s="25">
        <v>5.48869830203549</v>
      </c>
      <c r="Z432" s="25">
        <v>0</v>
      </c>
      <c r="AA432" s="25">
        <v>0</v>
      </c>
      <c r="AB432" s="25">
        <v>1</v>
      </c>
    </row>
    <row r="433" spans="23:28">
      <c r="W433" s="24">
        <v>431</v>
      </c>
      <c r="X433" s="25">
        <v>95.652026264319</v>
      </c>
      <c r="Y433" s="25">
        <v>0</v>
      </c>
      <c r="Z433" s="25">
        <v>1.30878932222204</v>
      </c>
      <c r="AA433" s="25">
        <v>1</v>
      </c>
      <c r="AB433" s="25">
        <v>0</v>
      </c>
    </row>
    <row r="434" spans="23:28">
      <c r="W434" s="24">
        <v>432</v>
      </c>
      <c r="X434" s="25">
        <v>104.490957529316</v>
      </c>
      <c r="Y434" s="25">
        <v>7.27320196831123</v>
      </c>
      <c r="Z434" s="25">
        <v>0</v>
      </c>
      <c r="AA434" s="25">
        <v>1</v>
      </c>
      <c r="AB434" s="25">
        <v>0</v>
      </c>
    </row>
    <row r="435" spans="23:28">
      <c r="W435" s="24">
        <v>433</v>
      </c>
      <c r="X435" s="25">
        <v>101.469713503548</v>
      </c>
      <c r="Y435" s="25">
        <v>4.33978285480478</v>
      </c>
      <c r="Z435" s="25">
        <v>0</v>
      </c>
      <c r="AA435" s="25">
        <v>1</v>
      </c>
      <c r="AB435" s="25">
        <v>0</v>
      </c>
    </row>
    <row r="436" spans="23:28">
      <c r="W436" s="24">
        <v>434</v>
      </c>
      <c r="X436" s="25">
        <v>107.886297358453</v>
      </c>
      <c r="Y436" s="25">
        <v>10.5698422485062</v>
      </c>
      <c r="Z436" s="25">
        <v>0</v>
      </c>
      <c r="AA436" s="25">
        <v>1</v>
      </c>
      <c r="AB436" s="25">
        <v>0</v>
      </c>
    </row>
    <row r="437" spans="23:28">
      <c r="W437" s="24">
        <v>435</v>
      </c>
      <c r="X437" s="25">
        <v>99.3173982630766</v>
      </c>
      <c r="Y437" s="25">
        <v>2.2500335294131</v>
      </c>
      <c r="Z437" s="25">
        <v>0</v>
      </c>
      <c r="AA437" s="25">
        <v>1</v>
      </c>
      <c r="AB437" s="25">
        <v>0</v>
      </c>
    </row>
    <row r="438" spans="23:28">
      <c r="W438" s="24">
        <v>436</v>
      </c>
      <c r="X438" s="25">
        <v>99.9137913780139</v>
      </c>
      <c r="Y438" s="25">
        <v>2.82909001991842</v>
      </c>
      <c r="Z438" s="25">
        <v>0</v>
      </c>
      <c r="AA438" s="25">
        <v>1</v>
      </c>
      <c r="AB438" s="25">
        <v>0</v>
      </c>
    </row>
    <row r="439" spans="23:28">
      <c r="W439" s="24">
        <v>437</v>
      </c>
      <c r="X439" s="25">
        <v>105.22051534052</v>
      </c>
      <c r="Y439" s="25">
        <v>7.98155217423439</v>
      </c>
      <c r="Z439" s="25">
        <v>0</v>
      </c>
      <c r="AA439" s="25">
        <v>1</v>
      </c>
      <c r="AB439" s="25">
        <v>0</v>
      </c>
    </row>
    <row r="440" spans="23:28">
      <c r="W440" s="24">
        <v>438</v>
      </c>
      <c r="X440" s="25">
        <v>112.749375936913</v>
      </c>
      <c r="Y440" s="25">
        <v>15.2915554007276</v>
      </c>
      <c r="Z440" s="25">
        <v>0</v>
      </c>
      <c r="AA440" s="25">
        <v>1</v>
      </c>
      <c r="AB440" s="25">
        <v>0</v>
      </c>
    </row>
    <row r="441" spans="23:28">
      <c r="W441" s="24">
        <v>439</v>
      </c>
      <c r="X441" s="25">
        <v>105.618166565304</v>
      </c>
      <c r="Y441" s="25">
        <v>8.36764402690862</v>
      </c>
      <c r="Z441" s="25">
        <v>0</v>
      </c>
      <c r="AA441" s="25">
        <v>1</v>
      </c>
      <c r="AB441" s="25">
        <v>0</v>
      </c>
    </row>
    <row r="442" spans="23:28">
      <c r="W442" s="24">
        <v>440</v>
      </c>
      <c r="X442" s="25">
        <v>100.665256567362</v>
      </c>
      <c r="Y442" s="25">
        <v>3.55871077572889</v>
      </c>
      <c r="Z442" s="25">
        <v>0</v>
      </c>
      <c r="AA442" s="25">
        <v>0</v>
      </c>
      <c r="AB442" s="25">
        <v>0</v>
      </c>
    </row>
    <row r="443" spans="23:28">
      <c r="W443" s="24">
        <v>441</v>
      </c>
      <c r="X443" s="25">
        <v>96.5387352479663</v>
      </c>
      <c r="Y443" s="25">
        <v>0</v>
      </c>
      <c r="Z443" s="25">
        <v>0.447856190516986</v>
      </c>
      <c r="AA443" s="25">
        <v>1</v>
      </c>
      <c r="AB443" s="25">
        <v>0</v>
      </c>
    </row>
    <row r="444" spans="23:28">
      <c r="W444" s="24">
        <v>442</v>
      </c>
      <c r="X444" s="25">
        <v>107.88549004651</v>
      </c>
      <c r="Y444" s="25">
        <v>10.5690584044129</v>
      </c>
      <c r="Z444" s="25">
        <v>0</v>
      </c>
      <c r="AA444" s="25">
        <v>0</v>
      </c>
      <c r="AB444" s="25">
        <v>1</v>
      </c>
    </row>
    <row r="445" spans="23:28">
      <c r="W445" s="24">
        <v>443</v>
      </c>
      <c r="X445" s="25">
        <v>95.7443600567215</v>
      </c>
      <c r="Y445" s="25">
        <v>0</v>
      </c>
      <c r="Z445" s="25">
        <v>1.21913959212876</v>
      </c>
      <c r="AA445" s="25">
        <v>1</v>
      </c>
      <c r="AB445" s="25">
        <v>0</v>
      </c>
    </row>
    <row r="446" spans="23:28">
      <c r="W446" s="24">
        <v>444</v>
      </c>
      <c r="X446" s="25">
        <v>113.196072810139</v>
      </c>
      <c r="Y446" s="25">
        <v>15.7252671878893</v>
      </c>
      <c r="Z446" s="25">
        <v>0</v>
      </c>
      <c r="AA446" s="25">
        <v>1</v>
      </c>
      <c r="AB446" s="25">
        <v>0</v>
      </c>
    </row>
    <row r="447" spans="23:28">
      <c r="W447" s="24">
        <v>445</v>
      </c>
      <c r="X447" s="25">
        <v>108.529239938973</v>
      </c>
      <c r="Y447" s="25">
        <v>11.194095052483</v>
      </c>
      <c r="Z447" s="25">
        <v>0</v>
      </c>
      <c r="AA447" s="25">
        <v>1</v>
      </c>
      <c r="AB447" s="25">
        <v>0</v>
      </c>
    </row>
    <row r="448" spans="23:28">
      <c r="W448" s="24">
        <v>446</v>
      </c>
      <c r="X448" s="25">
        <v>99.5998601975744</v>
      </c>
      <c r="Y448" s="25">
        <v>2.52428454337532</v>
      </c>
      <c r="Z448" s="25">
        <v>0</v>
      </c>
      <c r="AA448" s="25">
        <v>1</v>
      </c>
      <c r="AB448" s="25">
        <v>0</v>
      </c>
    </row>
    <row r="449" spans="23:28">
      <c r="W449" s="24">
        <v>447</v>
      </c>
      <c r="X449" s="25">
        <v>108.445982185203</v>
      </c>
      <c r="Y449" s="25">
        <v>11.1132575285443</v>
      </c>
      <c r="Z449" s="25">
        <v>0</v>
      </c>
      <c r="AA449" s="25">
        <v>1</v>
      </c>
      <c r="AB449" s="25">
        <v>0</v>
      </c>
    </row>
    <row r="450" spans="23:28">
      <c r="W450" s="24">
        <v>448</v>
      </c>
      <c r="X450" s="25">
        <v>108.102933425435</v>
      </c>
      <c r="Y450" s="25">
        <v>10.7801808951498</v>
      </c>
      <c r="Z450" s="25">
        <v>0</v>
      </c>
      <c r="AA450" s="25">
        <v>1</v>
      </c>
      <c r="AB450" s="25">
        <v>0</v>
      </c>
    </row>
    <row r="451" spans="23:28">
      <c r="W451" s="24">
        <v>449</v>
      </c>
      <c r="X451" s="25">
        <v>109.551749721643</v>
      </c>
      <c r="Y451" s="25">
        <v>12.1868813731673</v>
      </c>
      <c r="Z451" s="25">
        <v>0</v>
      </c>
      <c r="AA451" s="25">
        <v>1</v>
      </c>
      <c r="AB451" s="25">
        <v>0</v>
      </c>
    </row>
    <row r="452" spans="23:28">
      <c r="W452" s="24">
        <v>450</v>
      </c>
      <c r="X452" s="25">
        <v>102.656573950288</v>
      </c>
      <c r="Y452" s="25">
        <v>5.49214230999523</v>
      </c>
      <c r="Z452" s="25">
        <v>0</v>
      </c>
      <c r="AA452" s="25">
        <v>1</v>
      </c>
      <c r="AB452" s="25">
        <v>0</v>
      </c>
    </row>
    <row r="453" spans="23:28">
      <c r="W453" s="24">
        <v>451</v>
      </c>
      <c r="X453" s="25">
        <v>103.774050924791</v>
      </c>
      <c r="Y453" s="25">
        <v>6.57713520959322</v>
      </c>
      <c r="Z453" s="25">
        <v>0</v>
      </c>
      <c r="AA453" s="25">
        <v>1</v>
      </c>
      <c r="AB453" s="25">
        <v>0</v>
      </c>
    </row>
    <row r="454" spans="23:28">
      <c r="W454" s="24">
        <v>452</v>
      </c>
      <c r="X454" s="25">
        <v>120.306699706116</v>
      </c>
      <c r="Y454" s="25">
        <v>22.6291944005794</v>
      </c>
      <c r="Z454" s="25">
        <v>0</v>
      </c>
      <c r="AA454" s="25">
        <v>1</v>
      </c>
      <c r="AB454" s="25">
        <v>0</v>
      </c>
    </row>
    <row r="455" spans="23:28">
      <c r="W455" s="24">
        <v>453</v>
      </c>
      <c r="X455" s="25">
        <v>102.950790765357</v>
      </c>
      <c r="Y455" s="25">
        <v>5.77780650046712</v>
      </c>
      <c r="Z455" s="25">
        <v>0</v>
      </c>
      <c r="AA455" s="25">
        <v>1</v>
      </c>
      <c r="AB455" s="25">
        <v>0</v>
      </c>
    </row>
    <row r="456" spans="23:28">
      <c r="W456" s="24">
        <v>454</v>
      </c>
      <c r="X456" s="25">
        <v>126.540728404959</v>
      </c>
      <c r="Y456" s="25">
        <v>28.6820053563866</v>
      </c>
      <c r="Z456" s="25">
        <v>0</v>
      </c>
      <c r="AA456" s="25">
        <v>0</v>
      </c>
      <c r="AB456" s="25">
        <v>1</v>
      </c>
    </row>
    <row r="457" spans="23:28">
      <c r="W457" s="24">
        <v>455</v>
      </c>
      <c r="X457" s="25">
        <v>95.281825525214</v>
      </c>
      <c r="Y457" s="25">
        <v>0</v>
      </c>
      <c r="Z457" s="25">
        <v>1.66822865074464</v>
      </c>
      <c r="AA457" s="25">
        <v>1</v>
      </c>
      <c r="AB457" s="25">
        <v>0</v>
      </c>
    </row>
    <row r="458" spans="23:28">
      <c r="W458" s="24">
        <v>456</v>
      </c>
      <c r="X458" s="25">
        <v>110.905633135995</v>
      </c>
      <c r="Y458" s="25">
        <v>13.5014085848883</v>
      </c>
      <c r="Z458" s="25">
        <v>0</v>
      </c>
      <c r="AA458" s="25">
        <v>1</v>
      </c>
      <c r="AB458" s="25">
        <v>0</v>
      </c>
    </row>
    <row r="459" spans="23:28">
      <c r="W459" s="24">
        <v>457</v>
      </c>
      <c r="X459" s="25">
        <v>101.684003210452</v>
      </c>
      <c r="Y459" s="25">
        <v>4.547843347998</v>
      </c>
      <c r="Z459" s="25">
        <v>0</v>
      </c>
      <c r="AA459" s="25">
        <v>1</v>
      </c>
      <c r="AB459" s="25">
        <v>0</v>
      </c>
    </row>
    <row r="460" spans="23:28">
      <c r="W460" s="24">
        <v>458</v>
      </c>
      <c r="X460" s="25">
        <v>100.604244504701</v>
      </c>
      <c r="Y460" s="25">
        <v>3.49947228018314</v>
      </c>
      <c r="Z460" s="25">
        <v>0</v>
      </c>
      <c r="AA460" s="25">
        <v>1</v>
      </c>
      <c r="AB460" s="25">
        <v>0</v>
      </c>
    </row>
    <row r="461" spans="23:28">
      <c r="W461" s="24">
        <v>459</v>
      </c>
      <c r="X461" s="25">
        <v>109.596548456076</v>
      </c>
      <c r="Y461" s="25">
        <v>12.2303778477079</v>
      </c>
      <c r="Z461" s="25">
        <v>0</v>
      </c>
      <c r="AA461" s="25">
        <v>1</v>
      </c>
      <c r="AB461" s="25">
        <v>0</v>
      </c>
    </row>
    <row r="462" spans="23:28">
      <c r="W462" s="24">
        <v>460</v>
      </c>
      <c r="X462" s="25">
        <v>129.00533352411</v>
      </c>
      <c r="Y462" s="25">
        <v>31.0749665677632</v>
      </c>
      <c r="Z462" s="25">
        <v>0</v>
      </c>
      <c r="AA462" s="25">
        <v>1</v>
      </c>
      <c r="AB462" s="25">
        <v>0</v>
      </c>
    </row>
    <row r="463" spans="23:28">
      <c r="W463" s="24">
        <v>461</v>
      </c>
      <c r="X463" s="25">
        <v>113.367228732732</v>
      </c>
      <c r="Y463" s="25">
        <v>15.8914477580253</v>
      </c>
      <c r="Z463" s="25">
        <v>0</v>
      </c>
      <c r="AA463" s="25">
        <v>1</v>
      </c>
      <c r="AB463" s="25">
        <v>0</v>
      </c>
    </row>
    <row r="464" spans="23:28">
      <c r="W464" s="24">
        <v>462</v>
      </c>
      <c r="X464" s="25">
        <v>111.808214068162</v>
      </c>
      <c r="Y464" s="25">
        <v>14.3777522814987</v>
      </c>
      <c r="Z464" s="25">
        <v>0</v>
      </c>
      <c r="AA464" s="25">
        <v>1</v>
      </c>
      <c r="AB464" s="25">
        <v>0</v>
      </c>
    </row>
    <row r="465" spans="23:28">
      <c r="W465" s="24">
        <v>463</v>
      </c>
      <c r="X465" s="25">
        <v>103.080809170455</v>
      </c>
      <c r="Y465" s="25">
        <v>5.90404538463829</v>
      </c>
      <c r="Z465" s="25">
        <v>0</v>
      </c>
      <c r="AA465" s="25">
        <v>1</v>
      </c>
      <c r="AB465" s="25">
        <v>0</v>
      </c>
    </row>
    <row r="466" spans="23:28">
      <c r="W466" s="24">
        <v>464</v>
      </c>
      <c r="X466" s="25">
        <v>99.8649642429672</v>
      </c>
      <c r="Y466" s="25">
        <v>2.7816822468348</v>
      </c>
      <c r="Z466" s="25">
        <v>0</v>
      </c>
      <c r="AA466" s="25">
        <v>1</v>
      </c>
      <c r="AB466" s="25">
        <v>0</v>
      </c>
    </row>
    <row r="467" spans="23:28">
      <c r="W467" s="24">
        <v>465</v>
      </c>
      <c r="X467" s="25">
        <v>121.870941784364</v>
      </c>
      <c r="Y467" s="25">
        <v>24.1479653344556</v>
      </c>
      <c r="Z467" s="25">
        <v>0</v>
      </c>
      <c r="AA467" s="25">
        <v>1</v>
      </c>
      <c r="AB467" s="25">
        <v>0</v>
      </c>
    </row>
    <row r="468" spans="23:28">
      <c r="W468" s="24">
        <v>466</v>
      </c>
      <c r="X468" s="25">
        <v>101.73934688849</v>
      </c>
      <c r="Y468" s="25">
        <v>4.60157823388757</v>
      </c>
      <c r="Z468" s="25">
        <v>0</v>
      </c>
      <c r="AA468" s="25">
        <v>0</v>
      </c>
      <c r="AB468" s="25">
        <v>1</v>
      </c>
    </row>
    <row r="469" spans="23:28">
      <c r="W469" s="24">
        <v>467</v>
      </c>
      <c r="X469" s="25">
        <v>93.3241376807941</v>
      </c>
      <c r="Y469" s="25">
        <v>0</v>
      </c>
      <c r="Z469" s="25">
        <v>3.56900822767474</v>
      </c>
      <c r="AA469" s="25">
        <v>1</v>
      </c>
      <c r="AB469" s="25">
        <v>0</v>
      </c>
    </row>
    <row r="470" spans="23:28">
      <c r="W470" s="24">
        <v>468</v>
      </c>
      <c r="X470" s="25">
        <v>101.439487603166</v>
      </c>
      <c r="Y470" s="25">
        <v>4.310435594819</v>
      </c>
      <c r="Z470" s="25">
        <v>0</v>
      </c>
      <c r="AA470" s="25">
        <v>0</v>
      </c>
      <c r="AB470" s="25">
        <v>1</v>
      </c>
    </row>
    <row r="471" spans="23:28">
      <c r="W471" s="24">
        <v>469</v>
      </c>
      <c r="X471" s="25">
        <v>89.0817268443778</v>
      </c>
      <c r="Y471" s="25">
        <v>0</v>
      </c>
      <c r="Z471" s="25">
        <v>7.68809590439099</v>
      </c>
      <c r="AA471" s="25">
        <v>1</v>
      </c>
      <c r="AB471" s="25">
        <v>0</v>
      </c>
    </row>
    <row r="472" spans="23:28">
      <c r="W472" s="24">
        <v>470</v>
      </c>
      <c r="X472" s="25">
        <v>106.147769799173</v>
      </c>
      <c r="Y472" s="25">
        <v>8.88185215957035</v>
      </c>
      <c r="Z472" s="25">
        <v>0</v>
      </c>
      <c r="AA472" s="25">
        <v>1</v>
      </c>
      <c r="AB472" s="25">
        <v>0</v>
      </c>
    </row>
    <row r="473" spans="23:28">
      <c r="W473" s="24">
        <v>471</v>
      </c>
      <c r="X473" s="25">
        <v>103.367938710738</v>
      </c>
      <c r="Y473" s="25">
        <v>6.18282832118189</v>
      </c>
      <c r="Z473" s="25">
        <v>0</v>
      </c>
      <c r="AA473" s="25">
        <v>1</v>
      </c>
      <c r="AB473" s="25">
        <v>0</v>
      </c>
    </row>
    <row r="474" spans="23:28">
      <c r="W474" s="24">
        <v>472</v>
      </c>
      <c r="X474" s="25">
        <v>109.787948737791</v>
      </c>
      <c r="Y474" s="25">
        <v>12.4162142912144</v>
      </c>
      <c r="Z474" s="25">
        <v>0</v>
      </c>
      <c r="AA474" s="25">
        <v>0</v>
      </c>
      <c r="AB474" s="25">
        <v>1</v>
      </c>
    </row>
    <row r="475" spans="23:28">
      <c r="W475" s="24">
        <v>473</v>
      </c>
      <c r="X475" s="25">
        <v>92.7261520034048</v>
      </c>
      <c r="Y475" s="25">
        <v>0</v>
      </c>
      <c r="Z475" s="25">
        <v>4.14961098623926</v>
      </c>
      <c r="AA475" s="25">
        <v>1</v>
      </c>
      <c r="AB475" s="25">
        <v>0</v>
      </c>
    </row>
    <row r="476" spans="23:28">
      <c r="W476" s="24">
        <v>474</v>
      </c>
      <c r="X476" s="25">
        <v>105.872147925372</v>
      </c>
      <c r="Y476" s="25">
        <v>8.61424237174387</v>
      </c>
      <c r="Z476" s="25">
        <v>0</v>
      </c>
      <c r="AA476" s="25">
        <v>0</v>
      </c>
      <c r="AB476" s="25">
        <v>0</v>
      </c>
    </row>
    <row r="477" spans="23:28">
      <c r="W477" s="24">
        <v>475</v>
      </c>
      <c r="X477" s="25">
        <v>96.7583008457456</v>
      </c>
      <c r="Y477" s="25">
        <v>0</v>
      </c>
      <c r="Z477" s="25">
        <v>0.234673171965406</v>
      </c>
      <c r="AA477" s="25">
        <v>1</v>
      </c>
      <c r="AB477" s="25">
        <v>0</v>
      </c>
    </row>
    <row r="478" spans="23:28">
      <c r="W478" s="24">
        <v>476</v>
      </c>
      <c r="X478" s="25">
        <v>98.3788241347764</v>
      </c>
      <c r="Y478" s="25">
        <v>1.33874292729126</v>
      </c>
      <c r="Z478" s="25">
        <v>0</v>
      </c>
      <c r="AA478" s="25">
        <v>1</v>
      </c>
      <c r="AB478" s="25">
        <v>0</v>
      </c>
    </row>
    <row r="479" spans="23:28">
      <c r="W479" s="24">
        <v>477</v>
      </c>
      <c r="X479" s="25">
        <v>107.854475813924</v>
      </c>
      <c r="Y479" s="25">
        <v>10.5389457283479</v>
      </c>
      <c r="Z479" s="25">
        <v>0</v>
      </c>
      <c r="AA479" s="25">
        <v>1</v>
      </c>
      <c r="AB479" s="25">
        <v>0</v>
      </c>
    </row>
    <row r="480" spans="23:28">
      <c r="W480" s="24">
        <v>478</v>
      </c>
      <c r="X480" s="25">
        <v>102.446315169544</v>
      </c>
      <c r="Y480" s="25">
        <v>5.28799556747617</v>
      </c>
      <c r="Z480" s="25">
        <v>0</v>
      </c>
      <c r="AA480" s="25">
        <v>1</v>
      </c>
      <c r="AB480" s="25">
        <v>0</v>
      </c>
    </row>
    <row r="481" spans="23:28">
      <c r="W481" s="24">
        <v>479</v>
      </c>
      <c r="X481" s="25">
        <v>106.047701290724</v>
      </c>
      <c r="Y481" s="25">
        <v>8.78469255483756</v>
      </c>
      <c r="Z481" s="25">
        <v>0</v>
      </c>
      <c r="AA481" s="25">
        <v>1</v>
      </c>
      <c r="AB481" s="25">
        <v>0</v>
      </c>
    </row>
    <row r="482" spans="23:28">
      <c r="W482" s="24">
        <v>480</v>
      </c>
      <c r="X482" s="25">
        <v>104.014061098474</v>
      </c>
      <c r="Y482" s="25">
        <v>6.81016849817036</v>
      </c>
      <c r="Z482" s="25">
        <v>0</v>
      </c>
      <c r="AA482" s="25">
        <v>1</v>
      </c>
      <c r="AB482" s="25">
        <v>0</v>
      </c>
    </row>
    <row r="483" spans="23:28">
      <c r="W483" s="24">
        <v>481</v>
      </c>
      <c r="X483" s="25">
        <v>100.546338375095</v>
      </c>
      <c r="Y483" s="25">
        <v>3.44324943094327</v>
      </c>
      <c r="Z483" s="25">
        <v>0</v>
      </c>
      <c r="AA483" s="25">
        <v>1</v>
      </c>
      <c r="AB483" s="25">
        <v>0</v>
      </c>
    </row>
    <row r="484" spans="23:28">
      <c r="W484" s="24">
        <v>482</v>
      </c>
      <c r="X484" s="25">
        <v>123.706060709892</v>
      </c>
      <c r="Y484" s="25">
        <v>25.929738963394</v>
      </c>
      <c r="Z484" s="25">
        <v>0</v>
      </c>
      <c r="AA484" s="25">
        <v>0</v>
      </c>
      <c r="AB484" s="25">
        <v>1</v>
      </c>
    </row>
    <row r="485" spans="23:28">
      <c r="W485" s="24">
        <v>483</v>
      </c>
      <c r="X485" s="25">
        <v>95.2078738630155</v>
      </c>
      <c r="Y485" s="25">
        <v>0</v>
      </c>
      <c r="Z485" s="25">
        <v>1.74003060302606</v>
      </c>
      <c r="AA485" s="25">
        <v>1</v>
      </c>
      <c r="AB485" s="25">
        <v>0</v>
      </c>
    </row>
    <row r="486" spans="23:28">
      <c r="W486" s="24">
        <v>484</v>
      </c>
      <c r="X486" s="25">
        <v>105.152227493373</v>
      </c>
      <c r="Y486" s="25">
        <v>7.91524939487159</v>
      </c>
      <c r="Z486" s="25">
        <v>0</v>
      </c>
      <c r="AA486" s="25">
        <v>1</v>
      </c>
      <c r="AB486" s="25">
        <v>0</v>
      </c>
    </row>
    <row r="487" spans="23:28">
      <c r="W487" s="24">
        <v>485</v>
      </c>
      <c r="X487" s="25">
        <v>106.002048882892</v>
      </c>
      <c r="Y487" s="25">
        <v>8.7403672224354</v>
      </c>
      <c r="Z487" s="25">
        <v>0</v>
      </c>
      <c r="AA487" s="25">
        <v>1</v>
      </c>
      <c r="AB487" s="25">
        <v>0</v>
      </c>
    </row>
    <row r="488" spans="23:28">
      <c r="W488" s="24">
        <v>486</v>
      </c>
      <c r="X488" s="25">
        <v>104.497669749351</v>
      </c>
      <c r="Y488" s="25">
        <v>7.27971907000093</v>
      </c>
      <c r="Z488" s="25">
        <v>0</v>
      </c>
      <c r="AA488" s="25">
        <v>1</v>
      </c>
      <c r="AB488" s="25">
        <v>0</v>
      </c>
    </row>
    <row r="489" spans="23:28">
      <c r="W489" s="24">
        <v>487</v>
      </c>
      <c r="X489" s="25">
        <v>108.502498022048</v>
      </c>
      <c r="Y489" s="25">
        <v>11.1681304996135</v>
      </c>
      <c r="Z489" s="25">
        <v>0</v>
      </c>
      <c r="AA489" s="25">
        <v>1</v>
      </c>
      <c r="AB489" s="25">
        <v>0</v>
      </c>
    </row>
    <row r="490" spans="23:28">
      <c r="W490" s="24">
        <v>488</v>
      </c>
      <c r="X490" s="25">
        <v>106.427312634225</v>
      </c>
      <c r="Y490" s="25">
        <v>9.1532689297456</v>
      </c>
      <c r="Z490" s="25">
        <v>0</v>
      </c>
      <c r="AA490" s="25">
        <v>1</v>
      </c>
      <c r="AB490" s="25">
        <v>0</v>
      </c>
    </row>
    <row r="491" spans="23:28">
      <c r="W491" s="24">
        <v>489</v>
      </c>
      <c r="X491" s="25">
        <v>104.456164685815</v>
      </c>
      <c r="Y491" s="25">
        <v>7.23942052223598</v>
      </c>
      <c r="Z491" s="25">
        <v>0</v>
      </c>
      <c r="AA491" s="25">
        <v>1</v>
      </c>
      <c r="AB491" s="25">
        <v>0</v>
      </c>
    </row>
    <row r="492" spans="23:28">
      <c r="W492" s="24">
        <v>490</v>
      </c>
      <c r="X492" s="25">
        <v>109.255731123941</v>
      </c>
      <c r="Y492" s="25">
        <v>11.8994677763027</v>
      </c>
      <c r="Z492" s="25">
        <v>0</v>
      </c>
      <c r="AA492" s="25">
        <v>1</v>
      </c>
      <c r="AB492" s="25">
        <v>0</v>
      </c>
    </row>
    <row r="493" spans="23:28">
      <c r="W493" s="24">
        <v>491</v>
      </c>
      <c r="X493" s="25">
        <v>124.454281223387</v>
      </c>
      <c r="Y493" s="25">
        <v>26.656209363231</v>
      </c>
      <c r="Z493" s="25">
        <v>0</v>
      </c>
      <c r="AA493" s="25">
        <v>1</v>
      </c>
      <c r="AB493" s="25">
        <v>0</v>
      </c>
    </row>
    <row r="494" spans="23:28">
      <c r="W494" s="24">
        <v>492</v>
      </c>
      <c r="X494" s="25">
        <v>104.954604603616</v>
      </c>
      <c r="Y494" s="25">
        <v>7.72337122907782</v>
      </c>
      <c r="Z494" s="25">
        <v>0</v>
      </c>
      <c r="AA494" s="25">
        <v>1</v>
      </c>
      <c r="AB494" s="25">
        <v>0</v>
      </c>
    </row>
    <row r="495" spans="23:28">
      <c r="W495" s="24">
        <v>493</v>
      </c>
      <c r="X495" s="25">
        <v>114.637201582832</v>
      </c>
      <c r="Y495" s="25">
        <v>17.1245036119537</v>
      </c>
      <c r="Z495" s="25">
        <v>0</v>
      </c>
      <c r="AA495" s="25">
        <v>0</v>
      </c>
      <c r="AB495" s="25">
        <v>1</v>
      </c>
    </row>
    <row r="496" spans="23:28">
      <c r="W496" s="24">
        <v>494</v>
      </c>
      <c r="X496" s="25">
        <v>89.3679262856094</v>
      </c>
      <c r="Y496" s="25">
        <v>0</v>
      </c>
      <c r="Z496" s="25">
        <v>7.41021602973554</v>
      </c>
      <c r="AA496" s="25">
        <v>0</v>
      </c>
      <c r="AB496" s="25">
        <v>0</v>
      </c>
    </row>
    <row r="497" spans="23:28">
      <c r="W497" s="24">
        <v>495</v>
      </c>
      <c r="X497" s="25">
        <v>96.3887072915722</v>
      </c>
      <c r="Y497" s="25">
        <v>0</v>
      </c>
      <c r="Z497" s="25">
        <v>0.593522965889436</v>
      </c>
      <c r="AA497" s="25">
        <v>0</v>
      </c>
      <c r="AB497" s="25">
        <v>0</v>
      </c>
    </row>
    <row r="498" spans="23:28">
      <c r="W498" s="24">
        <v>496</v>
      </c>
      <c r="X498" s="25">
        <v>97.408072262152</v>
      </c>
      <c r="Y498" s="25">
        <v>0.396209959632231</v>
      </c>
      <c r="Z498" s="25">
        <v>0</v>
      </c>
      <c r="AA498" s="25">
        <v>1</v>
      </c>
      <c r="AB498" s="25">
        <v>0</v>
      </c>
    </row>
    <row r="499" spans="23:28">
      <c r="W499" s="24">
        <v>497</v>
      </c>
      <c r="X499" s="25">
        <v>111.897154265814</v>
      </c>
      <c r="Y499" s="25">
        <v>14.4641070656628</v>
      </c>
      <c r="Z499" s="25">
        <v>0</v>
      </c>
      <c r="AA499" s="25">
        <v>1</v>
      </c>
      <c r="AB499" s="25">
        <v>0</v>
      </c>
    </row>
    <row r="500" spans="23:28">
      <c r="W500" s="24">
        <v>498</v>
      </c>
      <c r="X500" s="25">
        <v>111.318249892486</v>
      </c>
      <c r="Y500" s="25">
        <v>13.902030934397</v>
      </c>
      <c r="Z500" s="25">
        <v>0</v>
      </c>
      <c r="AA500" s="25">
        <v>1</v>
      </c>
      <c r="AB500" s="25">
        <v>0</v>
      </c>
    </row>
    <row r="501" spans="23:28">
      <c r="W501" s="24">
        <v>499</v>
      </c>
      <c r="X501" s="25">
        <v>115.242448119176</v>
      </c>
      <c r="Y501" s="25">
        <v>17.7121561626752</v>
      </c>
      <c r="Z501" s="25">
        <v>0</v>
      </c>
      <c r="AA501" s="25">
        <v>1</v>
      </c>
      <c r="AB501" s="25">
        <v>0</v>
      </c>
    </row>
    <row r="502" spans="23:28">
      <c r="W502" s="24">
        <v>500</v>
      </c>
      <c r="X502" s="25">
        <v>109.639902024997</v>
      </c>
      <c r="Y502" s="25">
        <v>12.2724711664289</v>
      </c>
      <c r="Z502" s="25">
        <v>0</v>
      </c>
      <c r="AA502" s="25">
        <v>0</v>
      </c>
      <c r="AB502" s="25">
        <v>1</v>
      </c>
    </row>
    <row r="503" spans="23:28">
      <c r="W503" s="24">
        <v>501</v>
      </c>
      <c r="X503" s="25">
        <v>95.7274817355609</v>
      </c>
      <c r="Y503" s="25">
        <v>0</v>
      </c>
      <c r="Z503" s="25">
        <v>1.23552727530628</v>
      </c>
      <c r="AA503" s="25">
        <v>1</v>
      </c>
      <c r="AB503" s="25">
        <v>0</v>
      </c>
    </row>
    <row r="504" spans="23:28">
      <c r="W504" s="24">
        <v>502</v>
      </c>
      <c r="X504" s="25">
        <v>99.3466019911177</v>
      </c>
      <c r="Y504" s="25">
        <v>2.27838833071048</v>
      </c>
      <c r="Z504" s="25">
        <v>0</v>
      </c>
      <c r="AA504" s="25">
        <v>1</v>
      </c>
      <c r="AB504" s="25">
        <v>0</v>
      </c>
    </row>
    <row r="505" spans="23:28">
      <c r="W505" s="24">
        <v>503</v>
      </c>
      <c r="X505" s="25">
        <v>108.28974688102</v>
      </c>
      <c r="Y505" s="25">
        <v>10.9615638475358</v>
      </c>
      <c r="Z505" s="25">
        <v>0</v>
      </c>
      <c r="AA505" s="25">
        <v>1</v>
      </c>
      <c r="AB505" s="25">
        <v>0</v>
      </c>
    </row>
    <row r="506" spans="23:28">
      <c r="W506" s="24">
        <v>504</v>
      </c>
      <c r="X506" s="25">
        <v>110.959668268841</v>
      </c>
      <c r="Y506" s="25">
        <v>13.5538729638457</v>
      </c>
      <c r="Z506" s="25">
        <v>0</v>
      </c>
      <c r="AA506" s="25">
        <v>1</v>
      </c>
      <c r="AB506" s="25">
        <v>0</v>
      </c>
    </row>
    <row r="507" spans="23:28">
      <c r="W507" s="24">
        <v>505</v>
      </c>
      <c r="X507" s="25">
        <v>100.058060930882</v>
      </c>
      <c r="Y507" s="25">
        <v>2.96916578350151</v>
      </c>
      <c r="Z507" s="25">
        <v>0</v>
      </c>
      <c r="AA507" s="25">
        <v>1</v>
      </c>
      <c r="AB507" s="25">
        <v>0</v>
      </c>
    </row>
    <row r="508" spans="23:28">
      <c r="W508" s="24">
        <v>506</v>
      </c>
      <c r="X508" s="25">
        <v>110.719296339175</v>
      </c>
      <c r="Y508" s="25">
        <v>13.3204884352149</v>
      </c>
      <c r="Z508" s="25">
        <v>0</v>
      </c>
      <c r="AA508" s="25">
        <v>1</v>
      </c>
      <c r="AB508" s="25">
        <v>0</v>
      </c>
    </row>
    <row r="509" spans="23:28">
      <c r="W509" s="24">
        <v>507</v>
      </c>
      <c r="X509" s="25">
        <v>107.450918212608</v>
      </c>
      <c r="Y509" s="25">
        <v>10.1471191923237</v>
      </c>
      <c r="Z509" s="25">
        <v>0</v>
      </c>
      <c r="AA509" s="25">
        <v>0</v>
      </c>
      <c r="AB509" s="25">
        <v>1</v>
      </c>
    </row>
    <row r="510" spans="23:28">
      <c r="W510" s="24">
        <v>508</v>
      </c>
      <c r="X510" s="25">
        <v>92.163715663014</v>
      </c>
      <c r="Y510" s="25">
        <v>0</v>
      </c>
      <c r="Z510" s="25">
        <v>4.69569779583219</v>
      </c>
      <c r="AA510" s="25">
        <v>1</v>
      </c>
      <c r="AB510" s="25">
        <v>0</v>
      </c>
    </row>
    <row r="511" spans="23:28">
      <c r="W511" s="24">
        <v>509</v>
      </c>
      <c r="X511" s="25">
        <v>101.015972946093</v>
      </c>
      <c r="Y511" s="25">
        <v>3.89923213713319</v>
      </c>
      <c r="Z511" s="25">
        <v>0</v>
      </c>
      <c r="AA511" s="25">
        <v>1</v>
      </c>
      <c r="AB511" s="25">
        <v>0</v>
      </c>
    </row>
    <row r="512" spans="23:28">
      <c r="W512" s="24">
        <v>510</v>
      </c>
      <c r="X512" s="25">
        <v>106.064795775842</v>
      </c>
      <c r="Y512" s="25">
        <v>8.80129011827608</v>
      </c>
      <c r="Z512" s="25">
        <v>0</v>
      </c>
      <c r="AA512" s="25">
        <v>1</v>
      </c>
      <c r="AB512" s="25">
        <v>0</v>
      </c>
    </row>
    <row r="513" spans="23:28">
      <c r="W513" s="24">
        <v>511</v>
      </c>
      <c r="X513" s="25">
        <v>108.508224192939</v>
      </c>
      <c r="Y513" s="25">
        <v>11.1736902157421</v>
      </c>
      <c r="Z513" s="25">
        <v>0</v>
      </c>
      <c r="AA513" s="25">
        <v>1</v>
      </c>
      <c r="AB513" s="25">
        <v>0</v>
      </c>
    </row>
    <row r="514" spans="23:28">
      <c r="W514" s="24">
        <v>512</v>
      </c>
      <c r="X514" s="25">
        <v>101.379734243201</v>
      </c>
      <c r="Y514" s="25">
        <v>4.2524192125862</v>
      </c>
      <c r="Z514" s="25">
        <v>0</v>
      </c>
      <c r="AA514" s="25">
        <v>1</v>
      </c>
      <c r="AB514" s="25">
        <v>0</v>
      </c>
    </row>
    <row r="515" spans="23:28">
      <c r="W515" s="24">
        <v>513</v>
      </c>
      <c r="X515" s="25">
        <v>115.973999663557</v>
      </c>
      <c r="Y515" s="25">
        <v>18.422442145701</v>
      </c>
      <c r="Z515" s="25">
        <v>0</v>
      </c>
      <c r="AA515" s="25">
        <v>1</v>
      </c>
      <c r="AB515" s="25">
        <v>0</v>
      </c>
    </row>
    <row r="516" spans="23:28">
      <c r="W516" s="24">
        <v>514</v>
      </c>
      <c r="X516" s="25">
        <v>103.155375156189</v>
      </c>
      <c r="Y516" s="25">
        <v>5.97644380260919</v>
      </c>
      <c r="Z516" s="25">
        <v>0</v>
      </c>
      <c r="AA516" s="25">
        <v>1</v>
      </c>
      <c r="AB516" s="25">
        <v>0</v>
      </c>
    </row>
    <row r="517" spans="23:28">
      <c r="W517" s="24">
        <v>515</v>
      </c>
      <c r="X517" s="25">
        <v>101.564575520622</v>
      </c>
      <c r="Y517" s="25">
        <v>4.4318873162968</v>
      </c>
      <c r="Z517" s="25">
        <v>0</v>
      </c>
      <c r="AA517" s="25">
        <v>1</v>
      </c>
      <c r="AB517" s="25">
        <v>0</v>
      </c>
    </row>
    <row r="518" spans="23:28">
      <c r="W518" s="24">
        <v>516</v>
      </c>
      <c r="X518" s="25">
        <v>114.037854947125</v>
      </c>
      <c r="Y518" s="25">
        <v>16.5425794569357</v>
      </c>
      <c r="Z518" s="25">
        <v>0</v>
      </c>
      <c r="AA518" s="25">
        <v>0</v>
      </c>
      <c r="AB518" s="25">
        <v>0</v>
      </c>
    </row>
    <row r="519" spans="23:28">
      <c r="W519" s="24">
        <v>517</v>
      </c>
      <c r="X519" s="25">
        <v>96.0390084964669</v>
      </c>
      <c r="Y519" s="25">
        <v>0</v>
      </c>
      <c r="Z519" s="25">
        <v>0.933056323931118</v>
      </c>
      <c r="AA519" s="25">
        <v>0</v>
      </c>
      <c r="AB519" s="25">
        <v>1</v>
      </c>
    </row>
    <row r="520" spans="23:28">
      <c r="W520" s="24">
        <v>518</v>
      </c>
      <c r="X520" s="25">
        <v>90.96402751571</v>
      </c>
      <c r="Y520" s="25">
        <v>0</v>
      </c>
      <c r="Z520" s="25">
        <v>5.86051206158983</v>
      </c>
      <c r="AA520" s="25">
        <v>0</v>
      </c>
      <c r="AB520" s="25">
        <v>0</v>
      </c>
    </row>
    <row r="521" spans="23:28">
      <c r="W521" s="24">
        <v>519</v>
      </c>
      <c r="X521" s="25">
        <v>97.8789993603123</v>
      </c>
      <c r="Y521" s="25">
        <v>0.853447620354062</v>
      </c>
      <c r="Z521" s="25">
        <v>0</v>
      </c>
      <c r="AA521" s="25">
        <v>1</v>
      </c>
      <c r="AB521" s="25">
        <v>0</v>
      </c>
    </row>
    <row r="522" spans="23:28">
      <c r="W522" s="24">
        <v>520</v>
      </c>
      <c r="X522" s="25">
        <v>110.54504016419</v>
      </c>
      <c r="Y522" s="25">
        <v>13.1512977343023</v>
      </c>
      <c r="Z522" s="25">
        <v>0</v>
      </c>
      <c r="AA522" s="25">
        <v>1</v>
      </c>
      <c r="AB522" s="25">
        <v>0</v>
      </c>
    </row>
    <row r="523" spans="23:28">
      <c r="W523" s="24">
        <v>521</v>
      </c>
      <c r="X523" s="25">
        <v>98.1896877321115</v>
      </c>
      <c r="Y523" s="25">
        <v>1.15510455385796</v>
      </c>
      <c r="Z523" s="25">
        <v>0</v>
      </c>
      <c r="AA523" s="25">
        <v>1</v>
      </c>
      <c r="AB523" s="25">
        <v>0</v>
      </c>
    </row>
    <row r="524" spans="23:28">
      <c r="W524" s="24">
        <v>522</v>
      </c>
      <c r="X524" s="25">
        <v>112.85705349642</v>
      </c>
      <c r="Y524" s="25">
        <v>15.3961028680827</v>
      </c>
      <c r="Z524" s="25">
        <v>0</v>
      </c>
      <c r="AA524" s="25">
        <v>1</v>
      </c>
      <c r="AB524" s="25">
        <v>0</v>
      </c>
    </row>
    <row r="525" spans="23:28">
      <c r="W525" s="24">
        <v>523</v>
      </c>
      <c r="X525" s="25">
        <v>103.280426587868</v>
      </c>
      <c r="Y525" s="25">
        <v>6.09786009891983</v>
      </c>
      <c r="Z525" s="25">
        <v>0</v>
      </c>
      <c r="AA525" s="25">
        <v>0</v>
      </c>
      <c r="AB525" s="25">
        <v>0</v>
      </c>
    </row>
    <row r="526" spans="23:28">
      <c r="W526" s="24">
        <v>524</v>
      </c>
      <c r="X526" s="25">
        <v>96.2224917698302</v>
      </c>
      <c r="Y526" s="25">
        <v>0</v>
      </c>
      <c r="Z526" s="25">
        <v>0.754906748291975</v>
      </c>
      <c r="AA526" s="25">
        <v>1</v>
      </c>
      <c r="AB526" s="25">
        <v>0</v>
      </c>
    </row>
    <row r="527" spans="23:28">
      <c r="W527" s="24">
        <v>525</v>
      </c>
      <c r="X527" s="25">
        <v>107.317766700333</v>
      </c>
      <c r="Y527" s="25">
        <v>10.017838277651</v>
      </c>
      <c r="Z527" s="25">
        <v>0</v>
      </c>
      <c r="AA527" s="25">
        <v>1</v>
      </c>
      <c r="AB527" s="25">
        <v>0</v>
      </c>
    </row>
    <row r="528" spans="23:28">
      <c r="W528" s="24">
        <v>526</v>
      </c>
      <c r="X528" s="25">
        <v>105.270648052327</v>
      </c>
      <c r="Y528" s="25">
        <v>8.03022757210724</v>
      </c>
      <c r="Z528" s="25">
        <v>0</v>
      </c>
      <c r="AA528" s="25">
        <v>1</v>
      </c>
      <c r="AB528" s="25">
        <v>0</v>
      </c>
    </row>
    <row r="529" spans="23:28">
      <c r="W529" s="24">
        <v>527</v>
      </c>
      <c r="X529" s="25">
        <v>100.862122576894</v>
      </c>
      <c r="Y529" s="25">
        <v>3.74985406314178</v>
      </c>
      <c r="Z529" s="25">
        <v>0</v>
      </c>
      <c r="AA529" s="25">
        <v>1</v>
      </c>
      <c r="AB529" s="25">
        <v>0</v>
      </c>
    </row>
    <row r="530" spans="23:28">
      <c r="W530" s="24">
        <v>528</v>
      </c>
      <c r="X530" s="25">
        <v>103.107205438357</v>
      </c>
      <c r="Y530" s="25">
        <v>5.92967433619905</v>
      </c>
      <c r="Z530" s="25">
        <v>0</v>
      </c>
      <c r="AA530" s="25">
        <v>1</v>
      </c>
      <c r="AB530" s="25">
        <v>0</v>
      </c>
    </row>
    <row r="531" spans="23:28">
      <c r="W531" s="24">
        <v>529</v>
      </c>
      <c r="X531" s="25">
        <v>119.784140825334</v>
      </c>
      <c r="Y531" s="25">
        <v>22.1218258478422</v>
      </c>
      <c r="Z531" s="25">
        <v>0</v>
      </c>
      <c r="AA531" s="25">
        <v>1</v>
      </c>
      <c r="AB531" s="25">
        <v>0</v>
      </c>
    </row>
    <row r="532" spans="23:28">
      <c r="W532" s="24">
        <v>530</v>
      </c>
      <c r="X532" s="25">
        <v>108.684051406729</v>
      </c>
      <c r="Y532" s="25">
        <v>11.3444062867406</v>
      </c>
      <c r="Z532" s="25">
        <v>0</v>
      </c>
      <c r="AA532" s="25">
        <v>1</v>
      </c>
      <c r="AB532" s="25">
        <v>0</v>
      </c>
    </row>
    <row r="533" spans="23:28">
      <c r="W533" s="24">
        <v>531</v>
      </c>
      <c r="X533" s="25">
        <v>108.120507769733</v>
      </c>
      <c r="Y533" s="25">
        <v>10.7972443686825</v>
      </c>
      <c r="Z533" s="25">
        <v>0</v>
      </c>
      <c r="AA533" s="25">
        <v>1</v>
      </c>
      <c r="AB533" s="25">
        <v>0</v>
      </c>
    </row>
    <row r="534" spans="23:28">
      <c r="W534" s="24">
        <v>532</v>
      </c>
      <c r="X534" s="25">
        <v>99.6495388460811</v>
      </c>
      <c r="Y534" s="25">
        <v>2.57251907716992</v>
      </c>
      <c r="Z534" s="25">
        <v>0</v>
      </c>
      <c r="AA534" s="25">
        <v>1</v>
      </c>
      <c r="AB534" s="25">
        <v>0</v>
      </c>
    </row>
    <row r="535" spans="23:28">
      <c r="W535" s="24">
        <v>533</v>
      </c>
      <c r="X535" s="25">
        <v>104.320668912424</v>
      </c>
      <c r="Y535" s="25">
        <v>7.10786349206083</v>
      </c>
      <c r="Z535" s="25">
        <v>0</v>
      </c>
      <c r="AA535" s="25">
        <v>1</v>
      </c>
      <c r="AB535" s="25">
        <v>0</v>
      </c>
    </row>
    <row r="536" spans="23:28">
      <c r="W536" s="24">
        <v>534</v>
      </c>
      <c r="X536" s="25">
        <v>104.184326487807</v>
      </c>
      <c r="Y536" s="25">
        <v>6.97548442206744</v>
      </c>
      <c r="Z536" s="25">
        <v>0</v>
      </c>
      <c r="AA536" s="25">
        <v>0</v>
      </c>
      <c r="AB536" s="25">
        <v>1</v>
      </c>
    </row>
    <row r="537" spans="23:28">
      <c r="W537" s="24">
        <v>535</v>
      </c>
      <c r="X537" s="25">
        <v>93.7355277396573</v>
      </c>
      <c r="Y537" s="25">
        <v>0</v>
      </c>
      <c r="Z537" s="25">
        <v>3.16957691676988</v>
      </c>
      <c r="AA537" s="25">
        <v>1</v>
      </c>
      <c r="AB537" s="25">
        <v>0</v>
      </c>
    </row>
    <row r="538" spans="23:28">
      <c r="W538" s="24">
        <v>536</v>
      </c>
      <c r="X538" s="25">
        <v>103.081912412435</v>
      </c>
      <c r="Y538" s="25">
        <v>5.90511655634271</v>
      </c>
      <c r="Z538" s="25">
        <v>0</v>
      </c>
      <c r="AA538" s="25">
        <v>1</v>
      </c>
      <c r="AB538" s="25">
        <v>0</v>
      </c>
    </row>
    <row r="539" spans="23:28">
      <c r="W539" s="24">
        <v>537</v>
      </c>
      <c r="X539" s="25">
        <v>102.706374199484</v>
      </c>
      <c r="Y539" s="25">
        <v>5.54049490965432</v>
      </c>
      <c r="Z539" s="25">
        <v>0</v>
      </c>
      <c r="AA539" s="25">
        <v>1</v>
      </c>
      <c r="AB539" s="25">
        <v>0</v>
      </c>
    </row>
    <row r="540" spans="23:28">
      <c r="W540" s="24">
        <v>538</v>
      </c>
      <c r="X540" s="25">
        <v>99.6409053939107</v>
      </c>
      <c r="Y540" s="25">
        <v>2.56413659187707</v>
      </c>
      <c r="Z540" s="25">
        <v>0</v>
      </c>
      <c r="AA540" s="25">
        <v>1</v>
      </c>
      <c r="AB540" s="25">
        <v>0</v>
      </c>
    </row>
    <row r="541" spans="23:28">
      <c r="W541" s="24">
        <v>539</v>
      </c>
      <c r="X541" s="25">
        <v>100.050812081275</v>
      </c>
      <c r="Y541" s="25">
        <v>2.96212765159043</v>
      </c>
      <c r="Z541" s="25">
        <v>0</v>
      </c>
      <c r="AA541" s="25">
        <v>1</v>
      </c>
      <c r="AB541" s="25">
        <v>0</v>
      </c>
    </row>
    <row r="542" spans="23:28">
      <c r="W542" s="24">
        <v>540</v>
      </c>
      <c r="X542" s="25">
        <v>114.479810372906</v>
      </c>
      <c r="Y542" s="25">
        <v>16.9716876263674</v>
      </c>
      <c r="Z542" s="25">
        <v>0</v>
      </c>
      <c r="AA542" s="25">
        <v>0</v>
      </c>
      <c r="AB542" s="25">
        <v>1</v>
      </c>
    </row>
    <row r="543" spans="23:28">
      <c r="W543" s="24">
        <v>541</v>
      </c>
      <c r="X543" s="25">
        <v>90.9254103289328</v>
      </c>
      <c r="Y543" s="25">
        <v>0</v>
      </c>
      <c r="Z543" s="25">
        <v>5.8980066806394</v>
      </c>
      <c r="AA543" s="25">
        <v>0</v>
      </c>
      <c r="AB543" s="25">
        <v>1</v>
      </c>
    </row>
    <row r="544" spans="23:28">
      <c r="W544" s="24">
        <v>542</v>
      </c>
      <c r="X544" s="25">
        <v>92.3290895215538</v>
      </c>
      <c r="Y544" s="25">
        <v>0</v>
      </c>
      <c r="Z544" s="25">
        <v>4.53513121022122</v>
      </c>
      <c r="AA544" s="25">
        <v>1</v>
      </c>
      <c r="AB544" s="25">
        <v>0</v>
      </c>
    </row>
    <row r="545" spans="23:28">
      <c r="W545" s="24">
        <v>543</v>
      </c>
      <c r="X545" s="25">
        <v>98.4657547480229</v>
      </c>
      <c r="Y545" s="25">
        <v>1.42314654390465</v>
      </c>
      <c r="Z545" s="25">
        <v>0</v>
      </c>
      <c r="AA545" s="25">
        <v>0</v>
      </c>
      <c r="AB545" s="25">
        <v>1</v>
      </c>
    </row>
    <row r="546" spans="23:28">
      <c r="W546" s="24">
        <v>544</v>
      </c>
      <c r="X546" s="25">
        <v>90.3218933794068</v>
      </c>
      <c r="Y546" s="25">
        <v>0</v>
      </c>
      <c r="Z546" s="25">
        <v>6.483979922114</v>
      </c>
      <c r="AA546" s="25">
        <v>0</v>
      </c>
      <c r="AB546" s="25">
        <v>0</v>
      </c>
    </row>
    <row r="547" spans="23:28">
      <c r="W547" s="24">
        <v>545</v>
      </c>
      <c r="X547" s="25">
        <v>97.6896844451902</v>
      </c>
      <c r="Y547" s="25">
        <v>0.669635923663955</v>
      </c>
      <c r="Z547" s="25">
        <v>0</v>
      </c>
      <c r="AA547" s="25">
        <v>1</v>
      </c>
      <c r="AB547" s="25">
        <v>0</v>
      </c>
    </row>
    <row r="548" spans="23:28">
      <c r="W548" s="24">
        <v>546</v>
      </c>
      <c r="X548" s="25">
        <v>98.1892859853302</v>
      </c>
      <c r="Y548" s="25">
        <v>1.154714485503</v>
      </c>
      <c r="Z548" s="25">
        <v>0</v>
      </c>
      <c r="AA548" s="25">
        <v>1</v>
      </c>
      <c r="AB548" s="25">
        <v>0</v>
      </c>
    </row>
    <row r="549" spans="23:28">
      <c r="W549" s="24">
        <v>547</v>
      </c>
      <c r="X549" s="25">
        <v>98.7355623662306</v>
      </c>
      <c r="Y549" s="25">
        <v>1.6851110914453</v>
      </c>
      <c r="Z549" s="25">
        <v>0</v>
      </c>
      <c r="AA549" s="25">
        <v>1</v>
      </c>
      <c r="AB549" s="25">
        <v>0</v>
      </c>
    </row>
    <row r="550" spans="23:28">
      <c r="W550" s="24">
        <v>548</v>
      </c>
      <c r="X550" s="25">
        <v>114.700684889945</v>
      </c>
      <c r="Y550" s="25">
        <v>17.1861415150442</v>
      </c>
      <c r="Z550" s="25">
        <v>0</v>
      </c>
      <c r="AA550" s="25">
        <v>1</v>
      </c>
      <c r="AB550" s="25">
        <v>0</v>
      </c>
    </row>
    <row r="551" spans="23:28">
      <c r="W551" s="24">
        <v>549</v>
      </c>
      <c r="X551" s="25">
        <v>107.614806685771</v>
      </c>
      <c r="Y551" s="25">
        <v>10.3062435714074</v>
      </c>
      <c r="Z551" s="25">
        <v>0</v>
      </c>
      <c r="AA551" s="25">
        <v>1</v>
      </c>
      <c r="AB551" s="25">
        <v>0</v>
      </c>
    </row>
    <row r="552" spans="23:28">
      <c r="W552" s="24">
        <v>550</v>
      </c>
      <c r="X552" s="25">
        <v>110.601455542737</v>
      </c>
      <c r="Y552" s="25">
        <v>13.2060731673077</v>
      </c>
      <c r="Z552" s="25">
        <v>0</v>
      </c>
      <c r="AA552" s="25">
        <v>1</v>
      </c>
      <c r="AB552" s="25">
        <v>0</v>
      </c>
    </row>
    <row r="553" spans="23:28">
      <c r="W553" s="24">
        <v>551</v>
      </c>
      <c r="X553" s="25">
        <v>113.541180179463</v>
      </c>
      <c r="Y553" s="25">
        <v>16.0603425888675</v>
      </c>
      <c r="Z553" s="25">
        <v>0</v>
      </c>
      <c r="AA553" s="25">
        <v>1</v>
      </c>
      <c r="AB553" s="25">
        <v>0</v>
      </c>
    </row>
    <row r="554" spans="23:28">
      <c r="W554" s="24">
        <v>552</v>
      </c>
      <c r="X554" s="25">
        <v>102.699663183486</v>
      </c>
      <c r="Y554" s="25">
        <v>5.53397897700116</v>
      </c>
      <c r="Z554" s="25">
        <v>0</v>
      </c>
      <c r="AA554" s="25">
        <v>1</v>
      </c>
      <c r="AB554" s="25">
        <v>0</v>
      </c>
    </row>
    <row r="555" spans="23:28">
      <c r="W555" s="24">
        <v>553</v>
      </c>
      <c r="X555" s="25">
        <v>104.534055753536</v>
      </c>
      <c r="Y555" s="25">
        <v>7.31504736497814</v>
      </c>
      <c r="Z555" s="25">
        <v>0</v>
      </c>
      <c r="AA555" s="25">
        <v>1</v>
      </c>
      <c r="AB555" s="25">
        <v>0</v>
      </c>
    </row>
    <row r="556" spans="23:28">
      <c r="W556" s="24">
        <v>554</v>
      </c>
      <c r="X556" s="25">
        <v>108.202112511446</v>
      </c>
      <c r="Y556" s="25">
        <v>10.8764769321735</v>
      </c>
      <c r="Z556" s="25">
        <v>0</v>
      </c>
      <c r="AA556" s="25">
        <v>1</v>
      </c>
      <c r="AB556" s="25">
        <v>0</v>
      </c>
    </row>
    <row r="557" spans="23:28">
      <c r="W557" s="24">
        <v>555</v>
      </c>
      <c r="X557" s="25">
        <v>110.157735893643</v>
      </c>
      <c r="Y557" s="25">
        <v>12.7752520589858</v>
      </c>
      <c r="Z557" s="25">
        <v>0</v>
      </c>
      <c r="AA557" s="25">
        <v>1</v>
      </c>
      <c r="AB557" s="25">
        <v>0</v>
      </c>
    </row>
    <row r="558" spans="23:28">
      <c r="W558" s="24">
        <v>556</v>
      </c>
      <c r="X558" s="25">
        <v>108.175239276515</v>
      </c>
      <c r="Y558" s="25">
        <v>10.8503848785973</v>
      </c>
      <c r="Z558" s="25">
        <v>0</v>
      </c>
      <c r="AA558" s="25">
        <v>0</v>
      </c>
      <c r="AB558" s="25">
        <v>0</v>
      </c>
    </row>
    <row r="559" spans="23:28">
      <c r="W559" s="24">
        <v>557</v>
      </c>
      <c r="X559" s="25">
        <v>96.2517277071989</v>
      </c>
      <c r="Y559" s="25">
        <v>0</v>
      </c>
      <c r="Z559" s="25">
        <v>0.726520673963979</v>
      </c>
      <c r="AA559" s="25">
        <v>1</v>
      </c>
      <c r="AB559" s="25">
        <v>0</v>
      </c>
    </row>
    <row r="560" spans="23:28">
      <c r="W560" s="24">
        <v>558</v>
      </c>
      <c r="X560" s="25">
        <v>105.589387599783</v>
      </c>
      <c r="Y560" s="25">
        <v>8.33970164065789</v>
      </c>
      <c r="Z560" s="25">
        <v>0</v>
      </c>
      <c r="AA560" s="25">
        <v>1</v>
      </c>
      <c r="AB560" s="25">
        <v>0</v>
      </c>
    </row>
    <row r="561" spans="23:28">
      <c r="W561" s="24">
        <v>559</v>
      </c>
      <c r="X561" s="25">
        <v>99.3990201764939</v>
      </c>
      <c r="Y561" s="25">
        <v>2.32928276544212</v>
      </c>
      <c r="Z561" s="25">
        <v>0</v>
      </c>
      <c r="AA561" s="25">
        <v>1</v>
      </c>
      <c r="AB561" s="25">
        <v>0</v>
      </c>
    </row>
    <row r="562" spans="23:28">
      <c r="W562" s="24">
        <v>560</v>
      </c>
      <c r="X562" s="25">
        <v>107.751167043706</v>
      </c>
      <c r="Y562" s="25">
        <v>10.4386400534127</v>
      </c>
      <c r="Z562" s="25">
        <v>0</v>
      </c>
      <c r="AA562" s="25">
        <v>1</v>
      </c>
      <c r="AB562" s="25">
        <v>0</v>
      </c>
    </row>
    <row r="563" spans="23:28">
      <c r="W563" s="24">
        <v>561</v>
      </c>
      <c r="X563" s="25">
        <v>110.403502575406</v>
      </c>
      <c r="Y563" s="25">
        <v>13.0138745190045</v>
      </c>
      <c r="Z563" s="25">
        <v>0</v>
      </c>
      <c r="AA563" s="25">
        <v>1</v>
      </c>
      <c r="AB563" s="25">
        <v>0</v>
      </c>
    </row>
    <row r="564" spans="23:28">
      <c r="W564" s="24">
        <v>562</v>
      </c>
      <c r="X564" s="25">
        <v>103.693103336736</v>
      </c>
      <c r="Y564" s="25">
        <v>6.49854069688006</v>
      </c>
      <c r="Z564" s="25">
        <v>0</v>
      </c>
      <c r="AA564" s="25">
        <v>0</v>
      </c>
      <c r="AB564" s="25">
        <v>1</v>
      </c>
    </row>
    <row r="565" spans="23:28">
      <c r="W565" s="24">
        <v>563</v>
      </c>
      <c r="X565" s="25">
        <v>86.2948495966673</v>
      </c>
      <c r="Y565" s="25">
        <v>0</v>
      </c>
      <c r="Z565" s="25">
        <v>10.3939610763888</v>
      </c>
      <c r="AA565" s="25">
        <v>1</v>
      </c>
      <c r="AB565" s="25">
        <v>0</v>
      </c>
    </row>
    <row r="566" spans="23:28">
      <c r="W566" s="24">
        <v>564</v>
      </c>
      <c r="X566" s="25">
        <v>104.170540906039</v>
      </c>
      <c r="Y566" s="25">
        <v>6.96209957506223</v>
      </c>
      <c r="Z566" s="25">
        <v>0</v>
      </c>
      <c r="AA566" s="25">
        <v>0</v>
      </c>
      <c r="AB566" s="25">
        <v>1</v>
      </c>
    </row>
    <row r="567" spans="23:28">
      <c r="W567" s="24">
        <v>565</v>
      </c>
      <c r="X567" s="25">
        <v>90.5491733650848</v>
      </c>
      <c r="Y567" s="25">
        <v>0</v>
      </c>
      <c r="Z567" s="25">
        <v>6.26330676614944</v>
      </c>
      <c r="AA567" s="25">
        <v>1</v>
      </c>
      <c r="AB567" s="25">
        <v>0</v>
      </c>
    </row>
    <row r="568" spans="23:28">
      <c r="W568" s="24">
        <v>566</v>
      </c>
      <c r="X568" s="25">
        <v>111.003809984033</v>
      </c>
      <c r="Y568" s="25">
        <v>13.5967315181172</v>
      </c>
      <c r="Z568" s="25">
        <v>0</v>
      </c>
      <c r="AA568" s="25">
        <v>1</v>
      </c>
      <c r="AB568" s="25">
        <v>0</v>
      </c>
    </row>
    <row r="569" spans="23:28">
      <c r="W569" s="24">
        <v>567</v>
      </c>
      <c r="X569" s="25">
        <v>111.632012263927</v>
      </c>
      <c r="Y569" s="25">
        <v>14.2066725090716</v>
      </c>
      <c r="Z569" s="25">
        <v>0</v>
      </c>
      <c r="AA569" s="25">
        <v>0</v>
      </c>
      <c r="AB569" s="25">
        <v>0</v>
      </c>
    </row>
    <row r="570" spans="23:28">
      <c r="W570" s="24">
        <v>568</v>
      </c>
      <c r="X570" s="25">
        <v>96.0617355120336</v>
      </c>
      <c r="Y570" s="25">
        <v>0</v>
      </c>
      <c r="Z570" s="25">
        <v>0.910989962760817</v>
      </c>
      <c r="AA570" s="25">
        <v>1</v>
      </c>
      <c r="AB570" s="25">
        <v>0</v>
      </c>
    </row>
    <row r="571" spans="23:28">
      <c r="W571" s="24">
        <v>569</v>
      </c>
      <c r="X571" s="25">
        <v>110.224823046419</v>
      </c>
      <c r="Y571" s="25">
        <v>12.8403890471087</v>
      </c>
      <c r="Z571" s="25">
        <v>0</v>
      </c>
      <c r="AA571" s="25">
        <v>1</v>
      </c>
      <c r="AB571" s="25">
        <v>0</v>
      </c>
    </row>
    <row r="572" spans="23:28">
      <c r="W572" s="24">
        <v>570</v>
      </c>
      <c r="X572" s="25">
        <v>103.376351183555</v>
      </c>
      <c r="Y572" s="25">
        <v>6.19099625079798</v>
      </c>
      <c r="Z572" s="25">
        <v>0</v>
      </c>
      <c r="AA572" s="25">
        <v>1</v>
      </c>
      <c r="AB572" s="25">
        <v>0</v>
      </c>
    </row>
    <row r="573" spans="23:28">
      <c r="W573" s="24">
        <v>571</v>
      </c>
      <c r="X573" s="25">
        <v>103.94620972081</v>
      </c>
      <c r="Y573" s="25">
        <v>6.74428950050598</v>
      </c>
      <c r="Z573" s="25">
        <v>0</v>
      </c>
      <c r="AA573" s="25">
        <v>1</v>
      </c>
      <c r="AB573" s="25">
        <v>0</v>
      </c>
    </row>
    <row r="574" spans="23:28">
      <c r="W574" s="24">
        <v>572</v>
      </c>
      <c r="X574" s="25">
        <v>100.239490344654</v>
      </c>
      <c r="Y574" s="25">
        <v>3.145321203445</v>
      </c>
      <c r="Z574" s="25">
        <v>0</v>
      </c>
      <c r="AA574" s="25">
        <v>1</v>
      </c>
      <c r="AB574" s="25">
        <v>0</v>
      </c>
    </row>
    <row r="575" spans="23:28">
      <c r="W575" s="24">
        <v>573</v>
      </c>
      <c r="X575" s="25">
        <v>111.994508314621</v>
      </c>
      <c r="Y575" s="25">
        <v>14.5586311177134</v>
      </c>
      <c r="Z575" s="25">
        <v>0</v>
      </c>
      <c r="AA575" s="25">
        <v>1</v>
      </c>
      <c r="AB575" s="25">
        <v>0</v>
      </c>
    </row>
    <row r="576" spans="23:28">
      <c r="W576" s="24">
        <v>574</v>
      </c>
      <c r="X576" s="25">
        <v>105.29673621253</v>
      </c>
      <c r="Y576" s="25">
        <v>8.05555737238947</v>
      </c>
      <c r="Z576" s="25">
        <v>0</v>
      </c>
      <c r="AA576" s="25">
        <v>1</v>
      </c>
      <c r="AB576" s="25">
        <v>0</v>
      </c>
    </row>
    <row r="577" spans="23:28">
      <c r="W577" s="24">
        <v>575</v>
      </c>
      <c r="X577" s="25">
        <v>100.356299407534</v>
      </c>
      <c r="Y577" s="25">
        <v>3.25873472938359</v>
      </c>
      <c r="Z577" s="25">
        <v>0</v>
      </c>
      <c r="AA577" s="25">
        <v>1</v>
      </c>
      <c r="AB577" s="25">
        <v>0</v>
      </c>
    </row>
    <row r="578" spans="23:28">
      <c r="W578" s="24">
        <v>576</v>
      </c>
      <c r="X578" s="25">
        <v>107.928414493016</v>
      </c>
      <c r="Y578" s="25">
        <v>10.6107350749312</v>
      </c>
      <c r="Z578" s="25">
        <v>0</v>
      </c>
      <c r="AA578" s="25">
        <v>1</v>
      </c>
      <c r="AB578" s="25">
        <v>0</v>
      </c>
    </row>
    <row r="579" spans="23:28">
      <c r="W579" s="24">
        <v>577</v>
      </c>
      <c r="X579" s="25">
        <v>120.740118979953</v>
      </c>
      <c r="Y579" s="25">
        <v>23.050014556512</v>
      </c>
      <c r="Z579" s="25">
        <v>0</v>
      </c>
      <c r="AA579" s="25">
        <v>1</v>
      </c>
      <c r="AB579" s="25">
        <v>0</v>
      </c>
    </row>
    <row r="580" spans="23:28">
      <c r="W580" s="24">
        <v>578</v>
      </c>
      <c r="X580" s="25">
        <v>120.357177730471</v>
      </c>
      <c r="Y580" s="25">
        <v>22.6782050730671</v>
      </c>
      <c r="Z580" s="25">
        <v>0</v>
      </c>
      <c r="AA580" s="25">
        <v>1</v>
      </c>
      <c r="AB580" s="25">
        <v>0</v>
      </c>
    </row>
    <row r="581" spans="23:28">
      <c r="W581" s="24">
        <v>579</v>
      </c>
      <c r="X581" s="25">
        <v>100.815574001975</v>
      </c>
      <c r="Y581" s="25">
        <v>3.70465861444273</v>
      </c>
      <c r="Z581" s="25">
        <v>0</v>
      </c>
      <c r="AA581" s="25">
        <v>1</v>
      </c>
      <c r="AB581" s="25">
        <v>0</v>
      </c>
    </row>
    <row r="582" spans="23:28">
      <c r="W582" s="24">
        <v>580</v>
      </c>
      <c r="X582" s="25">
        <v>102.470759504587</v>
      </c>
      <c r="Y582" s="25">
        <v>5.31172932715279</v>
      </c>
      <c r="Z582" s="25">
        <v>0</v>
      </c>
      <c r="AA582" s="25">
        <v>1</v>
      </c>
      <c r="AB582" s="25">
        <v>0</v>
      </c>
    </row>
    <row r="583" spans="23:28">
      <c r="W583" s="24">
        <v>581</v>
      </c>
      <c r="X583" s="25">
        <v>115.892346278717</v>
      </c>
      <c r="Y583" s="25">
        <v>18.3431623530959</v>
      </c>
      <c r="Z583" s="25">
        <v>0</v>
      </c>
      <c r="AA583" s="25">
        <v>1</v>
      </c>
      <c r="AB583" s="25">
        <v>0</v>
      </c>
    </row>
    <row r="584" spans="23:28">
      <c r="W584" s="24">
        <v>582</v>
      </c>
      <c r="X584" s="25">
        <v>100.87847881476</v>
      </c>
      <c r="Y584" s="25">
        <v>3.76573483952746</v>
      </c>
      <c r="Z584" s="25">
        <v>0</v>
      </c>
      <c r="AA584" s="25">
        <v>1</v>
      </c>
      <c r="AB584" s="25">
        <v>0</v>
      </c>
    </row>
    <row r="585" spans="23:28">
      <c r="W585" s="24">
        <v>583</v>
      </c>
      <c r="X585" s="25">
        <v>104.046055677805</v>
      </c>
      <c r="Y585" s="25">
        <v>6.84123302315982</v>
      </c>
      <c r="Z585" s="25">
        <v>0</v>
      </c>
      <c r="AA585" s="25">
        <v>1</v>
      </c>
      <c r="AB585" s="25">
        <v>0</v>
      </c>
    </row>
    <row r="586" spans="23:28">
      <c r="W586" s="24">
        <v>584</v>
      </c>
      <c r="X586" s="25">
        <v>101.677169040129</v>
      </c>
      <c r="Y586" s="25">
        <v>4.5412078410083</v>
      </c>
      <c r="Z586" s="25">
        <v>0</v>
      </c>
      <c r="AA586" s="25">
        <v>1</v>
      </c>
      <c r="AB586" s="25">
        <v>0</v>
      </c>
    </row>
    <row r="587" spans="23:28">
      <c r="W587" s="24">
        <v>585</v>
      </c>
      <c r="X587" s="25">
        <v>111.534393642693</v>
      </c>
      <c r="Y587" s="25">
        <v>14.1118915754824</v>
      </c>
      <c r="Z587" s="25">
        <v>0</v>
      </c>
      <c r="AA587" s="25">
        <v>1</v>
      </c>
      <c r="AB587" s="25">
        <v>0</v>
      </c>
    </row>
    <row r="588" spans="23:28">
      <c r="W588" s="24">
        <v>586</v>
      </c>
      <c r="X588" s="25">
        <v>105.176731833784</v>
      </c>
      <c r="Y588" s="25">
        <v>7.93904141561295</v>
      </c>
      <c r="Z588" s="25">
        <v>0</v>
      </c>
      <c r="AA588" s="25">
        <v>1</v>
      </c>
      <c r="AB588" s="25">
        <v>0</v>
      </c>
    </row>
    <row r="589" spans="23:28">
      <c r="W589" s="24">
        <v>587</v>
      </c>
      <c r="X589" s="25">
        <v>114.076129659277</v>
      </c>
      <c r="Y589" s="25">
        <v>16.5797415567969</v>
      </c>
      <c r="Z589" s="25">
        <v>0</v>
      </c>
      <c r="AA589" s="25">
        <v>1</v>
      </c>
      <c r="AB589" s="25">
        <v>0</v>
      </c>
    </row>
    <row r="590" spans="23:28">
      <c r="W590" s="24">
        <v>588</v>
      </c>
      <c r="X590" s="25">
        <v>110.807653198689</v>
      </c>
      <c r="Y590" s="25">
        <v>13.4062768383682</v>
      </c>
      <c r="Z590" s="25">
        <v>0</v>
      </c>
      <c r="AA590" s="25">
        <v>1</v>
      </c>
      <c r="AB590" s="25">
        <v>0</v>
      </c>
    </row>
    <row r="591" spans="23:28">
      <c r="W591" s="24">
        <v>589</v>
      </c>
      <c r="X591" s="25">
        <v>111.786045596935</v>
      </c>
      <c r="Y591" s="25">
        <v>14.3562282282749</v>
      </c>
      <c r="Z591" s="25">
        <v>0</v>
      </c>
      <c r="AA591" s="25">
        <v>0</v>
      </c>
      <c r="AB591" s="25">
        <v>0</v>
      </c>
    </row>
    <row r="592" spans="23:28">
      <c r="W592" s="24">
        <v>590</v>
      </c>
      <c r="X592" s="25">
        <v>97.2443503242666</v>
      </c>
      <c r="Y592" s="25">
        <v>0.237247274792058</v>
      </c>
      <c r="Z592" s="25">
        <v>0</v>
      </c>
      <c r="AA592" s="25">
        <v>1</v>
      </c>
      <c r="AB592" s="25">
        <v>0</v>
      </c>
    </row>
    <row r="593" spans="23:28">
      <c r="W593" s="24">
        <v>591</v>
      </c>
      <c r="X593" s="25">
        <v>115.390410722465</v>
      </c>
      <c r="Y593" s="25">
        <v>17.8558176229447</v>
      </c>
      <c r="Z593" s="25">
        <v>0</v>
      </c>
      <c r="AA593" s="25">
        <v>1</v>
      </c>
      <c r="AB593" s="25">
        <v>0</v>
      </c>
    </row>
    <row r="594" spans="23:28">
      <c r="W594" s="24">
        <v>592</v>
      </c>
      <c r="X594" s="25">
        <v>107.528567771541</v>
      </c>
      <c r="Y594" s="25">
        <v>10.222511546727</v>
      </c>
      <c r="Z594" s="25">
        <v>0</v>
      </c>
      <c r="AA594" s="25">
        <v>0</v>
      </c>
      <c r="AB594" s="25">
        <v>0</v>
      </c>
    </row>
    <row r="595" spans="23:28">
      <c r="W595" s="24">
        <v>593</v>
      </c>
      <c r="X595" s="25">
        <v>96.864977656911</v>
      </c>
      <c r="Y595" s="25">
        <v>0</v>
      </c>
      <c r="Z595" s="25">
        <v>0.131097362076565</v>
      </c>
      <c r="AA595" s="25">
        <v>1</v>
      </c>
      <c r="AB595" s="25">
        <v>0</v>
      </c>
    </row>
    <row r="596" spans="23:28">
      <c r="W596" s="24">
        <v>594</v>
      </c>
      <c r="X596" s="25">
        <v>103.460712419489</v>
      </c>
      <c r="Y596" s="25">
        <v>6.27290517964226</v>
      </c>
      <c r="Z596" s="25">
        <v>0</v>
      </c>
      <c r="AA596" s="25">
        <v>0</v>
      </c>
      <c r="AB596" s="25">
        <v>1</v>
      </c>
    </row>
    <row r="597" spans="23:28">
      <c r="W597" s="24">
        <v>595</v>
      </c>
      <c r="X597" s="25">
        <v>95.6969548883499</v>
      </c>
      <c r="Y597" s="25">
        <v>0</v>
      </c>
      <c r="Z597" s="25">
        <v>1.26516673386053</v>
      </c>
      <c r="AA597" s="25">
        <v>1</v>
      </c>
      <c r="AB597" s="25">
        <v>0</v>
      </c>
    </row>
    <row r="598" spans="23:28">
      <c r="W598" s="24">
        <v>596</v>
      </c>
      <c r="X598" s="25">
        <v>114.175272579729</v>
      </c>
      <c r="Y598" s="25">
        <v>16.6760024795627</v>
      </c>
      <c r="Z598" s="25">
        <v>0</v>
      </c>
      <c r="AA598" s="25">
        <v>1</v>
      </c>
      <c r="AB598" s="25">
        <v>0</v>
      </c>
    </row>
    <row r="599" spans="23:28">
      <c r="W599" s="24">
        <v>597</v>
      </c>
      <c r="X599" s="25">
        <v>106.75828468683</v>
      </c>
      <c r="Y599" s="25">
        <v>9.47461991525694</v>
      </c>
      <c r="Z599" s="25">
        <v>0</v>
      </c>
      <c r="AA599" s="25">
        <v>1</v>
      </c>
      <c r="AB599" s="25">
        <v>0</v>
      </c>
    </row>
    <row r="600" spans="23:28">
      <c r="W600" s="24">
        <v>598</v>
      </c>
      <c r="X600" s="25">
        <v>99.8835307341974</v>
      </c>
      <c r="Y600" s="25">
        <v>2.7997090264596</v>
      </c>
      <c r="Z600" s="25">
        <v>0</v>
      </c>
      <c r="AA600" s="25">
        <v>1</v>
      </c>
      <c r="AB600" s="25">
        <v>0</v>
      </c>
    </row>
    <row r="601" spans="23:28">
      <c r="W601" s="24">
        <v>599</v>
      </c>
      <c r="X601" s="25">
        <v>104.583990835564</v>
      </c>
      <c r="Y601" s="25">
        <v>7.36353087799709</v>
      </c>
      <c r="Z601" s="25">
        <v>0</v>
      </c>
      <c r="AA601" s="25">
        <v>1</v>
      </c>
      <c r="AB601" s="25">
        <v>0</v>
      </c>
    </row>
    <row r="602" spans="23:28">
      <c r="W602" s="24">
        <v>600</v>
      </c>
      <c r="X602" s="25">
        <v>103.830318006192</v>
      </c>
      <c r="Y602" s="25">
        <v>6.63176665632048</v>
      </c>
      <c r="Z602" s="25">
        <v>0</v>
      </c>
      <c r="AA602" s="25">
        <v>1</v>
      </c>
      <c r="AB602" s="25">
        <v>0</v>
      </c>
    </row>
    <row r="603" spans="23:28">
      <c r="W603" s="24">
        <v>601</v>
      </c>
      <c r="X603" s="25">
        <v>104.852609101919</v>
      </c>
      <c r="Y603" s="25">
        <v>7.62434064709978</v>
      </c>
      <c r="Z603" s="25">
        <v>0</v>
      </c>
      <c r="AA603" s="25">
        <v>0</v>
      </c>
      <c r="AB603" s="25">
        <v>0</v>
      </c>
    </row>
    <row r="604" spans="23:28">
      <c r="W604" s="24">
        <v>602</v>
      </c>
      <c r="X604" s="25">
        <v>96.8539689308836</v>
      </c>
      <c r="Y604" s="25">
        <v>0</v>
      </c>
      <c r="Z604" s="25">
        <v>0.141786074100058</v>
      </c>
      <c r="AA604" s="25">
        <v>1</v>
      </c>
      <c r="AB604" s="25">
        <v>0</v>
      </c>
    </row>
    <row r="605" spans="23:28">
      <c r="W605" s="24">
        <v>603</v>
      </c>
      <c r="X605" s="25">
        <v>108.115086361561</v>
      </c>
      <c r="Y605" s="25">
        <v>10.7919805560885</v>
      </c>
      <c r="Z605" s="25">
        <v>0</v>
      </c>
      <c r="AA605" s="25">
        <v>1</v>
      </c>
      <c r="AB605" s="25">
        <v>0</v>
      </c>
    </row>
    <row r="606" spans="23:28">
      <c r="W606" s="24">
        <v>604</v>
      </c>
      <c r="X606" s="25">
        <v>119.58478180429</v>
      </c>
      <c r="Y606" s="25">
        <v>21.9282620185744</v>
      </c>
      <c r="Z606" s="25">
        <v>0</v>
      </c>
      <c r="AA606" s="25">
        <v>0</v>
      </c>
      <c r="AB606" s="25">
        <v>0</v>
      </c>
    </row>
    <row r="607" spans="23:28">
      <c r="W607" s="24">
        <v>605</v>
      </c>
      <c r="X607" s="25">
        <v>95.8870778784518</v>
      </c>
      <c r="Y607" s="25">
        <v>0</v>
      </c>
      <c r="Z607" s="25">
        <v>1.08057045222106</v>
      </c>
      <c r="AA607" s="25">
        <v>1</v>
      </c>
      <c r="AB607" s="25">
        <v>0</v>
      </c>
    </row>
    <row r="608" spans="23:28">
      <c r="W608" s="24">
        <v>606</v>
      </c>
      <c r="X608" s="25">
        <v>106.557944190546</v>
      </c>
      <c r="Y608" s="25">
        <v>9.28010314137209</v>
      </c>
      <c r="Z608" s="25">
        <v>0</v>
      </c>
      <c r="AA608" s="25">
        <v>1</v>
      </c>
      <c r="AB608" s="25">
        <v>0</v>
      </c>
    </row>
    <row r="609" spans="23:28">
      <c r="W609" s="24">
        <v>607</v>
      </c>
      <c r="X609" s="25">
        <v>109.073112610038</v>
      </c>
      <c r="Y609" s="25">
        <v>11.7221578223255</v>
      </c>
      <c r="Z609" s="25">
        <v>0</v>
      </c>
      <c r="AA609" s="25">
        <v>1</v>
      </c>
      <c r="AB609" s="25">
        <v>0</v>
      </c>
    </row>
    <row r="610" spans="23:28">
      <c r="W610" s="24">
        <v>608</v>
      </c>
      <c r="X610" s="25">
        <v>99.3419808332005</v>
      </c>
      <c r="Y610" s="25">
        <v>2.27390150579818</v>
      </c>
      <c r="Z610" s="25">
        <v>0</v>
      </c>
      <c r="AA610" s="25">
        <v>1</v>
      </c>
      <c r="AB610" s="25">
        <v>0</v>
      </c>
    </row>
    <row r="611" spans="23:28">
      <c r="W611" s="24">
        <v>609</v>
      </c>
      <c r="X611" s="25">
        <v>99.2156485441102</v>
      </c>
      <c r="Y611" s="25">
        <v>2.15124158547739</v>
      </c>
      <c r="Z611" s="25">
        <v>0</v>
      </c>
      <c r="AA611" s="25">
        <v>1</v>
      </c>
      <c r="AB611" s="25">
        <v>0</v>
      </c>
    </row>
    <row r="612" spans="23:28">
      <c r="W612" s="24">
        <v>610</v>
      </c>
      <c r="X612" s="25">
        <v>105.176181557616</v>
      </c>
      <c r="Y612" s="25">
        <v>7.93850713549016</v>
      </c>
      <c r="Z612" s="25">
        <v>0</v>
      </c>
      <c r="AA612" s="25">
        <v>1</v>
      </c>
      <c r="AB612" s="25">
        <v>0</v>
      </c>
    </row>
    <row r="613" spans="23:28">
      <c r="W613" s="24">
        <v>611</v>
      </c>
      <c r="X613" s="25">
        <v>110.526503162334</v>
      </c>
      <c r="Y613" s="25">
        <v>13.1332995868218</v>
      </c>
      <c r="Z613" s="25">
        <v>0</v>
      </c>
      <c r="AA613" s="25">
        <v>1</v>
      </c>
      <c r="AB613" s="25">
        <v>0</v>
      </c>
    </row>
    <row r="614" spans="23:28">
      <c r="W614" s="24">
        <v>612</v>
      </c>
      <c r="X614" s="25">
        <v>99.7999345526104</v>
      </c>
      <c r="Y614" s="25">
        <v>2.71854291250389</v>
      </c>
      <c r="Z614" s="25">
        <v>0</v>
      </c>
      <c r="AA614" s="25">
        <v>1</v>
      </c>
      <c r="AB614" s="25">
        <v>0</v>
      </c>
    </row>
    <row r="615" spans="23:28">
      <c r="W615" s="24">
        <v>613</v>
      </c>
      <c r="X615" s="25">
        <v>113.4816376605</v>
      </c>
      <c r="Y615" s="25">
        <v>16.0025309186731</v>
      </c>
      <c r="Z615" s="25">
        <v>0</v>
      </c>
      <c r="AA615" s="25">
        <v>1</v>
      </c>
      <c r="AB615" s="25">
        <v>0</v>
      </c>
    </row>
    <row r="616" spans="23:28">
      <c r="W616" s="24">
        <v>614</v>
      </c>
      <c r="X616" s="25">
        <v>103.94867803125</v>
      </c>
      <c r="Y616" s="25">
        <v>6.74668605932784</v>
      </c>
      <c r="Z616" s="25">
        <v>0</v>
      </c>
      <c r="AA616" s="25">
        <v>1</v>
      </c>
      <c r="AB616" s="25">
        <v>0</v>
      </c>
    </row>
    <row r="617" spans="23:28">
      <c r="W617" s="24">
        <v>615</v>
      </c>
      <c r="X617" s="25">
        <v>108.551959033569</v>
      </c>
      <c r="Y617" s="25">
        <v>11.2161537229386</v>
      </c>
      <c r="Z617" s="25">
        <v>0</v>
      </c>
      <c r="AA617" s="25">
        <v>1</v>
      </c>
      <c r="AB617" s="25">
        <v>0</v>
      </c>
    </row>
    <row r="618" spans="23:28">
      <c r="W618" s="24">
        <v>616</v>
      </c>
      <c r="X618" s="25">
        <v>108.733546523131</v>
      </c>
      <c r="Y618" s="25">
        <v>11.3924626235471</v>
      </c>
      <c r="Z618" s="25">
        <v>0</v>
      </c>
      <c r="AA618" s="25">
        <v>0</v>
      </c>
      <c r="AB618" s="25">
        <v>1</v>
      </c>
    </row>
    <row r="619" spans="23:28">
      <c r="W619" s="24">
        <v>617</v>
      </c>
      <c r="X619" s="25">
        <v>94.1459043673538</v>
      </c>
      <c r="Y619" s="25">
        <v>0</v>
      </c>
      <c r="Z619" s="25">
        <v>2.77112957747705</v>
      </c>
      <c r="AA619" s="25">
        <v>1</v>
      </c>
      <c r="AB619" s="25">
        <v>0</v>
      </c>
    </row>
    <row r="620" spans="23:28">
      <c r="W620" s="24">
        <v>618</v>
      </c>
      <c r="X620" s="25">
        <v>110.422689737759</v>
      </c>
      <c r="Y620" s="25">
        <v>13.0325039273877</v>
      </c>
      <c r="Z620" s="25">
        <v>0</v>
      </c>
      <c r="AA620" s="25">
        <v>0</v>
      </c>
      <c r="AB620" s="25">
        <v>1</v>
      </c>
    </row>
    <row r="621" spans="23:28">
      <c r="W621" s="24">
        <v>619</v>
      </c>
      <c r="X621" s="25">
        <v>95.0693462279933</v>
      </c>
      <c r="Y621" s="25">
        <v>0</v>
      </c>
      <c r="Z621" s="25">
        <v>1.8745313612757</v>
      </c>
      <c r="AA621" s="25">
        <v>1</v>
      </c>
      <c r="AB621" s="25">
        <v>0</v>
      </c>
    </row>
    <row r="622" spans="23:28">
      <c r="W622" s="24">
        <v>620</v>
      </c>
      <c r="X622" s="25">
        <v>110.790649582722</v>
      </c>
      <c r="Y622" s="25">
        <v>13.3897675025945</v>
      </c>
      <c r="Z622" s="25">
        <v>0</v>
      </c>
      <c r="AA622" s="25">
        <v>0</v>
      </c>
      <c r="AB622" s="25">
        <v>1</v>
      </c>
    </row>
    <row r="623" spans="23:28">
      <c r="W623" s="24">
        <v>621</v>
      </c>
      <c r="X623" s="25">
        <v>92.9280088817601</v>
      </c>
      <c r="Y623" s="25">
        <v>0</v>
      </c>
      <c r="Z623" s="25">
        <v>3.95362191017981</v>
      </c>
      <c r="AA623" s="25">
        <v>1</v>
      </c>
      <c r="AB623" s="25">
        <v>0</v>
      </c>
    </row>
    <row r="624" spans="23:28">
      <c r="W624" s="24">
        <v>622</v>
      </c>
      <c r="X624" s="25">
        <v>112.111368569842</v>
      </c>
      <c r="Y624" s="25">
        <v>14.6720943478766</v>
      </c>
      <c r="Z624" s="25">
        <v>0</v>
      </c>
      <c r="AA624" s="25">
        <v>0</v>
      </c>
      <c r="AB624" s="25">
        <v>1</v>
      </c>
    </row>
    <row r="625" spans="23:28">
      <c r="W625" s="24">
        <v>623</v>
      </c>
      <c r="X625" s="25">
        <v>90.5460747742954</v>
      </c>
      <c r="Y625" s="25">
        <v>0</v>
      </c>
      <c r="Z625" s="25">
        <v>6.26631528362402</v>
      </c>
      <c r="AA625" s="25">
        <v>1</v>
      </c>
      <c r="AB625" s="25">
        <v>0</v>
      </c>
    </row>
    <row r="626" spans="23:28">
      <c r="W626" s="24">
        <v>624</v>
      </c>
      <c r="X626" s="25">
        <v>99.7839416422953</v>
      </c>
      <c r="Y626" s="25">
        <v>2.70301490205562</v>
      </c>
      <c r="Z626" s="25">
        <v>0</v>
      </c>
      <c r="AA626" s="25">
        <v>0</v>
      </c>
      <c r="AB626" s="25">
        <v>1</v>
      </c>
    </row>
    <row r="627" spans="23:28">
      <c r="W627" s="24">
        <v>625</v>
      </c>
      <c r="X627" s="25">
        <v>93.6592134228183</v>
      </c>
      <c r="Y627" s="25">
        <v>0</v>
      </c>
      <c r="Z627" s="25">
        <v>3.24367284339499</v>
      </c>
      <c r="AA627" s="25">
        <v>1</v>
      </c>
      <c r="AB627" s="25">
        <v>0</v>
      </c>
    </row>
    <row r="628" spans="23:28">
      <c r="W628" s="24">
        <v>626</v>
      </c>
      <c r="X628" s="25">
        <v>105.32206079831</v>
      </c>
      <c r="Y628" s="25">
        <v>8.08014579468674</v>
      </c>
      <c r="Z628" s="25">
        <v>0</v>
      </c>
      <c r="AA628" s="25">
        <v>1</v>
      </c>
      <c r="AB628" s="25">
        <v>0</v>
      </c>
    </row>
    <row r="629" spans="23:28">
      <c r="W629" s="24">
        <v>627</v>
      </c>
      <c r="X629" s="25">
        <v>105.794739912749</v>
      </c>
      <c r="Y629" s="25">
        <v>8.53908454211189</v>
      </c>
      <c r="Z629" s="25">
        <v>0</v>
      </c>
      <c r="AA629" s="25">
        <v>1</v>
      </c>
      <c r="AB629" s="25">
        <v>0</v>
      </c>
    </row>
    <row r="630" spans="23:28">
      <c r="W630" s="24">
        <v>628</v>
      </c>
      <c r="X630" s="25">
        <v>105.338134374724</v>
      </c>
      <c r="Y630" s="25">
        <v>8.0957521263408</v>
      </c>
      <c r="Z630" s="25">
        <v>0</v>
      </c>
      <c r="AA630" s="25">
        <v>1</v>
      </c>
      <c r="AB630" s="25">
        <v>0</v>
      </c>
    </row>
    <row r="631" spans="23:28">
      <c r="W631" s="24">
        <v>629</v>
      </c>
      <c r="X631" s="25">
        <v>110.516793567412</v>
      </c>
      <c r="Y631" s="25">
        <v>13.1238722413025</v>
      </c>
      <c r="Z631" s="25">
        <v>0</v>
      </c>
      <c r="AA631" s="25">
        <v>1</v>
      </c>
      <c r="AB631" s="25">
        <v>0</v>
      </c>
    </row>
    <row r="632" spans="23:28">
      <c r="W632" s="24">
        <v>630</v>
      </c>
      <c r="X632" s="25">
        <v>107.096186357762</v>
      </c>
      <c r="Y632" s="25">
        <v>9.80269908117078</v>
      </c>
      <c r="Z632" s="25">
        <v>0</v>
      </c>
      <c r="AA632" s="25">
        <v>1</v>
      </c>
      <c r="AB632" s="25">
        <v>0</v>
      </c>
    </row>
    <row r="633" spans="23:28">
      <c r="W633" s="24">
        <v>631</v>
      </c>
      <c r="X633" s="25">
        <v>108.169436827337</v>
      </c>
      <c r="Y633" s="25">
        <v>10.8447511015245</v>
      </c>
      <c r="Z633" s="25">
        <v>0</v>
      </c>
      <c r="AA633" s="25">
        <v>1</v>
      </c>
      <c r="AB633" s="25">
        <v>0</v>
      </c>
    </row>
    <row r="634" spans="23:28">
      <c r="W634" s="24">
        <v>632</v>
      </c>
      <c r="X634" s="25">
        <v>105.305559930772</v>
      </c>
      <c r="Y634" s="25">
        <v>8.06412459288561</v>
      </c>
      <c r="Z634" s="25">
        <v>0</v>
      </c>
      <c r="AA634" s="25">
        <v>1</v>
      </c>
      <c r="AB634" s="25">
        <v>0</v>
      </c>
    </row>
    <row r="635" spans="23:28">
      <c r="W635" s="24">
        <v>633</v>
      </c>
      <c r="X635" s="25">
        <v>101.049278859653</v>
      </c>
      <c r="Y635" s="25">
        <v>3.93156987701706</v>
      </c>
      <c r="Z635" s="25">
        <v>0</v>
      </c>
      <c r="AA635" s="25">
        <v>1</v>
      </c>
      <c r="AB635" s="25">
        <v>0</v>
      </c>
    </row>
    <row r="636" spans="23:28">
      <c r="W636" s="24">
        <v>634</v>
      </c>
      <c r="X636" s="25">
        <v>115.775830329169</v>
      </c>
      <c r="Y636" s="25">
        <v>18.2300334199419</v>
      </c>
      <c r="Z636" s="25">
        <v>0</v>
      </c>
      <c r="AA636" s="25">
        <v>1</v>
      </c>
      <c r="AB636" s="25">
        <v>0</v>
      </c>
    </row>
    <row r="637" spans="23:28">
      <c r="W637" s="24">
        <v>635</v>
      </c>
      <c r="X637" s="25">
        <v>103.561477338217</v>
      </c>
      <c r="Y637" s="25">
        <v>6.37074095061788</v>
      </c>
      <c r="Z637" s="25">
        <v>0</v>
      </c>
      <c r="AA637" s="25">
        <v>0</v>
      </c>
      <c r="AB637" s="25">
        <v>1</v>
      </c>
    </row>
    <row r="638" spans="23:28">
      <c r="W638" s="24">
        <v>636</v>
      </c>
      <c r="X638" s="25">
        <v>94.8435179281705</v>
      </c>
      <c r="Y638" s="25">
        <v>0</v>
      </c>
      <c r="Z638" s="25">
        <v>2.09379503061893</v>
      </c>
      <c r="AA638" s="25">
        <v>1</v>
      </c>
      <c r="AB638" s="25">
        <v>0</v>
      </c>
    </row>
    <row r="639" spans="23:28">
      <c r="W639" s="24">
        <v>637</v>
      </c>
      <c r="X639" s="25">
        <v>117.215450824652</v>
      </c>
      <c r="Y639" s="25">
        <v>19.6278054110913</v>
      </c>
      <c r="Z639" s="25">
        <v>0</v>
      </c>
      <c r="AA639" s="25">
        <v>1</v>
      </c>
      <c r="AB639" s="25">
        <v>0</v>
      </c>
    </row>
    <row r="640" spans="23:28">
      <c r="W640" s="24">
        <v>638</v>
      </c>
      <c r="X640" s="25">
        <v>100.594342507172</v>
      </c>
      <c r="Y640" s="25">
        <v>3.48985812503129</v>
      </c>
      <c r="Z640" s="25">
        <v>0</v>
      </c>
      <c r="AA640" s="25">
        <v>1</v>
      </c>
      <c r="AB640" s="25">
        <v>0</v>
      </c>
    </row>
    <row r="641" spans="23:28">
      <c r="W641" s="24">
        <v>639</v>
      </c>
      <c r="X641" s="25">
        <v>111.863723858943</v>
      </c>
      <c r="Y641" s="25">
        <v>14.4316484513797</v>
      </c>
      <c r="Z641" s="25">
        <v>0</v>
      </c>
      <c r="AA641" s="25">
        <v>1</v>
      </c>
      <c r="AB641" s="25">
        <v>0</v>
      </c>
    </row>
    <row r="642" spans="23:28">
      <c r="W642" s="24">
        <v>640</v>
      </c>
      <c r="X642" s="25">
        <v>100.607923645083</v>
      </c>
      <c r="Y642" s="25">
        <v>3.50304447118286</v>
      </c>
      <c r="Z642" s="25">
        <v>0</v>
      </c>
      <c r="AA642" s="25">
        <v>1</v>
      </c>
      <c r="AB642" s="25">
        <v>0</v>
      </c>
    </row>
    <row r="643" spans="23:28">
      <c r="W643" s="24">
        <v>641</v>
      </c>
      <c r="X643" s="25">
        <v>106.729579882118</v>
      </c>
      <c r="Y643" s="25">
        <v>9.44674953402522</v>
      </c>
      <c r="Z643" s="25">
        <v>0</v>
      </c>
      <c r="AA643" s="25">
        <v>1</v>
      </c>
      <c r="AB643" s="25">
        <v>0</v>
      </c>
    </row>
    <row r="644" spans="23:28">
      <c r="W644" s="24">
        <v>642</v>
      </c>
      <c r="X644" s="25">
        <v>98.6463925334199</v>
      </c>
      <c r="Y644" s="25">
        <v>1.59853334741525</v>
      </c>
      <c r="Z644" s="25">
        <v>0</v>
      </c>
      <c r="AA644" s="25">
        <v>1</v>
      </c>
      <c r="AB644" s="25">
        <v>0</v>
      </c>
    </row>
    <row r="645" spans="23:28">
      <c r="W645" s="24">
        <v>643</v>
      </c>
      <c r="X645" s="25">
        <v>110.584191968844</v>
      </c>
      <c r="Y645" s="25">
        <v>13.1893114303566</v>
      </c>
      <c r="Z645" s="25">
        <v>0</v>
      </c>
      <c r="AA645" s="25">
        <v>1</v>
      </c>
      <c r="AB645" s="25">
        <v>0</v>
      </c>
    </row>
    <row r="646" spans="23:28">
      <c r="W646" s="24">
        <v>644</v>
      </c>
      <c r="X646" s="25">
        <v>99.5564114543288</v>
      </c>
      <c r="Y646" s="25">
        <v>2.4820988169635</v>
      </c>
      <c r="Z646" s="25">
        <v>0</v>
      </c>
      <c r="AA646" s="25">
        <v>1</v>
      </c>
      <c r="AB646" s="25">
        <v>0</v>
      </c>
    </row>
    <row r="647" spans="23:28">
      <c r="W647" s="24">
        <v>645</v>
      </c>
      <c r="X647" s="25">
        <v>99.3525833429318</v>
      </c>
      <c r="Y647" s="25">
        <v>2.28419580987679</v>
      </c>
      <c r="Z647" s="25">
        <v>0</v>
      </c>
      <c r="AA647" s="25">
        <v>1</v>
      </c>
      <c r="AB647" s="25">
        <v>0</v>
      </c>
    </row>
    <row r="648" spans="23:28">
      <c r="W648" s="24">
        <v>646</v>
      </c>
      <c r="X648" s="25">
        <v>104.198806719136</v>
      </c>
      <c r="Y648" s="25">
        <v>6.98954372578024</v>
      </c>
      <c r="Z648" s="25">
        <v>0</v>
      </c>
      <c r="AA648" s="25">
        <v>1</v>
      </c>
      <c r="AB648" s="25">
        <v>0</v>
      </c>
    </row>
    <row r="649" spans="23:28">
      <c r="W649" s="24">
        <v>647</v>
      </c>
      <c r="X649" s="25">
        <v>99.8214719766503</v>
      </c>
      <c r="Y649" s="25">
        <v>2.73945426252914</v>
      </c>
      <c r="Z649" s="25">
        <v>0</v>
      </c>
      <c r="AA649" s="25">
        <v>1</v>
      </c>
      <c r="AB649" s="25">
        <v>0</v>
      </c>
    </row>
    <row r="650" spans="23:28">
      <c r="W650" s="24">
        <v>648</v>
      </c>
      <c r="X650" s="25">
        <v>117.624046352664</v>
      </c>
      <c r="Y650" s="25">
        <v>20.0245234257049</v>
      </c>
      <c r="Z650" s="25">
        <v>0</v>
      </c>
      <c r="AA650" s="25">
        <v>0</v>
      </c>
      <c r="AB650" s="25">
        <v>0</v>
      </c>
    </row>
    <row r="651" spans="23:28">
      <c r="W651" s="24">
        <v>649</v>
      </c>
      <c r="X651" s="25">
        <v>96.5239784083891</v>
      </c>
      <c r="Y651" s="25">
        <v>0</v>
      </c>
      <c r="Z651" s="25">
        <v>0.462184061718917</v>
      </c>
      <c r="AA651" s="25">
        <v>1</v>
      </c>
      <c r="AB651" s="25">
        <v>0</v>
      </c>
    </row>
    <row r="652" spans="23:28">
      <c r="W652" s="24">
        <v>650</v>
      </c>
      <c r="X652" s="25">
        <v>105.641217936398</v>
      </c>
      <c r="Y652" s="25">
        <v>8.3900253148755</v>
      </c>
      <c r="Z652" s="25">
        <v>0</v>
      </c>
      <c r="AA652" s="25">
        <v>1</v>
      </c>
      <c r="AB652" s="25">
        <v>0</v>
      </c>
    </row>
    <row r="653" spans="23:28">
      <c r="W653" s="24">
        <v>651</v>
      </c>
      <c r="X653" s="25">
        <v>121.328696425786</v>
      </c>
      <c r="Y653" s="25">
        <v>23.6214825725546</v>
      </c>
      <c r="Z653" s="25">
        <v>0</v>
      </c>
      <c r="AA653" s="25">
        <v>1</v>
      </c>
      <c r="AB653" s="25">
        <v>0</v>
      </c>
    </row>
    <row r="654" spans="23:28">
      <c r="W654" s="24">
        <v>652</v>
      </c>
      <c r="X654" s="25">
        <v>104.240695047721</v>
      </c>
      <c r="Y654" s="25">
        <v>7.03021439741589</v>
      </c>
      <c r="Z654" s="25">
        <v>0</v>
      </c>
      <c r="AA654" s="25">
        <v>1</v>
      </c>
      <c r="AB654" s="25">
        <v>0</v>
      </c>
    </row>
    <row r="655" spans="23:28">
      <c r="W655" s="24">
        <v>653</v>
      </c>
      <c r="X655" s="25">
        <v>98.9007031537006</v>
      </c>
      <c r="Y655" s="25">
        <v>1.8454513811579</v>
      </c>
      <c r="Z655" s="25">
        <v>0</v>
      </c>
      <c r="AA655" s="25">
        <v>1</v>
      </c>
      <c r="AB655" s="25">
        <v>0</v>
      </c>
    </row>
    <row r="656" spans="23:28">
      <c r="W656" s="24">
        <v>654</v>
      </c>
      <c r="X656" s="25">
        <v>104.945072405839</v>
      </c>
      <c r="Y656" s="25">
        <v>7.714116123924</v>
      </c>
      <c r="Z656" s="25">
        <v>0</v>
      </c>
      <c r="AA656" s="25">
        <v>0</v>
      </c>
      <c r="AB656" s="25">
        <v>1</v>
      </c>
    </row>
    <row r="657" spans="23:28">
      <c r="W657" s="24">
        <v>655</v>
      </c>
      <c r="X657" s="25">
        <v>95.096082211718</v>
      </c>
      <c r="Y657" s="25">
        <v>0</v>
      </c>
      <c r="Z657" s="25">
        <v>1.84857256913328</v>
      </c>
      <c r="AA657" s="25">
        <v>1</v>
      </c>
      <c r="AB657" s="25">
        <v>0</v>
      </c>
    </row>
    <row r="658" spans="23:28">
      <c r="W658" s="24">
        <v>656</v>
      </c>
      <c r="X658" s="25">
        <v>114.055864593782</v>
      </c>
      <c r="Y658" s="25">
        <v>16.5600655789697</v>
      </c>
      <c r="Z658" s="25">
        <v>0</v>
      </c>
      <c r="AA658" s="25">
        <v>1</v>
      </c>
      <c r="AB658" s="25">
        <v>0</v>
      </c>
    </row>
    <row r="659" spans="23:28">
      <c r="W659" s="24">
        <v>657</v>
      </c>
      <c r="X659" s="25">
        <v>103.979064219703</v>
      </c>
      <c r="Y659" s="25">
        <v>6.77618894795078</v>
      </c>
      <c r="Z659" s="25">
        <v>0</v>
      </c>
      <c r="AA659" s="25">
        <v>1</v>
      </c>
      <c r="AB659" s="25">
        <v>0</v>
      </c>
    </row>
    <row r="660" spans="23:28">
      <c r="W660" s="24">
        <v>658</v>
      </c>
      <c r="X660" s="25">
        <v>115.192132692983</v>
      </c>
      <c r="Y660" s="25">
        <v>17.6633033617634</v>
      </c>
      <c r="Z660" s="25">
        <v>0</v>
      </c>
      <c r="AA660" s="25">
        <v>1</v>
      </c>
      <c r="AB660" s="25">
        <v>0</v>
      </c>
    </row>
    <row r="661" spans="23:28">
      <c r="W661" s="24">
        <v>659</v>
      </c>
      <c r="X661" s="25">
        <v>99.3481539504053</v>
      </c>
      <c r="Y661" s="25">
        <v>2.2798951759037</v>
      </c>
      <c r="Z661" s="25">
        <v>0</v>
      </c>
      <c r="AA661" s="25">
        <v>1</v>
      </c>
      <c r="AB661" s="25">
        <v>0</v>
      </c>
    </row>
    <row r="662" spans="23:28">
      <c r="W662" s="24">
        <v>660</v>
      </c>
      <c r="X662" s="25">
        <v>108.581082559131</v>
      </c>
      <c r="Y662" s="25">
        <v>11.244430653172</v>
      </c>
      <c r="Z662" s="25">
        <v>0</v>
      </c>
      <c r="AA662" s="25">
        <v>0</v>
      </c>
      <c r="AB662" s="25">
        <v>0</v>
      </c>
    </row>
    <row r="663" spans="23:28">
      <c r="W663" s="24">
        <v>661</v>
      </c>
      <c r="X663" s="25">
        <v>96.1332526756101</v>
      </c>
      <c r="Y663" s="25">
        <v>0</v>
      </c>
      <c r="Z663" s="25">
        <v>0.841551740363006</v>
      </c>
      <c r="AA663" s="25">
        <v>1</v>
      </c>
      <c r="AB663" s="25">
        <v>0</v>
      </c>
    </row>
    <row r="664" spans="23:28">
      <c r="W664" s="24">
        <v>662</v>
      </c>
      <c r="X664" s="25">
        <v>110.152347491211</v>
      </c>
      <c r="Y664" s="25">
        <v>12.7700202926834</v>
      </c>
      <c r="Z664" s="25">
        <v>0</v>
      </c>
      <c r="AA664" s="25">
        <v>1</v>
      </c>
      <c r="AB664" s="25">
        <v>0</v>
      </c>
    </row>
    <row r="665" spans="23:28">
      <c r="W665" s="24">
        <v>663</v>
      </c>
      <c r="X665" s="25">
        <v>113.403671078104</v>
      </c>
      <c r="Y665" s="25">
        <v>15.926830756401</v>
      </c>
      <c r="Z665" s="25">
        <v>0</v>
      </c>
      <c r="AA665" s="25">
        <v>1</v>
      </c>
      <c r="AB665" s="25">
        <v>0</v>
      </c>
    </row>
    <row r="666" spans="23:28">
      <c r="W666" s="24">
        <v>664</v>
      </c>
      <c r="X666" s="25">
        <v>117.939203954251</v>
      </c>
      <c r="Y666" s="25">
        <v>20.3305196724086</v>
      </c>
      <c r="Z666" s="25">
        <v>0</v>
      </c>
      <c r="AA666" s="25">
        <v>1</v>
      </c>
      <c r="AB666" s="25">
        <v>0</v>
      </c>
    </row>
    <row r="667" spans="23:28">
      <c r="W667" s="24">
        <v>665</v>
      </c>
      <c r="X667" s="25">
        <v>98.6979902407039</v>
      </c>
      <c r="Y667" s="25">
        <v>1.64863115463286</v>
      </c>
      <c r="Z667" s="25">
        <v>0</v>
      </c>
      <c r="AA667" s="25">
        <v>1</v>
      </c>
      <c r="AB667" s="25">
        <v>0</v>
      </c>
    </row>
    <row r="668" spans="23:28">
      <c r="W668" s="24">
        <v>666</v>
      </c>
      <c r="X668" s="25">
        <v>110.177050291056</v>
      </c>
      <c r="Y668" s="25">
        <v>12.7940050038174</v>
      </c>
      <c r="Z668" s="25">
        <v>0</v>
      </c>
      <c r="AA668" s="25">
        <v>1</v>
      </c>
      <c r="AB668" s="25">
        <v>0</v>
      </c>
    </row>
    <row r="669" spans="23:28">
      <c r="W669" s="24">
        <v>667</v>
      </c>
      <c r="X669" s="25">
        <v>102.208682086984</v>
      </c>
      <c r="Y669" s="25">
        <v>5.0572702700698</v>
      </c>
      <c r="Z669" s="25">
        <v>0</v>
      </c>
      <c r="AA669" s="25">
        <v>1</v>
      </c>
      <c r="AB669" s="25">
        <v>0</v>
      </c>
    </row>
    <row r="670" spans="23:28">
      <c r="W670" s="24">
        <v>668</v>
      </c>
      <c r="X670" s="25">
        <v>101.91412632889</v>
      </c>
      <c r="Y670" s="25">
        <v>4.7712769893485</v>
      </c>
      <c r="Z670" s="25">
        <v>0</v>
      </c>
      <c r="AA670" s="25">
        <v>0</v>
      </c>
      <c r="AB670" s="25">
        <v>0</v>
      </c>
    </row>
    <row r="671" spans="23:28">
      <c r="W671" s="24">
        <v>669</v>
      </c>
      <c r="X671" s="25">
        <v>97.7491977192185</v>
      </c>
      <c r="Y671" s="25">
        <v>0.727419199047586</v>
      </c>
      <c r="Z671" s="25">
        <v>0</v>
      </c>
      <c r="AA671" s="25">
        <v>1</v>
      </c>
      <c r="AB671" s="25">
        <v>0</v>
      </c>
    </row>
    <row r="672" spans="23:28">
      <c r="W672" s="24">
        <v>670</v>
      </c>
      <c r="X672" s="25">
        <v>104.688425346149</v>
      </c>
      <c r="Y672" s="25">
        <v>7.46492956901564</v>
      </c>
      <c r="Z672" s="25">
        <v>0</v>
      </c>
      <c r="AA672" s="25">
        <v>1</v>
      </c>
      <c r="AB672" s="25">
        <v>0</v>
      </c>
    </row>
    <row r="673" spans="23:28">
      <c r="W673" s="24">
        <v>671</v>
      </c>
      <c r="X673" s="25">
        <v>98.7784930741504</v>
      </c>
      <c r="Y673" s="25">
        <v>1.72679384136362</v>
      </c>
      <c r="Z673" s="25">
        <v>0</v>
      </c>
      <c r="AA673" s="25">
        <v>1</v>
      </c>
      <c r="AB673" s="25">
        <v>0</v>
      </c>
    </row>
    <row r="674" spans="23:28">
      <c r="W674" s="24">
        <v>672</v>
      </c>
      <c r="X674" s="25">
        <v>104.755337321309</v>
      </c>
      <c r="Y674" s="25">
        <v>7.5298964717825</v>
      </c>
      <c r="Z674" s="25">
        <v>0</v>
      </c>
      <c r="AA674" s="25">
        <v>1</v>
      </c>
      <c r="AB674" s="25">
        <v>0</v>
      </c>
    </row>
    <row r="675" spans="23:28">
      <c r="W675" s="24">
        <v>673</v>
      </c>
      <c r="X675" s="25">
        <v>126.597152359242</v>
      </c>
      <c r="Y675" s="25">
        <v>28.7367891158394</v>
      </c>
      <c r="Z675" s="25">
        <v>0</v>
      </c>
      <c r="AA675" s="25">
        <v>1</v>
      </c>
      <c r="AB675" s="25">
        <v>0</v>
      </c>
    </row>
    <row r="676" spans="23:28">
      <c r="W676" s="24">
        <v>674</v>
      </c>
      <c r="X676" s="25">
        <v>101.228385651045</v>
      </c>
      <c r="Y676" s="25">
        <v>4.10547019117478</v>
      </c>
      <c r="Z676" s="25">
        <v>0</v>
      </c>
      <c r="AA676" s="25">
        <v>0</v>
      </c>
      <c r="AB676" s="25">
        <v>0</v>
      </c>
    </row>
    <row r="677" spans="23:28">
      <c r="W677" s="24">
        <v>675</v>
      </c>
      <c r="X677" s="25">
        <v>96.2413772502544</v>
      </c>
      <c r="Y677" s="25">
        <v>0</v>
      </c>
      <c r="Z677" s="25">
        <v>0.736570252209111</v>
      </c>
      <c r="AA677" s="25">
        <v>1</v>
      </c>
      <c r="AB677" s="25">
        <v>0</v>
      </c>
    </row>
    <row r="678" spans="23:28">
      <c r="W678" s="24">
        <v>676</v>
      </c>
      <c r="X678" s="25">
        <v>115.613089730582</v>
      </c>
      <c r="Y678" s="25">
        <v>18.0720235477283</v>
      </c>
      <c r="Z678" s="25">
        <v>0</v>
      </c>
      <c r="AA678" s="25">
        <v>0</v>
      </c>
      <c r="AB678" s="25">
        <v>0</v>
      </c>
    </row>
    <row r="679" spans="23:28">
      <c r="W679" s="24">
        <v>677</v>
      </c>
      <c r="X679" s="25">
        <v>96.9498282022576</v>
      </c>
      <c r="Y679" s="25">
        <v>0</v>
      </c>
      <c r="Z679" s="25">
        <v>0.0487133476149002</v>
      </c>
      <c r="AA679" s="25">
        <v>1</v>
      </c>
      <c r="AB679" s="25">
        <v>0</v>
      </c>
    </row>
    <row r="680" spans="23:28">
      <c r="W680" s="24">
        <v>678</v>
      </c>
      <c r="X680" s="25">
        <v>98.2395165905375</v>
      </c>
      <c r="Y680" s="25">
        <v>1.20348493110141</v>
      </c>
      <c r="Z680" s="25">
        <v>0</v>
      </c>
      <c r="AA680" s="25">
        <v>1</v>
      </c>
      <c r="AB680" s="25">
        <v>0</v>
      </c>
    </row>
    <row r="681" spans="23:28">
      <c r="W681" s="24">
        <v>679</v>
      </c>
      <c r="X681" s="25">
        <v>99.1831667575718</v>
      </c>
      <c r="Y681" s="25">
        <v>2.11970401596631</v>
      </c>
      <c r="Z681" s="25">
        <v>0</v>
      </c>
      <c r="AA681" s="25">
        <v>0</v>
      </c>
      <c r="AB681" s="25">
        <v>0</v>
      </c>
    </row>
    <row r="682" spans="23:28">
      <c r="W682" s="24">
        <v>680</v>
      </c>
      <c r="X682" s="25">
        <v>96.96393881917</v>
      </c>
      <c r="Y682" s="25">
        <v>0</v>
      </c>
      <c r="Z682" s="25">
        <v>0.0350129139520255</v>
      </c>
      <c r="AA682" s="25">
        <v>0</v>
      </c>
      <c r="AB682" s="25">
        <v>1</v>
      </c>
    </row>
    <row r="683" spans="23:28">
      <c r="W683" s="24">
        <v>681</v>
      </c>
      <c r="X683" s="25">
        <v>94.5149182172171</v>
      </c>
      <c r="Y683" s="25">
        <v>0</v>
      </c>
      <c r="Z683" s="25">
        <v>2.41284263636754</v>
      </c>
      <c r="AA683" s="25">
        <v>1</v>
      </c>
      <c r="AB683" s="25">
        <v>0</v>
      </c>
    </row>
    <row r="684" spans="23:28">
      <c r="W684" s="24">
        <v>682</v>
      </c>
      <c r="X684" s="25">
        <v>118.932948861564</v>
      </c>
      <c r="Y684" s="25">
        <v>21.295377287418</v>
      </c>
      <c r="Z684" s="25">
        <v>0</v>
      </c>
      <c r="AA684" s="25">
        <v>1</v>
      </c>
      <c r="AB684" s="25">
        <v>0</v>
      </c>
    </row>
    <row r="685" spans="23:28">
      <c r="W685" s="24">
        <v>683</v>
      </c>
      <c r="X685" s="25">
        <v>104.813550584776</v>
      </c>
      <c r="Y685" s="25">
        <v>7.58641752677085</v>
      </c>
      <c r="Z685" s="25">
        <v>0</v>
      </c>
      <c r="AA685" s="25">
        <v>1</v>
      </c>
      <c r="AB685" s="25">
        <v>0</v>
      </c>
    </row>
    <row r="686" spans="23:28">
      <c r="W686" s="24">
        <v>684</v>
      </c>
      <c r="X686" s="25">
        <v>99.3117563940522</v>
      </c>
      <c r="Y686" s="25">
        <v>2.2445556645697</v>
      </c>
      <c r="Z686" s="25">
        <v>0</v>
      </c>
      <c r="AA686" s="25">
        <v>1</v>
      </c>
      <c r="AB686" s="25">
        <v>0</v>
      </c>
    </row>
    <row r="687" spans="23:28">
      <c r="W687" s="24">
        <v>685</v>
      </c>
      <c r="X687" s="25">
        <v>102.598552571036</v>
      </c>
      <c r="Y687" s="25">
        <v>5.43580756131637</v>
      </c>
      <c r="Z687" s="25">
        <v>0</v>
      </c>
      <c r="AA687" s="25">
        <v>1</v>
      </c>
      <c r="AB687" s="25">
        <v>0</v>
      </c>
    </row>
    <row r="688" spans="23:28">
      <c r="W688" s="24">
        <v>686</v>
      </c>
      <c r="X688" s="25">
        <v>105.520953174243</v>
      </c>
      <c r="Y688" s="25">
        <v>8.27325654380706</v>
      </c>
      <c r="Z688" s="25">
        <v>0</v>
      </c>
      <c r="AA688" s="25">
        <v>1</v>
      </c>
      <c r="AB688" s="25">
        <v>0</v>
      </c>
    </row>
    <row r="689" spans="23:28">
      <c r="W689" s="24">
        <v>687</v>
      </c>
      <c r="X689" s="25">
        <v>101.785551103038</v>
      </c>
      <c r="Y689" s="25">
        <v>4.64643933246978</v>
      </c>
      <c r="Z689" s="25">
        <v>0</v>
      </c>
      <c r="AA689" s="25">
        <v>0</v>
      </c>
      <c r="AB689" s="25">
        <v>1</v>
      </c>
    </row>
    <row r="690" spans="23:28">
      <c r="W690" s="24">
        <v>688</v>
      </c>
      <c r="X690" s="25">
        <v>95.4506274759069</v>
      </c>
      <c r="Y690" s="25">
        <v>0</v>
      </c>
      <c r="Z690" s="25">
        <v>1.50433362461088</v>
      </c>
      <c r="AA690" s="25">
        <v>1</v>
      </c>
      <c r="AB690" s="25">
        <v>0</v>
      </c>
    </row>
    <row r="691" spans="23:28">
      <c r="W691" s="24">
        <v>689</v>
      </c>
      <c r="X691" s="25">
        <v>105.030689219651</v>
      </c>
      <c r="Y691" s="25">
        <v>7.79724413209967</v>
      </c>
      <c r="Z691" s="25">
        <v>0</v>
      </c>
      <c r="AA691" s="25">
        <v>1</v>
      </c>
      <c r="AB691" s="25">
        <v>0</v>
      </c>
    </row>
    <row r="692" spans="23:28">
      <c r="W692" s="24">
        <v>690</v>
      </c>
      <c r="X692" s="25">
        <v>115.651704021205</v>
      </c>
      <c r="Y692" s="25">
        <v>18.1095153548126</v>
      </c>
      <c r="Z692" s="25">
        <v>0</v>
      </c>
      <c r="AA692" s="25">
        <v>1</v>
      </c>
      <c r="AB692" s="25">
        <v>0</v>
      </c>
    </row>
    <row r="693" spans="23:28">
      <c r="W693" s="24">
        <v>691</v>
      </c>
      <c r="X693" s="25">
        <v>111.47375276639</v>
      </c>
      <c r="Y693" s="25">
        <v>14.0530134762331</v>
      </c>
      <c r="Z693" s="25">
        <v>0</v>
      </c>
      <c r="AA693" s="25">
        <v>0</v>
      </c>
      <c r="AB693" s="25">
        <v>1</v>
      </c>
    </row>
    <row r="694" spans="23:28">
      <c r="W694" s="24">
        <v>692</v>
      </c>
      <c r="X694" s="25">
        <v>94.8201827382403</v>
      </c>
      <c r="Y694" s="25">
        <v>0</v>
      </c>
      <c r="Z694" s="25">
        <v>2.11645188705774</v>
      </c>
      <c r="AA694" s="25">
        <v>1</v>
      </c>
      <c r="AB694" s="25">
        <v>0</v>
      </c>
    </row>
    <row r="695" spans="23:28">
      <c r="W695" s="24">
        <v>693</v>
      </c>
      <c r="X695" s="25">
        <v>109.066444884677</v>
      </c>
      <c r="Y695" s="25">
        <v>11.7156839218888</v>
      </c>
      <c r="Z695" s="25">
        <v>0</v>
      </c>
      <c r="AA695" s="25">
        <v>1</v>
      </c>
      <c r="AB695" s="25">
        <v>0</v>
      </c>
    </row>
    <row r="696" spans="23:28">
      <c r="W696" s="24">
        <v>694</v>
      </c>
      <c r="X696" s="25">
        <v>121.324801394818</v>
      </c>
      <c r="Y696" s="25">
        <v>23.6177007667187</v>
      </c>
      <c r="Z696" s="25">
        <v>0</v>
      </c>
      <c r="AA696" s="25">
        <v>1</v>
      </c>
      <c r="AB696" s="25">
        <v>0</v>
      </c>
    </row>
    <row r="697" spans="23:28">
      <c r="W697" s="24">
        <v>695</v>
      </c>
      <c r="X697" s="25">
        <v>101.692396978441</v>
      </c>
      <c r="Y697" s="25">
        <v>4.55599311651815</v>
      </c>
      <c r="Z697" s="25">
        <v>0</v>
      </c>
      <c r="AA697" s="25">
        <v>1</v>
      </c>
      <c r="AB697" s="25">
        <v>0</v>
      </c>
    </row>
    <row r="698" spans="23:28">
      <c r="W698" s="24">
        <v>696</v>
      </c>
      <c r="X698" s="25">
        <v>106.007492783153</v>
      </c>
      <c r="Y698" s="25">
        <v>8.74565287329377</v>
      </c>
      <c r="Z698" s="25">
        <v>0</v>
      </c>
      <c r="AA698" s="25">
        <v>0</v>
      </c>
      <c r="AB698" s="25">
        <v>1</v>
      </c>
    </row>
    <row r="699" spans="23:28">
      <c r="W699" s="24">
        <v>697</v>
      </c>
      <c r="X699" s="25">
        <v>94.790118523633</v>
      </c>
      <c r="Y699" s="25">
        <v>0</v>
      </c>
      <c r="Z699" s="25">
        <v>2.145642161332</v>
      </c>
      <c r="AA699" s="25">
        <v>1</v>
      </c>
      <c r="AB699" s="25">
        <v>0</v>
      </c>
    </row>
    <row r="700" spans="23:28">
      <c r="W700" s="24">
        <v>698</v>
      </c>
      <c r="X700" s="25">
        <v>105.57332006966</v>
      </c>
      <c r="Y700" s="25">
        <v>8.32410117953376</v>
      </c>
      <c r="Z700" s="25">
        <v>0</v>
      </c>
      <c r="AA700" s="25">
        <v>0</v>
      </c>
      <c r="AB700" s="25">
        <v>0</v>
      </c>
    </row>
    <row r="701" spans="23:28">
      <c r="W701" s="24">
        <v>699</v>
      </c>
      <c r="X701" s="25">
        <v>97.2373394489062</v>
      </c>
      <c r="Y701" s="25">
        <v>0.230440199425414</v>
      </c>
      <c r="Z701" s="25">
        <v>0</v>
      </c>
      <c r="AA701" s="25">
        <v>1</v>
      </c>
      <c r="AB701" s="25">
        <v>0</v>
      </c>
    </row>
    <row r="702" spans="23:28">
      <c r="W702" s="24">
        <v>700</v>
      </c>
      <c r="X702" s="25">
        <v>110.035714262656</v>
      </c>
      <c r="Y702" s="25">
        <v>12.6567774897202</v>
      </c>
      <c r="Z702" s="25">
        <v>0</v>
      </c>
      <c r="AA702" s="25">
        <v>0</v>
      </c>
      <c r="AB702" s="25">
        <v>1</v>
      </c>
    </row>
    <row r="703" spans="23:28">
      <c r="W703" s="24">
        <v>701</v>
      </c>
      <c r="X703" s="25">
        <v>95.8332048000856</v>
      </c>
      <c r="Y703" s="25">
        <v>0</v>
      </c>
      <c r="Z703" s="25">
        <v>1.13287748748047</v>
      </c>
      <c r="AA703" s="25">
        <v>1</v>
      </c>
      <c r="AB703" s="25">
        <v>0</v>
      </c>
    </row>
    <row r="704" spans="23:28">
      <c r="W704" s="24">
        <v>702</v>
      </c>
      <c r="X704" s="25">
        <v>112.731080237614</v>
      </c>
      <c r="Y704" s="25">
        <v>15.273791541351</v>
      </c>
      <c r="Z704" s="25">
        <v>0</v>
      </c>
      <c r="AA704" s="25">
        <v>1</v>
      </c>
      <c r="AB704" s="25">
        <v>0</v>
      </c>
    </row>
    <row r="705" spans="23:28">
      <c r="W705" s="24">
        <v>703</v>
      </c>
      <c r="X705" s="25">
        <v>112.998799463781</v>
      </c>
      <c r="Y705" s="25">
        <v>15.5337284045744</v>
      </c>
      <c r="Z705" s="25">
        <v>0</v>
      </c>
      <c r="AA705" s="25">
        <v>1</v>
      </c>
      <c r="AB705" s="25">
        <v>0</v>
      </c>
    </row>
    <row r="706" spans="23:28">
      <c r="W706" s="24">
        <v>704</v>
      </c>
      <c r="X706" s="25">
        <v>105.394926967315</v>
      </c>
      <c r="Y706" s="25">
        <v>8.15089380810851</v>
      </c>
      <c r="Z706" s="25">
        <v>0</v>
      </c>
      <c r="AA706" s="25">
        <v>0</v>
      </c>
      <c r="AB706" s="25">
        <v>0</v>
      </c>
    </row>
    <row r="707" spans="23:28">
      <c r="W707" s="24">
        <v>705</v>
      </c>
      <c r="X707" s="25">
        <v>97.5041756119221</v>
      </c>
      <c r="Y707" s="25">
        <v>0.489519669368846</v>
      </c>
      <c r="Z707" s="25">
        <v>0</v>
      </c>
      <c r="AA707" s="25">
        <v>1</v>
      </c>
      <c r="AB707" s="25">
        <v>0</v>
      </c>
    </row>
    <row r="708" spans="23:28">
      <c r="W708" s="24">
        <v>706</v>
      </c>
      <c r="X708" s="25">
        <v>104.068059146164</v>
      </c>
      <c r="Y708" s="25">
        <v>6.86259687000509</v>
      </c>
      <c r="Z708" s="25">
        <v>0</v>
      </c>
      <c r="AA708" s="25">
        <v>1</v>
      </c>
      <c r="AB708" s="25">
        <v>0</v>
      </c>
    </row>
    <row r="709" spans="23:28">
      <c r="W709" s="24">
        <v>707</v>
      </c>
      <c r="X709" s="25">
        <v>105.510928019583</v>
      </c>
      <c r="Y709" s="25">
        <v>8.26352281159512</v>
      </c>
      <c r="Z709" s="25">
        <v>0</v>
      </c>
      <c r="AA709" s="25">
        <v>0</v>
      </c>
      <c r="AB709" s="25">
        <v>1</v>
      </c>
    </row>
    <row r="710" spans="23:28">
      <c r="W710" s="24">
        <v>708</v>
      </c>
      <c r="X710" s="25">
        <v>92.1720798120667</v>
      </c>
      <c r="Y710" s="25">
        <v>0</v>
      </c>
      <c r="Z710" s="25">
        <v>4.68757678525175</v>
      </c>
      <c r="AA710" s="25">
        <v>1</v>
      </c>
      <c r="AB710" s="25">
        <v>0</v>
      </c>
    </row>
    <row r="711" spans="23:28">
      <c r="W711" s="24">
        <v>709</v>
      </c>
      <c r="X711" s="25">
        <v>112.7248629525</v>
      </c>
      <c r="Y711" s="25">
        <v>15.2677549872586</v>
      </c>
      <c r="Z711" s="25">
        <v>0</v>
      </c>
      <c r="AA711" s="25">
        <v>0</v>
      </c>
      <c r="AB711" s="25">
        <v>0</v>
      </c>
    </row>
    <row r="712" spans="23:28">
      <c r="W712" s="24">
        <v>710</v>
      </c>
      <c r="X712" s="25">
        <v>97.0267288484527</v>
      </c>
      <c r="Y712" s="25">
        <v>0.0259518642865379</v>
      </c>
      <c r="Z712" s="25">
        <v>0</v>
      </c>
      <c r="AA712" s="25">
        <v>1</v>
      </c>
      <c r="AB712" s="25">
        <v>0</v>
      </c>
    </row>
    <row r="713" spans="23:28">
      <c r="W713" s="24">
        <v>711</v>
      </c>
      <c r="X713" s="25">
        <v>106.315679361239</v>
      </c>
      <c r="Y713" s="25">
        <v>9.04488073803211</v>
      </c>
      <c r="Z713" s="25">
        <v>0</v>
      </c>
      <c r="AA713" s="25">
        <v>1</v>
      </c>
      <c r="AB713" s="25">
        <v>0</v>
      </c>
    </row>
    <row r="714" spans="23:28">
      <c r="W714" s="24">
        <v>712</v>
      </c>
      <c r="X714" s="25">
        <v>108.972534486209</v>
      </c>
      <c r="Y714" s="25">
        <v>11.624503416284</v>
      </c>
      <c r="Z714" s="25">
        <v>0</v>
      </c>
      <c r="AA714" s="25">
        <v>1</v>
      </c>
      <c r="AB714" s="25">
        <v>0</v>
      </c>
    </row>
    <row r="715" spans="23:28">
      <c r="W715" s="24">
        <v>713</v>
      </c>
      <c r="X715" s="25">
        <v>112.395494022995</v>
      </c>
      <c r="Y715" s="25">
        <v>14.9479605234668</v>
      </c>
      <c r="Z715" s="25">
        <v>0</v>
      </c>
      <c r="AA715" s="25">
        <v>1</v>
      </c>
      <c r="AB715" s="25">
        <v>0</v>
      </c>
    </row>
    <row r="716" spans="23:28">
      <c r="W716" s="24">
        <v>714</v>
      </c>
      <c r="X716" s="25">
        <v>104.56138214</v>
      </c>
      <c r="Y716" s="25">
        <v>7.34157939737107</v>
      </c>
      <c r="Z716" s="25">
        <v>0</v>
      </c>
      <c r="AA716" s="25">
        <v>1</v>
      </c>
      <c r="AB716" s="25">
        <v>0</v>
      </c>
    </row>
    <row r="717" spans="23:28">
      <c r="W717" s="24">
        <v>715</v>
      </c>
      <c r="X717" s="25">
        <v>112.047636368681</v>
      </c>
      <c r="Y717" s="25">
        <v>14.6102147858691</v>
      </c>
      <c r="Z717" s="25">
        <v>0</v>
      </c>
      <c r="AA717" s="25">
        <v>1</v>
      </c>
      <c r="AB717" s="25">
        <v>0</v>
      </c>
    </row>
    <row r="718" spans="23:28">
      <c r="W718" s="24">
        <v>716</v>
      </c>
      <c r="X718" s="25">
        <v>105.374527503539</v>
      </c>
      <c r="Y718" s="25">
        <v>8.13108733884154</v>
      </c>
      <c r="Z718" s="25">
        <v>0</v>
      </c>
      <c r="AA718" s="25">
        <v>0</v>
      </c>
      <c r="AB718" s="25">
        <v>0</v>
      </c>
    </row>
    <row r="719" spans="23:28">
      <c r="W719" s="24">
        <v>717</v>
      </c>
      <c r="X719" s="25">
        <v>97.0542270159888</v>
      </c>
      <c r="Y719" s="25">
        <v>0.0526506842258278</v>
      </c>
      <c r="Z719" s="25">
        <v>0</v>
      </c>
      <c r="AA719" s="25">
        <v>1</v>
      </c>
      <c r="AB719" s="25">
        <v>0</v>
      </c>
    </row>
    <row r="720" spans="23:28">
      <c r="W720" s="24">
        <v>718</v>
      </c>
      <c r="X720" s="25">
        <v>116.938503531219</v>
      </c>
      <c r="Y720" s="25">
        <v>19.3589087324186</v>
      </c>
      <c r="Z720" s="25">
        <v>0</v>
      </c>
      <c r="AA720" s="25">
        <v>1</v>
      </c>
      <c r="AB720" s="25">
        <v>0</v>
      </c>
    </row>
    <row r="721" spans="23:28">
      <c r="W721" s="24">
        <v>719</v>
      </c>
      <c r="X721" s="25">
        <v>108.659516690892</v>
      </c>
      <c r="Y721" s="25">
        <v>11.3205847735598</v>
      </c>
      <c r="Z721" s="25">
        <v>0</v>
      </c>
      <c r="AA721" s="25">
        <v>1</v>
      </c>
      <c r="AB721" s="25">
        <v>0</v>
      </c>
    </row>
    <row r="722" spans="23:28">
      <c r="W722" s="24">
        <v>720</v>
      </c>
      <c r="X722" s="25">
        <v>106.891505670904</v>
      </c>
      <c r="Y722" s="25">
        <v>9.60396828224365</v>
      </c>
      <c r="Z722" s="25">
        <v>0</v>
      </c>
      <c r="AA722" s="25">
        <v>1</v>
      </c>
      <c r="AB722" s="25">
        <v>0</v>
      </c>
    </row>
    <row r="723" spans="23:28">
      <c r="W723" s="24">
        <v>721</v>
      </c>
      <c r="X723" s="25">
        <v>101.618345355916</v>
      </c>
      <c r="Y723" s="25">
        <v>4.48409410966972</v>
      </c>
      <c r="Z723" s="25">
        <v>0</v>
      </c>
      <c r="AA723" s="25">
        <v>0</v>
      </c>
      <c r="AB723" s="25">
        <v>0</v>
      </c>
    </row>
    <row r="724" spans="23:28">
      <c r="W724" s="24">
        <v>722</v>
      </c>
      <c r="X724" s="25">
        <v>97.3221752955849</v>
      </c>
      <c r="Y724" s="25">
        <v>0.312809942496515</v>
      </c>
      <c r="Z724" s="25">
        <v>0</v>
      </c>
      <c r="AA724" s="25">
        <v>1</v>
      </c>
      <c r="AB724" s="25">
        <v>0</v>
      </c>
    </row>
    <row r="725" spans="23:28">
      <c r="W725" s="24">
        <v>723</v>
      </c>
      <c r="X725" s="25">
        <v>101.712328622679</v>
      </c>
      <c r="Y725" s="25">
        <v>4.57534536535189</v>
      </c>
      <c r="Z725" s="25">
        <v>0</v>
      </c>
      <c r="AA725" s="25">
        <v>0</v>
      </c>
      <c r="AB725" s="25">
        <v>1</v>
      </c>
    </row>
    <row r="726" spans="23:28">
      <c r="W726" s="24">
        <v>724</v>
      </c>
      <c r="X726" s="25">
        <v>90.6710828196798</v>
      </c>
      <c r="Y726" s="25">
        <v>0</v>
      </c>
      <c r="Z726" s="25">
        <v>6.14494111240669</v>
      </c>
      <c r="AA726" s="25">
        <v>1</v>
      </c>
      <c r="AB726" s="25">
        <v>0</v>
      </c>
    </row>
    <row r="727" spans="23:28">
      <c r="W727" s="24">
        <v>725</v>
      </c>
      <c r="X727" s="25">
        <v>108.80137855366</v>
      </c>
      <c r="Y727" s="25">
        <v>11.4583228364808</v>
      </c>
      <c r="Z727" s="25">
        <v>0</v>
      </c>
      <c r="AA727" s="25">
        <v>1</v>
      </c>
      <c r="AB727" s="25">
        <v>0</v>
      </c>
    </row>
    <row r="728" spans="23:28">
      <c r="W728" s="24">
        <v>726</v>
      </c>
      <c r="X728" s="25">
        <v>104.783379948575</v>
      </c>
      <c r="Y728" s="25">
        <v>7.55712392448472</v>
      </c>
      <c r="Z728" s="25">
        <v>0</v>
      </c>
      <c r="AA728" s="25">
        <v>1</v>
      </c>
      <c r="AB728" s="25">
        <v>0</v>
      </c>
    </row>
    <row r="729" spans="23:28">
      <c r="W729" s="24">
        <v>727</v>
      </c>
      <c r="X729" s="25">
        <v>106.318814770464</v>
      </c>
      <c r="Y729" s="25">
        <v>9.04792500366245</v>
      </c>
      <c r="Z729" s="25">
        <v>0</v>
      </c>
      <c r="AA729" s="25">
        <v>1</v>
      </c>
      <c r="AB729" s="25">
        <v>0</v>
      </c>
    </row>
    <row r="730" spans="23:28">
      <c r="W730" s="24">
        <v>728</v>
      </c>
      <c r="X730" s="25">
        <v>116.353492270323</v>
      </c>
      <c r="Y730" s="25">
        <v>18.7909032354467</v>
      </c>
      <c r="Z730" s="25">
        <v>0</v>
      </c>
      <c r="AA730" s="25">
        <v>0</v>
      </c>
      <c r="AB730" s="25">
        <v>1</v>
      </c>
    </row>
    <row r="731" spans="23:28">
      <c r="W731" s="24">
        <v>729</v>
      </c>
      <c r="X731" s="25">
        <v>93.9979657797873</v>
      </c>
      <c r="Y731" s="25">
        <v>0</v>
      </c>
      <c r="Z731" s="25">
        <v>2.91476772014004</v>
      </c>
      <c r="AA731" s="25">
        <v>1</v>
      </c>
      <c r="AB731" s="25">
        <v>0</v>
      </c>
    </row>
    <row r="732" spans="23:28">
      <c r="W732" s="24">
        <v>730</v>
      </c>
      <c r="X732" s="25">
        <v>109.465446565206</v>
      </c>
      <c r="Y732" s="25">
        <v>12.1030869737448</v>
      </c>
      <c r="Z732" s="25">
        <v>0</v>
      </c>
      <c r="AA732" s="25">
        <v>1</v>
      </c>
      <c r="AB732" s="25">
        <v>0</v>
      </c>
    </row>
    <row r="733" spans="23:28">
      <c r="W733" s="24">
        <v>731</v>
      </c>
      <c r="X733" s="25">
        <v>114.58358733191</v>
      </c>
      <c r="Y733" s="25">
        <v>17.0724478802519</v>
      </c>
      <c r="Z733" s="25">
        <v>0</v>
      </c>
      <c r="AA733" s="25">
        <v>1</v>
      </c>
      <c r="AB733" s="25">
        <v>0</v>
      </c>
    </row>
    <row r="734" spans="23:28">
      <c r="W734" s="24">
        <v>732</v>
      </c>
      <c r="X734" s="25">
        <v>104.322110659747</v>
      </c>
      <c r="Y734" s="25">
        <v>7.10926332905422</v>
      </c>
      <c r="Z734" s="25">
        <v>0</v>
      </c>
      <c r="AA734" s="25">
        <v>1</v>
      </c>
      <c r="AB734" s="25">
        <v>0</v>
      </c>
    </row>
    <row r="735" spans="23:28">
      <c r="W735" s="24">
        <v>733</v>
      </c>
      <c r="X735" s="25">
        <v>109.824169381386</v>
      </c>
      <c r="Y735" s="25">
        <v>12.451382032488</v>
      </c>
      <c r="Z735" s="25">
        <v>0</v>
      </c>
      <c r="AA735" s="25">
        <v>1</v>
      </c>
      <c r="AB735" s="25">
        <v>0</v>
      </c>
    </row>
    <row r="736" spans="23:28">
      <c r="W736" s="24">
        <v>734</v>
      </c>
      <c r="X736" s="25">
        <v>101.742956863245</v>
      </c>
      <c r="Y736" s="25">
        <v>4.60508326984476</v>
      </c>
      <c r="Z736" s="25">
        <v>0</v>
      </c>
      <c r="AA736" s="25">
        <v>1</v>
      </c>
      <c r="AB736" s="25">
        <v>0</v>
      </c>
    </row>
    <row r="737" spans="23:28">
      <c r="W737" s="24">
        <v>735</v>
      </c>
      <c r="X737" s="25">
        <v>99.9753924713368</v>
      </c>
      <c r="Y737" s="25">
        <v>2.88890042352206</v>
      </c>
      <c r="Z737" s="25">
        <v>0</v>
      </c>
      <c r="AA737" s="25">
        <v>0</v>
      </c>
      <c r="AB737" s="25">
        <v>0</v>
      </c>
    </row>
    <row r="738" spans="23:28">
      <c r="W738" s="24">
        <v>736</v>
      </c>
      <c r="X738" s="25">
        <v>96.8184351709898</v>
      </c>
      <c r="Y738" s="25">
        <v>0</v>
      </c>
      <c r="Z738" s="25">
        <v>0.176286898779632</v>
      </c>
      <c r="AA738" s="25">
        <v>1</v>
      </c>
      <c r="AB738" s="25">
        <v>0</v>
      </c>
    </row>
    <row r="739" spans="23:28">
      <c r="W739" s="24">
        <v>737</v>
      </c>
      <c r="X739" s="25">
        <v>107.498809449037</v>
      </c>
      <c r="Y739" s="25">
        <v>10.1936182725414</v>
      </c>
      <c r="Z739" s="25">
        <v>0</v>
      </c>
      <c r="AA739" s="25">
        <v>1</v>
      </c>
      <c r="AB739" s="25">
        <v>0</v>
      </c>
    </row>
    <row r="740" spans="23:28">
      <c r="W740" s="24">
        <v>738</v>
      </c>
      <c r="X740" s="25">
        <v>99.8855532404549</v>
      </c>
      <c r="Y740" s="25">
        <v>2.80167274023522</v>
      </c>
      <c r="Z740" s="25">
        <v>0</v>
      </c>
      <c r="AA740" s="25">
        <v>1</v>
      </c>
      <c r="AB740" s="25">
        <v>0</v>
      </c>
    </row>
    <row r="741" spans="23:28">
      <c r="W741" s="24">
        <v>739</v>
      </c>
      <c r="X741" s="25">
        <v>114.094981482174</v>
      </c>
      <c r="Y741" s="25">
        <v>16.5980453737471</v>
      </c>
      <c r="Z741" s="25">
        <v>0</v>
      </c>
      <c r="AA741" s="25">
        <v>0</v>
      </c>
      <c r="AB741" s="25">
        <v>1</v>
      </c>
    </row>
    <row r="742" spans="23:28">
      <c r="W742" s="24">
        <v>740</v>
      </c>
      <c r="X742" s="25">
        <v>94.2279498819844</v>
      </c>
      <c r="Y742" s="25">
        <v>0</v>
      </c>
      <c r="Z742" s="25">
        <v>2.6914690539503</v>
      </c>
      <c r="AA742" s="25">
        <v>1</v>
      </c>
      <c r="AB742" s="25">
        <v>0</v>
      </c>
    </row>
    <row r="743" spans="23:28">
      <c r="W743" s="24">
        <v>741</v>
      </c>
      <c r="X743" s="25">
        <v>118.971624732878</v>
      </c>
      <c r="Y743" s="25">
        <v>21.3329288850962</v>
      </c>
      <c r="Z743" s="25">
        <v>0</v>
      </c>
      <c r="AA743" s="25">
        <v>1</v>
      </c>
      <c r="AB743" s="25">
        <v>0</v>
      </c>
    </row>
    <row r="744" spans="23:28">
      <c r="W744" s="24">
        <v>742</v>
      </c>
      <c r="X744" s="25">
        <v>107.403648870204</v>
      </c>
      <c r="Y744" s="25">
        <v>10.1012239282178</v>
      </c>
      <c r="Z744" s="25">
        <v>0</v>
      </c>
      <c r="AA744" s="25">
        <v>1</v>
      </c>
      <c r="AB744" s="25">
        <v>0</v>
      </c>
    </row>
    <row r="745" spans="23:28">
      <c r="W745" s="24">
        <v>743</v>
      </c>
      <c r="X745" s="25">
        <v>102.822867416859</v>
      </c>
      <c r="Y745" s="25">
        <v>5.65360177143901</v>
      </c>
      <c r="Z745" s="25">
        <v>0</v>
      </c>
      <c r="AA745" s="25">
        <v>1</v>
      </c>
      <c r="AB745" s="25">
        <v>0</v>
      </c>
    </row>
    <row r="746" spans="23:28">
      <c r="W746" s="24">
        <v>744</v>
      </c>
      <c r="X746" s="25">
        <v>99.9981120810902</v>
      </c>
      <c r="Y746" s="25">
        <v>2.91095959415959</v>
      </c>
      <c r="Z746" s="25">
        <v>0</v>
      </c>
      <c r="AA746" s="25">
        <v>1</v>
      </c>
      <c r="AB746" s="25">
        <v>0</v>
      </c>
    </row>
    <row r="747" spans="23:28">
      <c r="W747" s="24">
        <v>745</v>
      </c>
      <c r="X747" s="25">
        <v>102.862622374499</v>
      </c>
      <c r="Y747" s="25">
        <v>5.69220108735116</v>
      </c>
      <c r="Z747" s="25">
        <v>0</v>
      </c>
      <c r="AA747" s="25">
        <v>1</v>
      </c>
      <c r="AB747" s="25">
        <v>0</v>
      </c>
    </row>
    <row r="748" spans="23:28">
      <c r="W748" s="24">
        <v>746</v>
      </c>
      <c r="X748" s="25">
        <v>102.812444173308</v>
      </c>
      <c r="Y748" s="25">
        <v>5.64348152243002</v>
      </c>
      <c r="Z748" s="25">
        <v>0</v>
      </c>
      <c r="AA748" s="25">
        <v>0</v>
      </c>
      <c r="AB748" s="25">
        <v>1</v>
      </c>
    </row>
    <row r="749" spans="23:28">
      <c r="W749" s="24">
        <v>747</v>
      </c>
      <c r="X749" s="25">
        <v>95.8054254586353</v>
      </c>
      <c r="Y749" s="25">
        <v>0</v>
      </c>
      <c r="Z749" s="25">
        <v>1.15984930785507</v>
      </c>
      <c r="AA749" s="25">
        <v>0</v>
      </c>
      <c r="AB749" s="25">
        <v>0</v>
      </c>
    </row>
    <row r="750" spans="23:28">
      <c r="W750" s="24">
        <v>748</v>
      </c>
      <c r="X750" s="25">
        <v>97.797039587477</v>
      </c>
      <c r="Y750" s="25">
        <v>0.773870346183807</v>
      </c>
      <c r="Z750" s="25">
        <v>0</v>
      </c>
      <c r="AA750" s="25">
        <v>1</v>
      </c>
      <c r="AB750" s="25">
        <v>0</v>
      </c>
    </row>
    <row r="751" spans="23:28">
      <c r="W751" s="24">
        <v>749</v>
      </c>
      <c r="X751" s="25">
        <v>117.449355720362</v>
      </c>
      <c r="Y751" s="25">
        <v>19.8549108967677</v>
      </c>
      <c r="Z751" s="25">
        <v>0</v>
      </c>
      <c r="AA751" s="25">
        <v>1</v>
      </c>
      <c r="AB751" s="25">
        <v>0</v>
      </c>
    </row>
    <row r="752" spans="23:28">
      <c r="W752" s="24">
        <v>750</v>
      </c>
      <c r="X752" s="25">
        <v>116.818098476626</v>
      </c>
      <c r="Y752" s="25">
        <v>19.2420037470905</v>
      </c>
      <c r="Z752" s="25">
        <v>0</v>
      </c>
      <c r="AA752" s="25">
        <v>1</v>
      </c>
      <c r="AB752" s="25">
        <v>0</v>
      </c>
    </row>
    <row r="753" spans="23:28">
      <c r="W753" s="24">
        <v>751</v>
      </c>
      <c r="X753" s="25">
        <v>98.9202032642813</v>
      </c>
      <c r="Y753" s="25">
        <v>1.8643846406381</v>
      </c>
      <c r="Z753" s="25">
        <v>0</v>
      </c>
      <c r="AA753" s="25">
        <v>1</v>
      </c>
      <c r="AB753" s="25">
        <v>0</v>
      </c>
    </row>
    <row r="754" spans="23:28">
      <c r="W754" s="24">
        <v>752</v>
      </c>
      <c r="X754" s="25">
        <v>106.031608882418</v>
      </c>
      <c r="Y754" s="25">
        <v>8.76906793871781</v>
      </c>
      <c r="Z754" s="25">
        <v>0</v>
      </c>
      <c r="AA754" s="25">
        <v>0</v>
      </c>
      <c r="AB754" s="25">
        <v>1</v>
      </c>
    </row>
    <row r="755" spans="23:28">
      <c r="W755" s="24">
        <v>753</v>
      </c>
      <c r="X755" s="25">
        <v>94.4309623706264</v>
      </c>
      <c r="Y755" s="25">
        <v>0</v>
      </c>
      <c r="Z755" s="25">
        <v>2.49435796018099</v>
      </c>
      <c r="AA755" s="25">
        <v>1</v>
      </c>
      <c r="AB755" s="25">
        <v>0</v>
      </c>
    </row>
    <row r="756" spans="23:28">
      <c r="W756" s="24">
        <v>754</v>
      </c>
      <c r="X756" s="25">
        <v>116.91030421698</v>
      </c>
      <c r="Y756" s="25">
        <v>19.3315291474956</v>
      </c>
      <c r="Z756" s="25">
        <v>0</v>
      </c>
      <c r="AA756" s="25">
        <v>1</v>
      </c>
      <c r="AB756" s="25">
        <v>0</v>
      </c>
    </row>
    <row r="757" spans="23:28">
      <c r="W757" s="24">
        <v>755</v>
      </c>
      <c r="X757" s="25">
        <v>110.728451396388</v>
      </c>
      <c r="Y757" s="25">
        <v>13.3293773629498</v>
      </c>
      <c r="Z757" s="25">
        <v>0</v>
      </c>
      <c r="AA757" s="25">
        <v>1</v>
      </c>
      <c r="AB757" s="25">
        <v>0</v>
      </c>
    </row>
    <row r="758" spans="23:28">
      <c r="W758" s="24">
        <v>756</v>
      </c>
      <c r="X758" s="25">
        <v>115.207121337594</v>
      </c>
      <c r="Y758" s="25">
        <v>17.6778562996299</v>
      </c>
      <c r="Z758" s="25">
        <v>0</v>
      </c>
      <c r="AA758" s="25">
        <v>1</v>
      </c>
      <c r="AB758" s="25">
        <v>0</v>
      </c>
    </row>
    <row r="759" spans="23:28">
      <c r="W759" s="24">
        <v>757</v>
      </c>
      <c r="X759" s="25">
        <v>112.271262062013</v>
      </c>
      <c r="Y759" s="25">
        <v>14.8273398765593</v>
      </c>
      <c r="Z759" s="25">
        <v>0</v>
      </c>
      <c r="AA759" s="25">
        <v>1</v>
      </c>
      <c r="AB759" s="25">
        <v>0</v>
      </c>
    </row>
    <row r="760" spans="23:28">
      <c r="W760" s="24">
        <v>758</v>
      </c>
      <c r="X760" s="25">
        <v>105.56535862517</v>
      </c>
      <c r="Y760" s="25">
        <v>8.31637116724797</v>
      </c>
      <c r="Z760" s="25">
        <v>0</v>
      </c>
      <c r="AA760" s="25">
        <v>0</v>
      </c>
      <c r="AB760" s="25">
        <v>1</v>
      </c>
    </row>
    <row r="761" spans="23:28">
      <c r="W761" s="24">
        <v>759</v>
      </c>
      <c r="X761" s="25">
        <v>92.7977846253952</v>
      </c>
      <c r="Y761" s="25">
        <v>0</v>
      </c>
      <c r="Z761" s="25">
        <v>4.08006066170234</v>
      </c>
      <c r="AA761" s="25">
        <v>1</v>
      </c>
      <c r="AB761" s="25">
        <v>0</v>
      </c>
    </row>
    <row r="762" spans="23:28">
      <c r="W762" s="24">
        <v>760</v>
      </c>
      <c r="X762" s="25">
        <v>113.762674937305</v>
      </c>
      <c r="Y762" s="25">
        <v>16.2753986884915</v>
      </c>
      <c r="Z762" s="25">
        <v>0</v>
      </c>
      <c r="AA762" s="25">
        <v>1</v>
      </c>
      <c r="AB762" s="25">
        <v>0</v>
      </c>
    </row>
    <row r="763" spans="23:28">
      <c r="W763" s="24">
        <v>761</v>
      </c>
      <c r="X763" s="25">
        <v>100.694749898848</v>
      </c>
      <c r="Y763" s="25">
        <v>3.58734676195316</v>
      </c>
      <c r="Z763" s="25">
        <v>0</v>
      </c>
      <c r="AA763" s="25">
        <v>0</v>
      </c>
      <c r="AB763" s="25">
        <v>1</v>
      </c>
    </row>
    <row r="764" spans="23:28">
      <c r="W764" s="24">
        <v>762</v>
      </c>
      <c r="X764" s="25">
        <v>94.0385309321709</v>
      </c>
      <c r="Y764" s="25">
        <v>0</v>
      </c>
      <c r="Z764" s="25">
        <v>2.87538176113454</v>
      </c>
      <c r="AA764" s="25">
        <v>1</v>
      </c>
      <c r="AB764" s="25">
        <v>0</v>
      </c>
    </row>
    <row r="765" spans="23:28">
      <c r="W765" s="24">
        <v>763</v>
      </c>
      <c r="X765" s="25">
        <v>100.656532874279</v>
      </c>
      <c r="Y765" s="25">
        <v>3.55024067274718</v>
      </c>
      <c r="Z765" s="25">
        <v>0</v>
      </c>
      <c r="AA765" s="25">
        <v>1</v>
      </c>
      <c r="AB765" s="25">
        <v>0</v>
      </c>
    </row>
    <row r="766" spans="23:28">
      <c r="W766" s="24">
        <v>764</v>
      </c>
      <c r="X766" s="25">
        <v>106.836821757955</v>
      </c>
      <c r="Y766" s="25">
        <v>9.55087398265154</v>
      </c>
      <c r="Z766" s="25">
        <v>0</v>
      </c>
      <c r="AA766" s="25">
        <v>1</v>
      </c>
      <c r="AB766" s="25">
        <v>0</v>
      </c>
    </row>
    <row r="767" spans="23:28">
      <c r="W767" s="24">
        <v>765</v>
      </c>
      <c r="X767" s="25">
        <v>100.988157493186</v>
      </c>
      <c r="Y767" s="25">
        <v>3.87222525503055</v>
      </c>
      <c r="Z767" s="25">
        <v>0</v>
      </c>
      <c r="AA767" s="25">
        <v>1</v>
      </c>
      <c r="AB767" s="25">
        <v>0</v>
      </c>
    </row>
    <row r="768" spans="23:28">
      <c r="W768" s="24">
        <v>766</v>
      </c>
      <c r="X768" s="25">
        <v>102.381279472692</v>
      </c>
      <c r="Y768" s="25">
        <v>5.22485040125381</v>
      </c>
      <c r="Z768" s="25">
        <v>0</v>
      </c>
      <c r="AA768" s="25">
        <v>1</v>
      </c>
      <c r="AB768" s="25">
        <v>0</v>
      </c>
    </row>
    <row r="769" spans="23:28">
      <c r="W769" s="24">
        <v>767</v>
      </c>
      <c r="X769" s="25">
        <v>99.0583424847081</v>
      </c>
      <c r="Y769" s="25">
        <v>1.99850827516378</v>
      </c>
      <c r="Z769" s="25">
        <v>0</v>
      </c>
      <c r="AA769" s="25">
        <v>1</v>
      </c>
      <c r="AB769" s="25">
        <v>0</v>
      </c>
    </row>
    <row r="770" spans="23:28">
      <c r="W770" s="24">
        <v>768</v>
      </c>
      <c r="X770" s="25">
        <v>107.895264743013</v>
      </c>
      <c r="Y770" s="25">
        <v>10.5785489590664</v>
      </c>
      <c r="Z770" s="25">
        <v>0</v>
      </c>
      <c r="AA770" s="25">
        <v>1</v>
      </c>
      <c r="AB770" s="25">
        <v>0</v>
      </c>
    </row>
    <row r="771" spans="23:28">
      <c r="W771" s="24">
        <v>769</v>
      </c>
      <c r="X771" s="25">
        <v>99.3986462636483</v>
      </c>
      <c r="Y771" s="25">
        <v>2.32891972191483</v>
      </c>
      <c r="Z771" s="25">
        <v>0</v>
      </c>
      <c r="AA771" s="25">
        <v>1</v>
      </c>
      <c r="AB771" s="25">
        <v>0</v>
      </c>
    </row>
    <row r="772" spans="23:28">
      <c r="W772" s="24">
        <v>770</v>
      </c>
      <c r="X772" s="25">
        <v>106.391333253658</v>
      </c>
      <c r="Y772" s="25">
        <v>9.11833543819488</v>
      </c>
      <c r="Z772" s="25">
        <v>0</v>
      </c>
      <c r="AA772" s="25">
        <v>1</v>
      </c>
      <c r="AB772" s="25">
        <v>0</v>
      </c>
    </row>
    <row r="773" spans="23:28">
      <c r="W773" s="24">
        <v>771</v>
      </c>
      <c r="X773" s="25">
        <v>99.9769463933831</v>
      </c>
      <c r="Y773" s="25">
        <v>2.89040917441823</v>
      </c>
      <c r="Z773" s="25">
        <v>0</v>
      </c>
      <c r="AA773" s="25">
        <v>1</v>
      </c>
      <c r="AB773" s="25">
        <v>0</v>
      </c>
    </row>
    <row r="774" spans="23:28">
      <c r="W774" s="24">
        <v>772</v>
      </c>
      <c r="X774" s="25">
        <v>103.727023500535</v>
      </c>
      <c r="Y774" s="25">
        <v>6.53147483128698</v>
      </c>
      <c r="Z774" s="25">
        <v>0</v>
      </c>
      <c r="AA774" s="25">
        <v>0</v>
      </c>
      <c r="AB774" s="25">
        <v>1</v>
      </c>
    </row>
    <row r="775" spans="23:28">
      <c r="W775" s="24">
        <v>773</v>
      </c>
      <c r="X775" s="25">
        <v>95.692780119806</v>
      </c>
      <c r="Y775" s="25">
        <v>0</v>
      </c>
      <c r="Z775" s="25">
        <v>1.26922014554677</v>
      </c>
      <c r="AA775" s="25">
        <v>1</v>
      </c>
      <c r="AB775" s="25">
        <v>0</v>
      </c>
    </row>
    <row r="776" spans="23:28">
      <c r="W776" s="24">
        <v>774</v>
      </c>
      <c r="X776" s="25">
        <v>121.859203400154</v>
      </c>
      <c r="Y776" s="25">
        <v>24.1365681747726</v>
      </c>
      <c r="Z776" s="25">
        <v>0</v>
      </c>
      <c r="AA776" s="25">
        <v>1</v>
      </c>
      <c r="AB776" s="25">
        <v>0</v>
      </c>
    </row>
    <row r="777" spans="23:28">
      <c r="W777" s="24">
        <v>775</v>
      </c>
      <c r="X777" s="25">
        <v>106.076477788992</v>
      </c>
      <c r="Y777" s="25">
        <v>8.81263254555693</v>
      </c>
      <c r="Z777" s="25">
        <v>0</v>
      </c>
      <c r="AA777" s="25">
        <v>0</v>
      </c>
      <c r="AB777" s="25">
        <v>1</v>
      </c>
    </row>
    <row r="778" spans="23:28">
      <c r="W778" s="24">
        <v>776</v>
      </c>
      <c r="X778" s="25">
        <v>87.8750567542481</v>
      </c>
      <c r="Y778" s="25">
        <v>0</v>
      </c>
      <c r="Z778" s="25">
        <v>8.85968915402395</v>
      </c>
      <c r="AA778" s="25">
        <v>1</v>
      </c>
      <c r="AB778" s="25">
        <v>0</v>
      </c>
    </row>
    <row r="779" spans="23:28">
      <c r="W779" s="24">
        <v>777</v>
      </c>
      <c r="X779" s="25">
        <v>114.665943024691</v>
      </c>
      <c r="Y779" s="25">
        <v>17.1524095653228</v>
      </c>
      <c r="Z779" s="25">
        <v>0</v>
      </c>
      <c r="AA779" s="25">
        <v>1</v>
      </c>
      <c r="AB779" s="25">
        <v>0</v>
      </c>
    </row>
    <row r="780" spans="23:28">
      <c r="W780" s="24">
        <v>778</v>
      </c>
      <c r="X780" s="25">
        <v>104.460371733582</v>
      </c>
      <c r="Y780" s="25">
        <v>7.24350527481592</v>
      </c>
      <c r="Z780" s="25">
        <v>0</v>
      </c>
      <c r="AA780" s="25">
        <v>1</v>
      </c>
      <c r="AB780" s="25">
        <v>0</v>
      </c>
    </row>
    <row r="781" spans="23:28">
      <c r="W781" s="24">
        <v>779</v>
      </c>
      <c r="X781" s="25">
        <v>103.675189721819</v>
      </c>
      <c r="Y781" s="25">
        <v>6.48114781502744</v>
      </c>
      <c r="Z781" s="25">
        <v>0</v>
      </c>
      <c r="AA781" s="25">
        <v>0</v>
      </c>
      <c r="AB781" s="25">
        <v>0</v>
      </c>
    </row>
    <row r="782" spans="23:28">
      <c r="W782" s="24">
        <v>780</v>
      </c>
      <c r="X782" s="25">
        <v>97.4796852637118</v>
      </c>
      <c r="Y782" s="25">
        <v>0.465741234087288</v>
      </c>
      <c r="Z782" s="25">
        <v>0</v>
      </c>
      <c r="AA782" s="25">
        <v>1</v>
      </c>
      <c r="AB782" s="25">
        <v>0</v>
      </c>
    </row>
    <row r="783" spans="23:28">
      <c r="W783" s="24">
        <v>781</v>
      </c>
      <c r="X783" s="25">
        <v>101.791983409026</v>
      </c>
      <c r="Y783" s="25">
        <v>4.65268465696763</v>
      </c>
      <c r="Z783" s="25">
        <v>0</v>
      </c>
      <c r="AA783" s="25">
        <v>0</v>
      </c>
      <c r="AB783" s="25">
        <v>1</v>
      </c>
    </row>
    <row r="784" spans="23:28">
      <c r="W784" s="24">
        <v>782</v>
      </c>
      <c r="X784" s="25">
        <v>90.8020223326872</v>
      </c>
      <c r="Y784" s="25">
        <v>0</v>
      </c>
      <c r="Z784" s="25">
        <v>6.0178078961245</v>
      </c>
      <c r="AA784" s="25">
        <v>1</v>
      </c>
      <c r="AB784" s="25">
        <v>0</v>
      </c>
    </row>
    <row r="785" spans="23:28">
      <c r="W785" s="24">
        <v>783</v>
      </c>
      <c r="X785" s="25">
        <v>109.917389522166</v>
      </c>
      <c r="Y785" s="25">
        <v>12.5418923455894</v>
      </c>
      <c r="Z785" s="25">
        <v>0</v>
      </c>
      <c r="AA785" s="25">
        <v>1</v>
      </c>
      <c r="AB785" s="25">
        <v>0</v>
      </c>
    </row>
    <row r="786" spans="23:28">
      <c r="W786" s="24">
        <v>784</v>
      </c>
      <c r="X786" s="25">
        <v>107.551284555102</v>
      </c>
      <c r="Y786" s="25">
        <v>10.2445679733276</v>
      </c>
      <c r="Z786" s="25">
        <v>0</v>
      </c>
      <c r="AA786" s="25">
        <v>1</v>
      </c>
      <c r="AB786" s="25">
        <v>0</v>
      </c>
    </row>
    <row r="787" spans="23:28">
      <c r="W787" s="24">
        <v>785</v>
      </c>
      <c r="X787" s="25">
        <v>115.087968870967</v>
      </c>
      <c r="Y787" s="25">
        <v>17.5621674906343</v>
      </c>
      <c r="Z787" s="25">
        <v>0</v>
      </c>
      <c r="AA787" s="25">
        <v>1</v>
      </c>
      <c r="AB787" s="25">
        <v>0</v>
      </c>
    </row>
    <row r="788" spans="23:28">
      <c r="W788" s="24">
        <v>786</v>
      </c>
      <c r="X788" s="25">
        <v>105.315422400218</v>
      </c>
      <c r="Y788" s="25">
        <v>8.07370036900079</v>
      </c>
      <c r="Z788" s="25">
        <v>0</v>
      </c>
      <c r="AA788" s="25">
        <v>1</v>
      </c>
      <c r="AB788" s="25">
        <v>0</v>
      </c>
    </row>
    <row r="789" spans="23:28">
      <c r="W789" s="24">
        <v>787</v>
      </c>
      <c r="X789" s="25">
        <v>101.741743759286</v>
      </c>
      <c r="Y789" s="25">
        <v>4.60390542975351</v>
      </c>
      <c r="Z789" s="25">
        <v>0</v>
      </c>
      <c r="AA789" s="25">
        <v>1</v>
      </c>
      <c r="AB789" s="25">
        <v>0</v>
      </c>
    </row>
    <row r="790" spans="23:28">
      <c r="W790" s="24">
        <v>788</v>
      </c>
      <c r="X790" s="25">
        <v>105.368802806495</v>
      </c>
      <c r="Y790" s="25">
        <v>8.12552905371629</v>
      </c>
      <c r="Z790" s="25">
        <v>0</v>
      </c>
      <c r="AA790" s="25">
        <v>1</v>
      </c>
      <c r="AB790" s="25">
        <v>0</v>
      </c>
    </row>
    <row r="791" spans="23:28">
      <c r="W791" s="24">
        <v>789</v>
      </c>
      <c r="X791" s="25">
        <v>100.401691712684</v>
      </c>
      <c r="Y791" s="25">
        <v>3.30280752006142</v>
      </c>
      <c r="Z791" s="25">
        <v>0</v>
      </c>
      <c r="AA791" s="25">
        <v>1</v>
      </c>
      <c r="AB791" s="25">
        <v>0</v>
      </c>
    </row>
    <row r="792" spans="23:28">
      <c r="W792" s="24">
        <v>790</v>
      </c>
      <c r="X792" s="25">
        <v>113.954773606153</v>
      </c>
      <c r="Y792" s="25">
        <v>16.4619132176301</v>
      </c>
      <c r="Z792" s="25">
        <v>0</v>
      </c>
      <c r="AA792" s="25">
        <v>0</v>
      </c>
      <c r="AB792" s="25">
        <v>1</v>
      </c>
    </row>
    <row r="793" spans="23:28">
      <c r="W793" s="24">
        <v>791</v>
      </c>
      <c r="X793" s="25">
        <v>92.1647851703233</v>
      </c>
      <c r="Y793" s="25">
        <v>0</v>
      </c>
      <c r="Z793" s="25">
        <v>4.69465937816174</v>
      </c>
      <c r="AA793" s="25">
        <v>1</v>
      </c>
      <c r="AB793" s="25">
        <v>0</v>
      </c>
    </row>
    <row r="794" spans="23:28">
      <c r="W794" s="24">
        <v>792</v>
      </c>
      <c r="X794" s="25">
        <v>114.835683899205</v>
      </c>
      <c r="Y794" s="25">
        <v>17.3172162215857</v>
      </c>
      <c r="Z794" s="25">
        <v>0</v>
      </c>
      <c r="AA794" s="25">
        <v>1</v>
      </c>
      <c r="AB794" s="25">
        <v>0</v>
      </c>
    </row>
    <row r="795" spans="23:28">
      <c r="W795" s="24">
        <v>793</v>
      </c>
      <c r="X795" s="25">
        <v>107.048486247139</v>
      </c>
      <c r="Y795" s="25">
        <v>9.75638557090054</v>
      </c>
      <c r="Z795" s="25">
        <v>0</v>
      </c>
      <c r="AA795" s="25">
        <v>1</v>
      </c>
      <c r="AB795" s="25">
        <v>0</v>
      </c>
    </row>
    <row r="796" spans="23:28">
      <c r="W796" s="24">
        <v>794</v>
      </c>
      <c r="X796" s="25">
        <v>110.501419959331</v>
      </c>
      <c r="Y796" s="25">
        <v>13.1089455305152</v>
      </c>
      <c r="Z796" s="25">
        <v>0</v>
      </c>
      <c r="AA796" s="25">
        <v>1</v>
      </c>
      <c r="AB796" s="25">
        <v>0</v>
      </c>
    </row>
    <row r="797" spans="23:28">
      <c r="W797" s="24">
        <v>795</v>
      </c>
      <c r="X797" s="25">
        <v>100.480872964418</v>
      </c>
      <c r="Y797" s="25">
        <v>3.3796870423</v>
      </c>
      <c r="Z797" s="25">
        <v>0</v>
      </c>
      <c r="AA797" s="25">
        <v>0</v>
      </c>
      <c r="AB797" s="25">
        <v>1</v>
      </c>
    </row>
    <row r="798" spans="23:28">
      <c r="W798" s="24">
        <v>796</v>
      </c>
      <c r="X798" s="25">
        <v>95.367339061082</v>
      </c>
      <c r="Y798" s="25">
        <v>0</v>
      </c>
      <c r="Z798" s="25">
        <v>1.58520091831419</v>
      </c>
      <c r="AA798" s="25">
        <v>1</v>
      </c>
      <c r="AB798" s="25">
        <v>0</v>
      </c>
    </row>
    <row r="799" spans="23:28">
      <c r="W799" s="24">
        <v>797</v>
      </c>
      <c r="X799" s="25">
        <v>106.639036772103</v>
      </c>
      <c r="Y799" s="25">
        <v>9.35883843275335</v>
      </c>
      <c r="Z799" s="25">
        <v>0</v>
      </c>
      <c r="AA799" s="25">
        <v>1</v>
      </c>
      <c r="AB799" s="25">
        <v>0</v>
      </c>
    </row>
    <row r="800" spans="23:28">
      <c r="W800" s="24">
        <v>798</v>
      </c>
      <c r="X800" s="25">
        <v>100.590905812863</v>
      </c>
      <c r="Y800" s="25">
        <v>3.48652133241026</v>
      </c>
      <c r="Z800" s="25">
        <v>0</v>
      </c>
      <c r="AA800" s="25">
        <v>1</v>
      </c>
      <c r="AB800" s="25">
        <v>0</v>
      </c>
    </row>
    <row r="801" spans="23:28">
      <c r="W801" s="24">
        <v>799</v>
      </c>
      <c r="X801" s="25">
        <v>98.6939415644059</v>
      </c>
      <c r="Y801" s="25">
        <v>1.64470016980156</v>
      </c>
      <c r="Z801" s="25">
        <v>0</v>
      </c>
      <c r="AA801" s="25">
        <v>1</v>
      </c>
      <c r="AB801" s="25">
        <v>0</v>
      </c>
    </row>
    <row r="802" spans="23:28">
      <c r="W802" s="24">
        <v>800</v>
      </c>
      <c r="X802" s="25">
        <v>113.882441392323</v>
      </c>
      <c r="Y802" s="25">
        <v>16.3916836377742</v>
      </c>
      <c r="Z802" s="25">
        <v>0</v>
      </c>
      <c r="AA802" s="25">
        <v>1</v>
      </c>
      <c r="AB802" s="25">
        <v>0</v>
      </c>
    </row>
    <row r="803" spans="23:28">
      <c r="W803" s="24">
        <v>801</v>
      </c>
      <c r="X803" s="25">
        <v>99.971063017767</v>
      </c>
      <c r="Y803" s="25">
        <v>2.8846968233678</v>
      </c>
      <c r="Z803" s="25">
        <v>0</v>
      </c>
      <c r="AA803" s="25">
        <v>1</v>
      </c>
      <c r="AB803" s="25">
        <v>0</v>
      </c>
    </row>
    <row r="804" spans="23:28">
      <c r="W804" s="24">
        <v>802</v>
      </c>
      <c r="X804" s="25">
        <v>112.045321618686</v>
      </c>
      <c r="Y804" s="25">
        <v>14.6079673236253</v>
      </c>
      <c r="Z804" s="25">
        <v>0</v>
      </c>
      <c r="AA804" s="25">
        <v>1</v>
      </c>
      <c r="AB804" s="25">
        <v>0</v>
      </c>
    </row>
    <row r="805" spans="23:28">
      <c r="W805" s="24">
        <v>803</v>
      </c>
      <c r="X805" s="25">
        <v>99.4612702476832</v>
      </c>
      <c r="Y805" s="25">
        <v>2.38972328169525</v>
      </c>
      <c r="Z805" s="25">
        <v>0</v>
      </c>
      <c r="AA805" s="25">
        <v>1</v>
      </c>
      <c r="AB805" s="25">
        <v>0</v>
      </c>
    </row>
    <row r="806" spans="23:28">
      <c r="W806" s="24">
        <v>804</v>
      </c>
      <c r="X806" s="25">
        <v>102.7338815875</v>
      </c>
      <c r="Y806" s="25">
        <v>5.56720268204178</v>
      </c>
      <c r="Z806" s="25">
        <v>0</v>
      </c>
      <c r="AA806" s="25">
        <v>1</v>
      </c>
      <c r="AB806" s="25">
        <v>0</v>
      </c>
    </row>
    <row r="807" spans="23:28">
      <c r="W807" s="24">
        <v>805</v>
      </c>
      <c r="X807" s="25">
        <v>98.323745315881</v>
      </c>
      <c r="Y807" s="25">
        <v>1.2852652013218</v>
      </c>
      <c r="Z807" s="25">
        <v>0</v>
      </c>
      <c r="AA807" s="25">
        <v>1</v>
      </c>
      <c r="AB807" s="25">
        <v>0</v>
      </c>
    </row>
    <row r="808" spans="23:28">
      <c r="W808" s="24">
        <v>806</v>
      </c>
      <c r="X808" s="25">
        <v>101.631029654536</v>
      </c>
      <c r="Y808" s="25">
        <v>4.4964096868606</v>
      </c>
      <c r="Z808" s="25">
        <v>0</v>
      </c>
      <c r="AA808" s="25">
        <v>1</v>
      </c>
      <c r="AB808" s="25">
        <v>0</v>
      </c>
    </row>
    <row r="809" spans="23:28">
      <c r="W809" s="24">
        <v>807</v>
      </c>
      <c r="X809" s="25">
        <v>101.37950987414</v>
      </c>
      <c r="Y809" s="25">
        <v>4.25220136573726</v>
      </c>
      <c r="Z809" s="25">
        <v>0</v>
      </c>
      <c r="AA809" s="25">
        <v>1</v>
      </c>
      <c r="AB809" s="25">
        <v>0</v>
      </c>
    </row>
    <row r="810" spans="23:28">
      <c r="W810" s="24">
        <v>808</v>
      </c>
      <c r="X810" s="25">
        <v>101.745988195528</v>
      </c>
      <c r="Y810" s="25">
        <v>4.60802648395865</v>
      </c>
      <c r="Z810" s="25">
        <v>0</v>
      </c>
      <c r="AA810" s="25">
        <v>1</v>
      </c>
      <c r="AB810" s="25">
        <v>0</v>
      </c>
    </row>
    <row r="811" spans="23:28">
      <c r="W811" s="24">
        <v>809</v>
      </c>
      <c r="X811" s="25">
        <v>102.484481727223</v>
      </c>
      <c r="Y811" s="25">
        <v>5.32505265682019</v>
      </c>
      <c r="Z811" s="25">
        <v>0</v>
      </c>
      <c r="AA811" s="25">
        <v>1</v>
      </c>
      <c r="AB811" s="25">
        <v>0</v>
      </c>
    </row>
    <row r="812" spans="23:28">
      <c r="W812" s="24">
        <v>810</v>
      </c>
      <c r="X812" s="25">
        <v>104.649667407641</v>
      </c>
      <c r="Y812" s="25">
        <v>7.42729828976371</v>
      </c>
      <c r="Z812" s="25">
        <v>0</v>
      </c>
      <c r="AA812" s="25">
        <v>1</v>
      </c>
      <c r="AB812" s="25">
        <v>0</v>
      </c>
    </row>
    <row r="813" spans="23:28">
      <c r="W813" s="24">
        <v>811</v>
      </c>
      <c r="X813" s="25">
        <v>104.583993631256</v>
      </c>
      <c r="Y813" s="25">
        <v>7.36353359242104</v>
      </c>
      <c r="Z813" s="25">
        <v>0</v>
      </c>
      <c r="AA813" s="25">
        <v>1</v>
      </c>
      <c r="AB813" s="25">
        <v>0</v>
      </c>
    </row>
    <row r="814" spans="23:28">
      <c r="W814" s="24">
        <v>812</v>
      </c>
      <c r="X814" s="25">
        <v>98.5608174042041</v>
      </c>
      <c r="Y814" s="25">
        <v>1.5154458121015</v>
      </c>
      <c r="Z814" s="25">
        <v>0</v>
      </c>
      <c r="AA814" s="25">
        <v>1</v>
      </c>
      <c r="AB814" s="25">
        <v>0</v>
      </c>
    </row>
    <row r="815" spans="23:28">
      <c r="W815" s="24">
        <v>813</v>
      </c>
      <c r="X815" s="25">
        <v>104.023163666918</v>
      </c>
      <c r="Y815" s="25">
        <v>6.81900646293851</v>
      </c>
      <c r="Z815" s="25">
        <v>0</v>
      </c>
      <c r="AA815" s="25">
        <v>0</v>
      </c>
      <c r="AB815" s="25">
        <v>1</v>
      </c>
    </row>
    <row r="816" spans="23:28">
      <c r="W816" s="24">
        <v>814</v>
      </c>
      <c r="X816" s="25">
        <v>94.7247448660707</v>
      </c>
      <c r="Y816" s="25">
        <v>0</v>
      </c>
      <c r="Z816" s="25">
        <v>2.20911546404363</v>
      </c>
      <c r="AA816" s="25">
        <v>1</v>
      </c>
      <c r="AB816" s="25">
        <v>0</v>
      </c>
    </row>
    <row r="817" spans="23:28">
      <c r="W817" s="24">
        <v>815</v>
      </c>
      <c r="X817" s="25">
        <v>101.81590869689</v>
      </c>
      <c r="Y817" s="25">
        <v>4.67591445771148</v>
      </c>
      <c r="Z817" s="25">
        <v>0</v>
      </c>
      <c r="AA817" s="25">
        <v>1</v>
      </c>
      <c r="AB817" s="25">
        <v>0</v>
      </c>
    </row>
    <row r="818" spans="23:28">
      <c r="W818" s="24">
        <v>816</v>
      </c>
      <c r="X818" s="25">
        <v>111.470036304219</v>
      </c>
      <c r="Y818" s="25">
        <v>14.0494050483553</v>
      </c>
      <c r="Z818" s="25">
        <v>0</v>
      </c>
      <c r="AA818" s="25">
        <v>0</v>
      </c>
      <c r="AB818" s="25">
        <v>1</v>
      </c>
    </row>
    <row r="819" spans="23:28">
      <c r="W819" s="24">
        <v>817</v>
      </c>
      <c r="X819" s="25">
        <v>95.6831288427562</v>
      </c>
      <c r="Y819" s="25">
        <v>0</v>
      </c>
      <c r="Z819" s="25">
        <v>1.27859086844314</v>
      </c>
      <c r="AA819" s="25">
        <v>0</v>
      </c>
      <c r="AB819" s="25">
        <v>1</v>
      </c>
    </row>
    <row r="820" spans="23:28">
      <c r="W820" s="24">
        <v>818</v>
      </c>
      <c r="X820" s="25">
        <v>91.6854916182789</v>
      </c>
      <c r="Y820" s="25">
        <v>0</v>
      </c>
      <c r="Z820" s="25">
        <v>5.16002028729598</v>
      </c>
      <c r="AA820" s="25">
        <v>1</v>
      </c>
      <c r="AB820" s="25">
        <v>0</v>
      </c>
    </row>
    <row r="821" spans="23:28">
      <c r="W821" s="24">
        <v>819</v>
      </c>
      <c r="X821" s="25">
        <v>114.4999676395</v>
      </c>
      <c r="Y821" s="25">
        <v>16.9912589389125</v>
      </c>
      <c r="Z821" s="25">
        <v>0</v>
      </c>
      <c r="AA821" s="25">
        <v>1</v>
      </c>
      <c r="AB821" s="25">
        <v>0</v>
      </c>
    </row>
    <row r="822" spans="23:28">
      <c r="W822" s="24">
        <v>820</v>
      </c>
      <c r="X822" s="25">
        <v>102.026086843609</v>
      </c>
      <c r="Y822" s="25">
        <v>4.8799829101664</v>
      </c>
      <c r="Z822" s="25">
        <v>0</v>
      </c>
      <c r="AA822" s="25">
        <v>1</v>
      </c>
      <c r="AB822" s="25">
        <v>0</v>
      </c>
    </row>
    <row r="823" spans="23:28">
      <c r="W823" s="24">
        <v>821</v>
      </c>
      <c r="X823" s="25">
        <v>104.05961772386</v>
      </c>
      <c r="Y823" s="25">
        <v>6.85440083243913</v>
      </c>
      <c r="Z823" s="25">
        <v>0</v>
      </c>
      <c r="AA823" s="25">
        <v>1</v>
      </c>
      <c r="AB823" s="25">
        <v>0</v>
      </c>
    </row>
    <row r="824" spans="23:28">
      <c r="W824" s="24">
        <v>822</v>
      </c>
      <c r="X824" s="25">
        <v>117.325190039443</v>
      </c>
      <c r="Y824" s="25">
        <v>19.7343546032204</v>
      </c>
      <c r="Z824" s="25">
        <v>0</v>
      </c>
      <c r="AA824" s="25">
        <v>1</v>
      </c>
      <c r="AB824" s="25">
        <v>0</v>
      </c>
    </row>
    <row r="825" spans="23:28">
      <c r="W825" s="24">
        <v>823</v>
      </c>
      <c r="X825" s="25">
        <v>100.735675305447</v>
      </c>
      <c r="Y825" s="25">
        <v>3.62708250290066</v>
      </c>
      <c r="Z825" s="25">
        <v>0</v>
      </c>
      <c r="AA825" s="25">
        <v>1</v>
      </c>
      <c r="AB825" s="25">
        <v>0</v>
      </c>
    </row>
    <row r="826" spans="23:28">
      <c r="W826" s="24">
        <v>824</v>
      </c>
      <c r="X826" s="25">
        <v>101.989987891595</v>
      </c>
      <c r="Y826" s="25">
        <v>4.84493332300519</v>
      </c>
      <c r="Z826" s="25">
        <v>0</v>
      </c>
      <c r="AA826" s="25">
        <v>1</v>
      </c>
      <c r="AB826" s="25">
        <v>0</v>
      </c>
    </row>
    <row r="827" spans="23:28">
      <c r="W827" s="24">
        <v>825</v>
      </c>
      <c r="X827" s="25">
        <v>103.04435396225</v>
      </c>
      <c r="Y827" s="25">
        <v>5.86864989734101</v>
      </c>
      <c r="Z827" s="25">
        <v>0</v>
      </c>
      <c r="AA827" s="25">
        <v>0</v>
      </c>
      <c r="AB827" s="25">
        <v>1</v>
      </c>
    </row>
    <row r="828" spans="23:28">
      <c r="W828" s="24">
        <v>826</v>
      </c>
      <c r="X828" s="25">
        <v>90.8930589698814</v>
      </c>
      <c r="Y828" s="25">
        <v>0</v>
      </c>
      <c r="Z828" s="25">
        <v>5.92941761407606</v>
      </c>
      <c r="AA828" s="25">
        <v>1</v>
      </c>
      <c r="AB828" s="25">
        <v>0</v>
      </c>
    </row>
    <row r="829" spans="23:28">
      <c r="W829" s="24">
        <v>827</v>
      </c>
      <c r="X829" s="25">
        <v>102.783398421772</v>
      </c>
      <c r="Y829" s="25">
        <v>5.61528010539961</v>
      </c>
      <c r="Z829" s="25">
        <v>0</v>
      </c>
      <c r="AA829" s="25">
        <v>1</v>
      </c>
      <c r="AB829" s="25">
        <v>0</v>
      </c>
    </row>
    <row r="830" spans="23:28">
      <c r="W830" s="24">
        <v>828</v>
      </c>
      <c r="X830" s="25">
        <v>120.314402197452</v>
      </c>
      <c r="Y830" s="25">
        <v>22.6366729872515</v>
      </c>
      <c r="Z830" s="25">
        <v>0</v>
      </c>
      <c r="AA830" s="25">
        <v>0</v>
      </c>
      <c r="AB830" s="25">
        <v>0</v>
      </c>
    </row>
    <row r="831" spans="23:28">
      <c r="W831" s="24">
        <v>829</v>
      </c>
      <c r="X831" s="25">
        <v>97.733515188449</v>
      </c>
      <c r="Y831" s="25">
        <v>0.712192545683979</v>
      </c>
      <c r="Z831" s="25">
        <v>0</v>
      </c>
      <c r="AA831" s="25">
        <v>1</v>
      </c>
      <c r="AB831" s="25">
        <v>0</v>
      </c>
    </row>
    <row r="832" spans="23:28">
      <c r="W832" s="24">
        <v>830</v>
      </c>
      <c r="X832" s="25">
        <v>118.194845576346</v>
      </c>
      <c r="Y832" s="25">
        <v>20.5787300169114</v>
      </c>
      <c r="Z832" s="25">
        <v>0</v>
      </c>
      <c r="AA832" s="25">
        <v>0</v>
      </c>
      <c r="AB832" s="25">
        <v>1</v>
      </c>
    </row>
    <row r="833" spans="23:28">
      <c r="W833" s="24">
        <v>831</v>
      </c>
      <c r="X833" s="25">
        <v>94.7242745935815</v>
      </c>
      <c r="Y833" s="25">
        <v>0</v>
      </c>
      <c r="Z833" s="25">
        <v>2.20957206612424</v>
      </c>
      <c r="AA833" s="25">
        <v>1</v>
      </c>
      <c r="AB833" s="25">
        <v>0</v>
      </c>
    </row>
    <row r="834" spans="23:28">
      <c r="W834" s="24">
        <v>832</v>
      </c>
      <c r="X834" s="25">
        <v>108.716813697591</v>
      </c>
      <c r="Y834" s="25">
        <v>11.3762162065601</v>
      </c>
      <c r="Z834" s="25">
        <v>0</v>
      </c>
      <c r="AA834" s="25">
        <v>1</v>
      </c>
      <c r="AB834" s="25">
        <v>0</v>
      </c>
    </row>
    <row r="835" spans="23:28">
      <c r="W835" s="24">
        <v>833</v>
      </c>
      <c r="X835" s="25">
        <v>107.305277101472</v>
      </c>
      <c r="Y835" s="25">
        <v>10.0057117404678</v>
      </c>
      <c r="Z835" s="25">
        <v>0</v>
      </c>
      <c r="AA835" s="25">
        <v>1</v>
      </c>
      <c r="AB835" s="25">
        <v>0</v>
      </c>
    </row>
    <row r="836" spans="23:28">
      <c r="W836" s="24">
        <v>834</v>
      </c>
      <c r="X836" s="25">
        <v>109.382760663549</v>
      </c>
      <c r="Y836" s="25">
        <v>12.0228046786801</v>
      </c>
      <c r="Z836" s="25">
        <v>0</v>
      </c>
      <c r="AA836" s="25">
        <v>1</v>
      </c>
      <c r="AB836" s="25">
        <v>0</v>
      </c>
    </row>
    <row r="837" spans="23:28">
      <c r="W837" s="24">
        <v>835</v>
      </c>
      <c r="X837" s="25">
        <v>100.65814128696</v>
      </c>
      <c r="Y837" s="25">
        <v>3.55180233028365</v>
      </c>
      <c r="Z837" s="25">
        <v>0</v>
      </c>
      <c r="AA837" s="25">
        <v>1</v>
      </c>
      <c r="AB837" s="25">
        <v>0</v>
      </c>
    </row>
    <row r="838" spans="23:28">
      <c r="W838" s="24">
        <v>836</v>
      </c>
      <c r="X838" s="25">
        <v>99.4854395514729</v>
      </c>
      <c r="Y838" s="25">
        <v>2.41319000503568</v>
      </c>
      <c r="Z838" s="25">
        <v>0</v>
      </c>
      <c r="AA838" s="25">
        <v>0</v>
      </c>
      <c r="AB838" s="25">
        <v>1</v>
      </c>
    </row>
    <row r="839" spans="23:28">
      <c r="W839" s="24">
        <v>837</v>
      </c>
      <c r="X839" s="25">
        <v>95.1589475410349</v>
      </c>
      <c r="Y839" s="25">
        <v>0</v>
      </c>
      <c r="Z839" s="25">
        <v>1.78753467976643</v>
      </c>
      <c r="AA839" s="25">
        <v>1</v>
      </c>
      <c r="AB839" s="25">
        <v>0</v>
      </c>
    </row>
    <row r="840" spans="23:28">
      <c r="W840" s="24">
        <v>838</v>
      </c>
      <c r="X840" s="25">
        <v>104.215014022359</v>
      </c>
      <c r="Y840" s="25">
        <v>7.00527989692269</v>
      </c>
      <c r="Z840" s="25">
        <v>0</v>
      </c>
      <c r="AA840" s="25">
        <v>1</v>
      </c>
      <c r="AB840" s="25">
        <v>0</v>
      </c>
    </row>
    <row r="841" spans="23:28">
      <c r="W841" s="24">
        <v>839</v>
      </c>
      <c r="X841" s="25">
        <v>104.21151389541</v>
      </c>
      <c r="Y841" s="25">
        <v>7.0018815155919</v>
      </c>
      <c r="Z841" s="25">
        <v>0</v>
      </c>
      <c r="AA841" s="25">
        <v>1</v>
      </c>
      <c r="AB841" s="25">
        <v>0</v>
      </c>
    </row>
    <row r="842" spans="23:28">
      <c r="W842" s="24">
        <v>840</v>
      </c>
      <c r="X842" s="25">
        <v>102.869922084618</v>
      </c>
      <c r="Y842" s="25">
        <v>5.69928860130362</v>
      </c>
      <c r="Z842" s="25">
        <v>0</v>
      </c>
      <c r="AA842" s="25">
        <v>0</v>
      </c>
      <c r="AB842" s="25">
        <v>0</v>
      </c>
    </row>
    <row r="843" spans="23:28">
      <c r="W843" s="24">
        <v>841</v>
      </c>
      <c r="X843" s="25">
        <v>96.435633470386</v>
      </c>
      <c r="Y843" s="25">
        <v>0</v>
      </c>
      <c r="Z843" s="25">
        <v>0.547960889909414</v>
      </c>
      <c r="AA843" s="25">
        <v>1</v>
      </c>
      <c r="AB843" s="25">
        <v>0</v>
      </c>
    </row>
    <row r="844" spans="23:28">
      <c r="W844" s="24">
        <v>842</v>
      </c>
      <c r="X844" s="25">
        <v>111.932461929878</v>
      </c>
      <c r="Y844" s="25">
        <v>14.4983883669201</v>
      </c>
      <c r="Z844" s="25">
        <v>0</v>
      </c>
      <c r="AA844" s="25">
        <v>1</v>
      </c>
      <c r="AB844" s="25">
        <v>0</v>
      </c>
    </row>
    <row r="845" spans="23:28">
      <c r="W845" s="24">
        <v>843</v>
      </c>
      <c r="X845" s="25">
        <v>107.121854973759</v>
      </c>
      <c r="Y845" s="25">
        <v>9.82762153302915</v>
      </c>
      <c r="Z845" s="25">
        <v>0</v>
      </c>
      <c r="AA845" s="25">
        <v>1</v>
      </c>
      <c r="AB845" s="25">
        <v>0</v>
      </c>
    </row>
    <row r="846" spans="23:28">
      <c r="W846" s="24">
        <v>844</v>
      </c>
      <c r="X846" s="25">
        <v>121.939985511272</v>
      </c>
      <c r="Y846" s="25">
        <v>24.2150020208185</v>
      </c>
      <c r="Z846" s="25">
        <v>0</v>
      </c>
      <c r="AA846" s="25">
        <v>1</v>
      </c>
      <c r="AB846" s="25">
        <v>0</v>
      </c>
    </row>
    <row r="847" spans="23:28">
      <c r="W847" s="24">
        <v>845</v>
      </c>
      <c r="X847" s="25">
        <v>103.178180693976</v>
      </c>
      <c r="Y847" s="25">
        <v>5.99858640342832</v>
      </c>
      <c r="Z847" s="25">
        <v>0</v>
      </c>
      <c r="AA847" s="25">
        <v>0</v>
      </c>
      <c r="AB847" s="25">
        <v>1</v>
      </c>
    </row>
    <row r="848" spans="23:28">
      <c r="W848" s="24">
        <v>846</v>
      </c>
      <c r="X848" s="25">
        <v>89.3685526810156</v>
      </c>
      <c r="Y848" s="25">
        <v>0</v>
      </c>
      <c r="Z848" s="25">
        <v>7.40960784309409</v>
      </c>
      <c r="AA848" s="25">
        <v>1</v>
      </c>
      <c r="AB848" s="25">
        <v>0</v>
      </c>
    </row>
    <row r="849" spans="23:28">
      <c r="W849" s="24">
        <v>847</v>
      </c>
      <c r="X849" s="25">
        <v>100.231429521547</v>
      </c>
      <c r="Y849" s="25">
        <v>3.13749470139124</v>
      </c>
      <c r="Z849" s="25">
        <v>0</v>
      </c>
      <c r="AA849" s="25">
        <v>0</v>
      </c>
      <c r="AB849" s="25">
        <v>1</v>
      </c>
    </row>
    <row r="850" spans="23:28">
      <c r="W850" s="24">
        <v>848</v>
      </c>
      <c r="X850" s="25">
        <v>86.3496532766381</v>
      </c>
      <c r="Y850" s="25">
        <v>0</v>
      </c>
      <c r="Z850" s="25">
        <v>10.3407504912968</v>
      </c>
      <c r="AA850" s="25">
        <v>1</v>
      </c>
      <c r="AB850" s="25">
        <v>0</v>
      </c>
    </row>
    <row r="851" spans="23:28">
      <c r="W851" s="24">
        <v>849</v>
      </c>
      <c r="X851" s="25">
        <v>106.157632722972</v>
      </c>
      <c r="Y851" s="25">
        <v>8.8914283768306</v>
      </c>
      <c r="Z851" s="25">
        <v>0</v>
      </c>
      <c r="AA851" s="25">
        <v>1</v>
      </c>
      <c r="AB851" s="25">
        <v>0</v>
      </c>
    </row>
    <row r="852" spans="23:28">
      <c r="W852" s="24">
        <v>850</v>
      </c>
      <c r="X852" s="25">
        <v>109.867726478695</v>
      </c>
      <c r="Y852" s="25">
        <v>12.4936729632061</v>
      </c>
      <c r="Z852" s="25">
        <v>0</v>
      </c>
      <c r="AA852" s="25">
        <v>1</v>
      </c>
      <c r="AB852" s="25">
        <v>0</v>
      </c>
    </row>
    <row r="853" spans="23:28">
      <c r="W853" s="24">
        <v>851</v>
      </c>
      <c r="X853" s="25">
        <v>118.903500224431</v>
      </c>
      <c r="Y853" s="25">
        <v>21.266784696321</v>
      </c>
      <c r="Z853" s="25">
        <v>0</v>
      </c>
      <c r="AA853" s="25">
        <v>1</v>
      </c>
      <c r="AB853" s="25">
        <v>0</v>
      </c>
    </row>
    <row r="854" spans="23:28">
      <c r="W854" s="24">
        <v>852</v>
      </c>
      <c r="X854" s="25">
        <v>100.90642604919</v>
      </c>
      <c r="Y854" s="25">
        <v>3.79286967238053</v>
      </c>
      <c r="Z854" s="25">
        <v>0</v>
      </c>
      <c r="AA854" s="25">
        <v>1</v>
      </c>
      <c r="AB854" s="25">
        <v>0</v>
      </c>
    </row>
    <row r="855" spans="23:28">
      <c r="W855" s="24">
        <v>853</v>
      </c>
      <c r="X855" s="25">
        <v>104.358683444463</v>
      </c>
      <c r="Y855" s="25">
        <v>7.1447729750166</v>
      </c>
      <c r="Z855" s="25">
        <v>0</v>
      </c>
      <c r="AA855" s="25">
        <v>0</v>
      </c>
      <c r="AB855" s="25">
        <v>1</v>
      </c>
    </row>
    <row r="856" spans="23:28">
      <c r="W856" s="24">
        <v>854</v>
      </c>
      <c r="X856" s="25">
        <v>95.053866511673</v>
      </c>
      <c r="Y856" s="25">
        <v>0</v>
      </c>
      <c r="Z856" s="25">
        <v>1.88956109582827</v>
      </c>
      <c r="AA856" s="25">
        <v>0</v>
      </c>
      <c r="AB856" s="25">
        <v>1</v>
      </c>
    </row>
    <row r="857" spans="23:28">
      <c r="W857" s="24">
        <v>855</v>
      </c>
      <c r="X857" s="25">
        <v>94.3252353385692</v>
      </c>
      <c r="Y857" s="25">
        <v>0</v>
      </c>
      <c r="Z857" s="25">
        <v>2.59701160020667</v>
      </c>
      <c r="AA857" s="25">
        <v>0</v>
      </c>
      <c r="AB857" s="25">
        <v>1</v>
      </c>
    </row>
    <row r="858" spans="23:28">
      <c r="W858" s="24">
        <v>856</v>
      </c>
      <c r="X858" s="25">
        <v>93.7755210284657</v>
      </c>
      <c r="Y858" s="25">
        <v>0</v>
      </c>
      <c r="Z858" s="25">
        <v>3.13074619776736</v>
      </c>
      <c r="AA858" s="25">
        <v>1</v>
      </c>
      <c r="AB858" s="25">
        <v>0</v>
      </c>
    </row>
    <row r="859" spans="23:28">
      <c r="W859" s="24">
        <v>857</v>
      </c>
      <c r="X859" s="25">
        <v>106.915332824332</v>
      </c>
      <c r="Y859" s="25">
        <v>9.62710280123312</v>
      </c>
      <c r="Z859" s="25">
        <v>0</v>
      </c>
      <c r="AA859" s="25">
        <v>1</v>
      </c>
      <c r="AB859" s="25">
        <v>0</v>
      </c>
    </row>
    <row r="860" spans="23:28">
      <c r="W860" s="24">
        <v>858</v>
      </c>
      <c r="X860" s="25">
        <v>100.104025373555</v>
      </c>
      <c r="Y860" s="25">
        <v>3.01379408016588</v>
      </c>
      <c r="Z860" s="25">
        <v>0</v>
      </c>
      <c r="AA860" s="25">
        <v>1</v>
      </c>
      <c r="AB860" s="25">
        <v>0</v>
      </c>
    </row>
    <row r="861" spans="23:28">
      <c r="W861" s="24">
        <v>859</v>
      </c>
      <c r="X861" s="25">
        <v>105.952727186689</v>
      </c>
      <c r="Y861" s="25">
        <v>8.69247926465448</v>
      </c>
      <c r="Z861" s="25">
        <v>0</v>
      </c>
      <c r="AA861" s="25">
        <v>1</v>
      </c>
      <c r="AB861" s="25">
        <v>0</v>
      </c>
    </row>
    <row r="862" spans="23:28">
      <c r="W862" s="24">
        <v>860</v>
      </c>
      <c r="X862" s="25">
        <v>101.787929578028</v>
      </c>
      <c r="Y862" s="25">
        <v>4.64874866727908</v>
      </c>
      <c r="Z862" s="25">
        <v>0</v>
      </c>
      <c r="AA862" s="25">
        <v>1</v>
      </c>
      <c r="AB862" s="25">
        <v>0</v>
      </c>
    </row>
    <row r="863" spans="23:28">
      <c r="W863" s="24">
        <v>861</v>
      </c>
      <c r="X863" s="25">
        <v>115.703239869331</v>
      </c>
      <c r="Y863" s="25">
        <v>18.1595531010629</v>
      </c>
      <c r="Z863" s="25">
        <v>0</v>
      </c>
      <c r="AA863" s="25">
        <v>1</v>
      </c>
      <c r="AB863" s="25">
        <v>0</v>
      </c>
    </row>
    <row r="864" spans="23:28">
      <c r="W864" s="24">
        <v>862</v>
      </c>
      <c r="X864" s="25">
        <v>100.145110322483</v>
      </c>
      <c r="Y864" s="25">
        <v>3.05368472568683</v>
      </c>
      <c r="Z864" s="25">
        <v>0</v>
      </c>
      <c r="AA864" s="25">
        <v>1</v>
      </c>
      <c r="AB864" s="25">
        <v>0</v>
      </c>
    </row>
    <row r="865" spans="23:28">
      <c r="W865" s="24">
        <v>863</v>
      </c>
      <c r="X865" s="25">
        <v>117.534709973818</v>
      </c>
      <c r="Y865" s="25">
        <v>19.9377839769862</v>
      </c>
      <c r="Z865" s="25">
        <v>0</v>
      </c>
      <c r="AA865" s="25">
        <v>1</v>
      </c>
      <c r="AB865" s="25">
        <v>0</v>
      </c>
    </row>
    <row r="866" spans="23:28">
      <c r="W866" s="24">
        <v>864</v>
      </c>
      <c r="X866" s="25">
        <v>105.675641610963</v>
      </c>
      <c r="Y866" s="25">
        <v>8.42344832343307</v>
      </c>
      <c r="Z866" s="25">
        <v>0</v>
      </c>
      <c r="AA866" s="25">
        <v>1</v>
      </c>
      <c r="AB866" s="25">
        <v>0</v>
      </c>
    </row>
    <row r="867" spans="23:28">
      <c r="W867" s="24">
        <v>865</v>
      </c>
      <c r="X867" s="25">
        <v>102.703652315754</v>
      </c>
      <c r="Y867" s="25">
        <v>5.53785214869501</v>
      </c>
      <c r="Z867" s="25">
        <v>0</v>
      </c>
      <c r="AA867" s="25">
        <v>1</v>
      </c>
      <c r="AB867" s="25">
        <v>0</v>
      </c>
    </row>
    <row r="868" spans="23:28">
      <c r="W868" s="24">
        <v>866</v>
      </c>
      <c r="X868" s="25">
        <v>110.98781834246</v>
      </c>
      <c r="Y868" s="25">
        <v>13.5812047395306</v>
      </c>
      <c r="Z868" s="25">
        <v>0</v>
      </c>
      <c r="AA868" s="25">
        <v>1</v>
      </c>
      <c r="AB868" s="25">
        <v>0</v>
      </c>
    </row>
    <row r="869" spans="23:28">
      <c r="W869" s="24">
        <v>867</v>
      </c>
      <c r="X869" s="25">
        <v>106.605445961038</v>
      </c>
      <c r="Y869" s="25">
        <v>9.32622407708558</v>
      </c>
      <c r="Z869" s="25">
        <v>0</v>
      </c>
      <c r="AA869" s="25">
        <v>1</v>
      </c>
      <c r="AB869" s="25">
        <v>0</v>
      </c>
    </row>
    <row r="870" spans="23:28">
      <c r="W870" s="24">
        <v>868</v>
      </c>
      <c r="X870" s="25">
        <v>100.008175648786</v>
      </c>
      <c r="Y870" s="25">
        <v>2.92073062277475</v>
      </c>
      <c r="Z870" s="25">
        <v>0</v>
      </c>
      <c r="AA870" s="25">
        <v>1</v>
      </c>
      <c r="AB870" s="25">
        <v>0</v>
      </c>
    </row>
    <row r="871" spans="23:28">
      <c r="W871" s="24">
        <v>869</v>
      </c>
      <c r="X871" s="25">
        <v>107.313522687779</v>
      </c>
      <c r="Y871" s="25">
        <v>10.0137176348172</v>
      </c>
      <c r="Z871" s="25">
        <v>0</v>
      </c>
      <c r="AA871" s="25">
        <v>1</v>
      </c>
      <c r="AB871" s="25">
        <v>0</v>
      </c>
    </row>
    <row r="872" spans="23:28">
      <c r="W872" s="24">
        <v>870</v>
      </c>
      <c r="X872" s="25">
        <v>117.908573147384</v>
      </c>
      <c r="Y872" s="25">
        <v>20.3007792762144</v>
      </c>
      <c r="Z872" s="25">
        <v>0</v>
      </c>
      <c r="AA872" s="25">
        <v>1</v>
      </c>
      <c r="AB872" s="25">
        <v>0</v>
      </c>
    </row>
    <row r="873" spans="23:28">
      <c r="W873" s="24">
        <v>871</v>
      </c>
      <c r="X873" s="25">
        <v>99.4166769112624</v>
      </c>
      <c r="Y873" s="25">
        <v>2.34642623442723</v>
      </c>
      <c r="Z873" s="25">
        <v>0</v>
      </c>
      <c r="AA873" s="25">
        <v>1</v>
      </c>
      <c r="AB873" s="25">
        <v>0</v>
      </c>
    </row>
    <row r="874" spans="23:28">
      <c r="W874" s="24">
        <v>872</v>
      </c>
      <c r="X874" s="25">
        <v>98.8829957497243</v>
      </c>
      <c r="Y874" s="25">
        <v>1.82825871587444</v>
      </c>
      <c r="Z874" s="25">
        <v>0</v>
      </c>
      <c r="AA874" s="25">
        <v>1</v>
      </c>
      <c r="AB874" s="25">
        <v>0</v>
      </c>
    </row>
    <row r="875" spans="23:28">
      <c r="W875" s="24">
        <v>873</v>
      </c>
      <c r="X875" s="25">
        <v>99.2157115858842</v>
      </c>
      <c r="Y875" s="25">
        <v>2.1513027946823</v>
      </c>
      <c r="Z875" s="25">
        <v>0</v>
      </c>
      <c r="AA875" s="25">
        <v>1</v>
      </c>
      <c r="AB875" s="25">
        <v>0</v>
      </c>
    </row>
    <row r="876" spans="23:28">
      <c r="W876" s="24">
        <v>874</v>
      </c>
      <c r="X876" s="25">
        <v>103.894061829571</v>
      </c>
      <c r="Y876" s="25">
        <v>6.69365750269826</v>
      </c>
      <c r="Z876" s="25">
        <v>0</v>
      </c>
      <c r="AA876" s="25">
        <v>0</v>
      </c>
      <c r="AB876" s="25">
        <v>1</v>
      </c>
    </row>
    <row r="877" spans="23:28">
      <c r="W877" s="24">
        <v>875</v>
      </c>
      <c r="X877" s="25">
        <v>92.9567045224118</v>
      </c>
      <c r="Y877" s="25">
        <v>0</v>
      </c>
      <c r="Z877" s="25">
        <v>3.9257604266174</v>
      </c>
      <c r="AA877" s="25">
        <v>1</v>
      </c>
      <c r="AB877" s="25">
        <v>0</v>
      </c>
    </row>
    <row r="878" spans="23:28">
      <c r="W878" s="24">
        <v>876</v>
      </c>
      <c r="X878" s="25">
        <v>121.120216662971</v>
      </c>
      <c r="Y878" s="25">
        <v>23.4190631334738</v>
      </c>
      <c r="Z878" s="25">
        <v>0</v>
      </c>
      <c r="AA878" s="25">
        <v>1</v>
      </c>
      <c r="AB878" s="25">
        <v>0</v>
      </c>
    </row>
    <row r="879" spans="23:28">
      <c r="W879" s="24">
        <v>877</v>
      </c>
      <c r="X879" s="25">
        <v>110.153624531988</v>
      </c>
      <c r="Y879" s="25">
        <v>12.7712602110056</v>
      </c>
      <c r="Z879" s="25">
        <v>0</v>
      </c>
      <c r="AA879" s="25">
        <v>1</v>
      </c>
      <c r="AB879" s="25">
        <v>0</v>
      </c>
    </row>
    <row r="880" spans="23:28">
      <c r="W880" s="24">
        <v>878</v>
      </c>
      <c r="X880" s="25">
        <v>116.907996481602</v>
      </c>
      <c r="Y880" s="25">
        <v>19.32928849596</v>
      </c>
      <c r="Z880" s="25">
        <v>0</v>
      </c>
      <c r="AA880" s="25">
        <v>1</v>
      </c>
      <c r="AB880" s="25">
        <v>0</v>
      </c>
    </row>
    <row r="881" spans="23:28">
      <c r="W881" s="24">
        <v>879</v>
      </c>
      <c r="X881" s="25">
        <v>103.262244137724</v>
      </c>
      <c r="Y881" s="25">
        <v>6.08020619664376</v>
      </c>
      <c r="Z881" s="25">
        <v>0</v>
      </c>
      <c r="AA881" s="25">
        <v>1</v>
      </c>
      <c r="AB881" s="25">
        <v>0</v>
      </c>
    </row>
    <row r="882" spans="23:28">
      <c r="W882" s="24">
        <v>880</v>
      </c>
      <c r="X882" s="25">
        <v>115.017531772389</v>
      </c>
      <c r="Y882" s="25">
        <v>17.4937779366938</v>
      </c>
      <c r="Z882" s="25">
        <v>0</v>
      </c>
      <c r="AA882" s="25">
        <v>1</v>
      </c>
      <c r="AB882" s="25">
        <v>0</v>
      </c>
    </row>
    <row r="883" spans="23:28">
      <c r="W883" s="24">
        <v>881</v>
      </c>
      <c r="X883" s="25">
        <v>100.211157804675</v>
      </c>
      <c r="Y883" s="25">
        <v>3.11781226553709</v>
      </c>
      <c r="Z883" s="25">
        <v>0</v>
      </c>
      <c r="AA883" s="25">
        <v>1</v>
      </c>
      <c r="AB883" s="25">
        <v>0</v>
      </c>
    </row>
    <row r="884" spans="23:28">
      <c r="W884" s="24">
        <v>882</v>
      </c>
      <c r="X884" s="25">
        <v>113.931934605978</v>
      </c>
      <c r="Y884" s="25">
        <v>16.4397381271457</v>
      </c>
      <c r="Z884" s="25">
        <v>0</v>
      </c>
      <c r="AA884" s="25">
        <v>1</v>
      </c>
      <c r="AB884" s="25">
        <v>0</v>
      </c>
    </row>
    <row r="885" spans="23:28">
      <c r="W885" s="24">
        <v>883</v>
      </c>
      <c r="X885" s="25">
        <v>103.26024406349</v>
      </c>
      <c r="Y885" s="25">
        <v>6.07826426281287</v>
      </c>
      <c r="Z885" s="25">
        <v>0</v>
      </c>
      <c r="AA885" s="25">
        <v>1</v>
      </c>
      <c r="AB885" s="25">
        <v>0</v>
      </c>
    </row>
    <row r="886" spans="23:28">
      <c r="W886" s="24">
        <v>884</v>
      </c>
      <c r="X886" s="25">
        <v>111.38023136266</v>
      </c>
      <c r="Y886" s="25">
        <v>13.9622106576311</v>
      </c>
      <c r="Z886" s="25">
        <v>0</v>
      </c>
      <c r="AA886" s="25">
        <v>1</v>
      </c>
      <c r="AB886" s="25">
        <v>0</v>
      </c>
    </row>
    <row r="887" spans="23:28">
      <c r="W887" s="24">
        <v>885</v>
      </c>
      <c r="X887" s="25">
        <v>119.723679041477</v>
      </c>
      <c r="Y887" s="25">
        <v>22.0631216349782</v>
      </c>
      <c r="Z887" s="25">
        <v>0</v>
      </c>
      <c r="AA887" s="25">
        <v>1</v>
      </c>
      <c r="AB887" s="25">
        <v>0</v>
      </c>
    </row>
    <row r="888" spans="23:28">
      <c r="W888" s="24">
        <v>886</v>
      </c>
      <c r="X888" s="25">
        <v>99.8576138509528</v>
      </c>
      <c r="Y888" s="25">
        <v>2.77454552426522</v>
      </c>
      <c r="Z888" s="25">
        <v>0</v>
      </c>
      <c r="AA888" s="25">
        <v>0</v>
      </c>
      <c r="AB888" s="25">
        <v>0</v>
      </c>
    </row>
    <row r="889" spans="23:28">
      <c r="W889" s="24">
        <v>887</v>
      </c>
      <c r="X889" s="25">
        <v>97.724624464095</v>
      </c>
      <c r="Y889" s="25">
        <v>0.703560266884039</v>
      </c>
      <c r="Z889" s="25">
        <v>0</v>
      </c>
      <c r="AA889" s="25">
        <v>0</v>
      </c>
      <c r="AB889" s="25">
        <v>1</v>
      </c>
    </row>
    <row r="890" spans="23:28">
      <c r="W890" s="24">
        <v>888</v>
      </c>
      <c r="X890" s="25">
        <v>94.5189936336871</v>
      </c>
      <c r="Y890" s="25">
        <v>0</v>
      </c>
      <c r="Z890" s="25">
        <v>2.40888568867753</v>
      </c>
      <c r="AA890" s="25">
        <v>1</v>
      </c>
      <c r="AB890" s="25">
        <v>0</v>
      </c>
    </row>
    <row r="891" spans="23:28">
      <c r="W891" s="24">
        <v>889</v>
      </c>
      <c r="X891" s="25">
        <v>99.8135065358889</v>
      </c>
      <c r="Y891" s="25">
        <v>2.73172037013989</v>
      </c>
      <c r="Z891" s="25">
        <v>0</v>
      </c>
      <c r="AA891" s="25">
        <v>1</v>
      </c>
      <c r="AB891" s="25">
        <v>0</v>
      </c>
    </row>
    <row r="892" spans="23:28">
      <c r="W892" s="24">
        <v>890</v>
      </c>
      <c r="X892" s="25">
        <v>98.7023568482155</v>
      </c>
      <c r="Y892" s="25">
        <v>1.65287082869636</v>
      </c>
      <c r="Z892" s="25">
        <v>0</v>
      </c>
      <c r="AA892" s="25">
        <v>1</v>
      </c>
      <c r="AB892" s="25">
        <v>0</v>
      </c>
    </row>
    <row r="893" spans="23:28">
      <c r="W893" s="24">
        <v>891</v>
      </c>
      <c r="X893" s="25">
        <v>112.357557554136</v>
      </c>
      <c r="Y893" s="25">
        <v>14.9111268344628</v>
      </c>
      <c r="Z893" s="25">
        <v>0</v>
      </c>
      <c r="AA893" s="25">
        <v>1</v>
      </c>
      <c r="AB893" s="25">
        <v>0</v>
      </c>
    </row>
    <row r="894" spans="23:28">
      <c r="W894" s="24">
        <v>892</v>
      </c>
      <c r="X894" s="25">
        <v>107.020900145737</v>
      </c>
      <c r="Y894" s="25">
        <v>9.72960137325507</v>
      </c>
      <c r="Z894" s="25">
        <v>0</v>
      </c>
      <c r="AA894" s="25">
        <v>1</v>
      </c>
      <c r="AB894" s="25">
        <v>0</v>
      </c>
    </row>
    <row r="895" spans="23:28">
      <c r="W895" s="24">
        <v>893</v>
      </c>
      <c r="X895" s="25">
        <v>113.797833042435</v>
      </c>
      <c r="Y895" s="25">
        <v>16.3095347783615</v>
      </c>
      <c r="Z895" s="25">
        <v>0</v>
      </c>
      <c r="AA895" s="25">
        <v>1</v>
      </c>
      <c r="AB895" s="25">
        <v>0</v>
      </c>
    </row>
    <row r="896" spans="23:28">
      <c r="W896" s="24">
        <v>894</v>
      </c>
      <c r="X896" s="25">
        <v>110.435516675062</v>
      </c>
      <c r="Y896" s="25">
        <v>13.0449579968809</v>
      </c>
      <c r="Z896" s="25">
        <v>0</v>
      </c>
      <c r="AA896" s="25">
        <v>1</v>
      </c>
      <c r="AB896" s="25">
        <v>0</v>
      </c>
    </row>
    <row r="897" spans="23:28">
      <c r="W897" s="24">
        <v>895</v>
      </c>
      <c r="X897" s="25">
        <v>114.293490948359</v>
      </c>
      <c r="Y897" s="25">
        <v>16.7907843439702</v>
      </c>
      <c r="Z897" s="25">
        <v>0</v>
      </c>
      <c r="AA897" s="25">
        <v>0</v>
      </c>
      <c r="AB897" s="25">
        <v>1</v>
      </c>
    </row>
    <row r="898" spans="23:28">
      <c r="W898" s="24">
        <v>896</v>
      </c>
      <c r="X898" s="25">
        <v>93.487900098069</v>
      </c>
      <c r="Y898" s="25">
        <v>0</v>
      </c>
      <c r="Z898" s="25">
        <v>3.41000624014544</v>
      </c>
      <c r="AA898" s="25">
        <v>0</v>
      </c>
      <c r="AB898" s="25">
        <v>0</v>
      </c>
    </row>
    <row r="899" spans="23:28">
      <c r="W899" s="24">
        <v>897</v>
      </c>
      <c r="X899" s="25">
        <v>97.8568335627035</v>
      </c>
      <c r="Y899" s="25">
        <v>0.831926163028182</v>
      </c>
      <c r="Z899" s="25">
        <v>0</v>
      </c>
      <c r="AA899" s="25">
        <v>1</v>
      </c>
      <c r="AB899" s="25">
        <v>0</v>
      </c>
    </row>
    <row r="900" spans="23:28">
      <c r="W900" s="24">
        <v>898</v>
      </c>
      <c r="X900" s="25">
        <v>112.117041096168</v>
      </c>
      <c r="Y900" s="25">
        <v>14.6776019788401</v>
      </c>
      <c r="Z900" s="25">
        <v>0</v>
      </c>
      <c r="AA900" s="25">
        <v>1</v>
      </c>
      <c r="AB900" s="25">
        <v>0</v>
      </c>
    </row>
    <row r="901" spans="23:28">
      <c r="W901" s="24">
        <v>899</v>
      </c>
      <c r="X901" s="25">
        <v>110.221074476772</v>
      </c>
      <c r="Y901" s="25">
        <v>12.8367494450922</v>
      </c>
      <c r="Z901" s="25">
        <v>0</v>
      </c>
      <c r="AA901" s="25">
        <v>1</v>
      </c>
      <c r="AB901" s="25">
        <v>0</v>
      </c>
    </row>
    <row r="902" spans="23:28">
      <c r="W902" s="24">
        <v>900</v>
      </c>
      <c r="X902" s="25">
        <v>100.189792424632</v>
      </c>
      <c r="Y902" s="25">
        <v>3.09706795834121</v>
      </c>
      <c r="Z902" s="25">
        <v>0</v>
      </c>
      <c r="AA902" s="25">
        <v>0</v>
      </c>
      <c r="AB902" s="25">
        <v>0</v>
      </c>
    </row>
    <row r="903" spans="23:28">
      <c r="W903" s="24">
        <v>901</v>
      </c>
      <c r="X903" s="25">
        <v>96.253773118346</v>
      </c>
      <c r="Y903" s="25">
        <v>0</v>
      </c>
      <c r="Z903" s="25">
        <v>0.724534721123807</v>
      </c>
      <c r="AA903" s="25">
        <v>1</v>
      </c>
      <c r="AB903" s="25">
        <v>0</v>
      </c>
    </row>
    <row r="904" spans="23:28">
      <c r="W904" s="24">
        <v>902</v>
      </c>
      <c r="X904" s="25">
        <v>108.997184119401</v>
      </c>
      <c r="Y904" s="25">
        <v>11.6484365062732</v>
      </c>
      <c r="Z904" s="25">
        <v>0</v>
      </c>
      <c r="AA904" s="25">
        <v>1</v>
      </c>
      <c r="AB904" s="25">
        <v>0</v>
      </c>
    </row>
    <row r="905" spans="23:28">
      <c r="W905" s="24">
        <v>903</v>
      </c>
      <c r="X905" s="25">
        <v>113.830657048501</v>
      </c>
      <c r="Y905" s="25">
        <v>16.3414046193787</v>
      </c>
      <c r="Z905" s="25">
        <v>0</v>
      </c>
      <c r="AA905" s="25">
        <v>1</v>
      </c>
      <c r="AB905" s="25">
        <v>0</v>
      </c>
    </row>
    <row r="906" spans="23:28">
      <c r="W906" s="24">
        <v>904</v>
      </c>
      <c r="X906" s="25">
        <v>108.977924858875</v>
      </c>
      <c r="Y906" s="25">
        <v>11.629737095548</v>
      </c>
      <c r="Z906" s="25">
        <v>0</v>
      </c>
      <c r="AA906" s="25">
        <v>1</v>
      </c>
      <c r="AB906" s="25">
        <v>0</v>
      </c>
    </row>
    <row r="907" spans="23:28">
      <c r="W907" s="24">
        <v>905</v>
      </c>
      <c r="X907" s="25">
        <v>99.5519518359411</v>
      </c>
      <c r="Y907" s="25">
        <v>2.47776883576839</v>
      </c>
      <c r="Z907" s="25">
        <v>0</v>
      </c>
      <c r="AA907" s="25">
        <v>1</v>
      </c>
      <c r="AB907" s="25">
        <v>0</v>
      </c>
    </row>
    <row r="908" spans="23:28">
      <c r="W908" s="24">
        <v>906</v>
      </c>
      <c r="X908" s="25">
        <v>105.931212727635</v>
      </c>
      <c r="Y908" s="25">
        <v>8.67159021204244</v>
      </c>
      <c r="Z908" s="25">
        <v>0</v>
      </c>
      <c r="AA908" s="25">
        <v>1</v>
      </c>
      <c r="AB908" s="25">
        <v>0</v>
      </c>
    </row>
    <row r="909" spans="23:28">
      <c r="W909" s="24">
        <v>907</v>
      </c>
      <c r="X909" s="25">
        <v>101.020893200952</v>
      </c>
      <c r="Y909" s="25">
        <v>3.90400936450209</v>
      </c>
      <c r="Z909" s="25">
        <v>0</v>
      </c>
      <c r="AA909" s="25">
        <v>1</v>
      </c>
      <c r="AB909" s="25">
        <v>0</v>
      </c>
    </row>
    <row r="910" spans="23:28">
      <c r="W910" s="24">
        <v>908</v>
      </c>
      <c r="X910" s="25">
        <v>109.257238306525</v>
      </c>
      <c r="Y910" s="25">
        <v>11.900931146412</v>
      </c>
      <c r="Z910" s="25">
        <v>0</v>
      </c>
      <c r="AA910" s="25">
        <v>1</v>
      </c>
      <c r="AB910" s="25">
        <v>0</v>
      </c>
    </row>
    <row r="911" spans="23:28">
      <c r="W911" s="24">
        <v>909</v>
      </c>
      <c r="X911" s="25">
        <v>100.125149421715</v>
      </c>
      <c r="Y911" s="25">
        <v>3.03430407078551</v>
      </c>
      <c r="Z911" s="25">
        <v>0</v>
      </c>
      <c r="AA911" s="25">
        <v>1</v>
      </c>
      <c r="AB911" s="25">
        <v>0</v>
      </c>
    </row>
    <row r="912" spans="23:28">
      <c r="W912" s="24">
        <v>910</v>
      </c>
      <c r="X912" s="25">
        <v>102.08270264137</v>
      </c>
      <c r="Y912" s="25">
        <v>4.93495293637464</v>
      </c>
      <c r="Z912" s="25">
        <v>0</v>
      </c>
      <c r="AA912" s="25">
        <v>1</v>
      </c>
      <c r="AB912" s="25">
        <v>0</v>
      </c>
    </row>
    <row r="913" spans="23:28">
      <c r="W913" s="24">
        <v>911</v>
      </c>
      <c r="X913" s="25">
        <v>111.281091242224</v>
      </c>
      <c r="Y913" s="25">
        <v>13.8659524534862</v>
      </c>
      <c r="Z913" s="25">
        <v>0</v>
      </c>
      <c r="AA913" s="25">
        <v>1</v>
      </c>
      <c r="AB913" s="25">
        <v>0</v>
      </c>
    </row>
    <row r="914" spans="23:28">
      <c r="W914" s="24">
        <v>912</v>
      </c>
      <c r="X914" s="25">
        <v>104.124360167596</v>
      </c>
      <c r="Y914" s="25">
        <v>6.91726127015561</v>
      </c>
      <c r="Z914" s="25">
        <v>0</v>
      </c>
      <c r="AA914" s="25">
        <v>1</v>
      </c>
      <c r="AB914" s="25">
        <v>0</v>
      </c>
    </row>
    <row r="915" spans="23:28">
      <c r="W915" s="24">
        <v>913</v>
      </c>
      <c r="X915" s="25">
        <v>105.046850419344</v>
      </c>
      <c r="Y915" s="25">
        <v>7.81293553990137</v>
      </c>
      <c r="Z915" s="25">
        <v>0</v>
      </c>
      <c r="AA915" s="25">
        <v>1</v>
      </c>
      <c r="AB915" s="25">
        <v>0</v>
      </c>
    </row>
    <row r="916" spans="23:28">
      <c r="W916" s="24">
        <v>914</v>
      </c>
      <c r="X916" s="25">
        <v>105.851430125622</v>
      </c>
      <c r="Y916" s="25">
        <v>8.59412682024973</v>
      </c>
      <c r="Z916" s="25">
        <v>0</v>
      </c>
      <c r="AA916" s="25">
        <v>1</v>
      </c>
      <c r="AB916" s="25">
        <v>0</v>
      </c>
    </row>
    <row r="917" spans="23:28">
      <c r="W917" s="24">
        <v>915</v>
      </c>
      <c r="X917" s="25">
        <v>108.01598081571</v>
      </c>
      <c r="Y917" s="25">
        <v>10.6957559214759</v>
      </c>
      <c r="Z917" s="25">
        <v>0</v>
      </c>
      <c r="AA917" s="25">
        <v>0</v>
      </c>
      <c r="AB917" s="25">
        <v>1</v>
      </c>
    </row>
    <row r="918" spans="23:28">
      <c r="W918" s="24">
        <v>916</v>
      </c>
      <c r="X918" s="25">
        <v>95.6296145150804</v>
      </c>
      <c r="Y918" s="25">
        <v>0</v>
      </c>
      <c r="Z918" s="25">
        <v>1.33054958157972</v>
      </c>
      <c r="AA918" s="25">
        <v>1</v>
      </c>
      <c r="AB918" s="25">
        <v>0</v>
      </c>
    </row>
    <row r="919" spans="23:28">
      <c r="W919" s="24">
        <v>917</v>
      </c>
      <c r="X919" s="25">
        <v>109.366974217186</v>
      </c>
      <c r="Y919" s="25">
        <v>12.0074771304581</v>
      </c>
      <c r="Z919" s="25">
        <v>0</v>
      </c>
      <c r="AA919" s="25">
        <v>1</v>
      </c>
      <c r="AB919" s="25">
        <v>0</v>
      </c>
    </row>
    <row r="920" spans="23:28">
      <c r="W920" s="24">
        <v>918</v>
      </c>
      <c r="X920" s="25">
        <v>120.639563503001</v>
      </c>
      <c r="Y920" s="25">
        <v>22.9523821390238</v>
      </c>
      <c r="Z920" s="25">
        <v>0</v>
      </c>
      <c r="AA920" s="25">
        <v>0</v>
      </c>
      <c r="AB920" s="25">
        <v>0</v>
      </c>
    </row>
    <row r="921" spans="23:28">
      <c r="W921" s="24">
        <v>919</v>
      </c>
      <c r="X921" s="25">
        <v>97.6105232018335</v>
      </c>
      <c r="Y921" s="25">
        <v>0.592775828176472</v>
      </c>
      <c r="Z921" s="25">
        <v>0</v>
      </c>
      <c r="AA921" s="25">
        <v>1</v>
      </c>
      <c r="AB921" s="25">
        <v>0</v>
      </c>
    </row>
    <row r="922" spans="23:28">
      <c r="W922" s="24">
        <v>920</v>
      </c>
      <c r="X922" s="25">
        <v>100.236208236251</v>
      </c>
      <c r="Y922" s="25">
        <v>3.14213450305267</v>
      </c>
      <c r="Z922" s="25">
        <v>0</v>
      </c>
      <c r="AA922" s="25">
        <v>1</v>
      </c>
      <c r="AB922" s="25">
        <v>0</v>
      </c>
    </row>
    <row r="923" spans="23:28">
      <c r="W923" s="24">
        <v>921</v>
      </c>
      <c r="X923" s="25">
        <v>105.487727818629</v>
      </c>
      <c r="Y923" s="25">
        <v>8.24099702012092</v>
      </c>
      <c r="Z923" s="25">
        <v>0</v>
      </c>
      <c r="AA923" s="25">
        <v>0</v>
      </c>
      <c r="AB923" s="25">
        <v>1</v>
      </c>
    </row>
    <row r="924" spans="23:28">
      <c r="W924" s="24">
        <v>922</v>
      </c>
      <c r="X924" s="25">
        <v>93.5013381027575</v>
      </c>
      <c r="Y924" s="25">
        <v>0</v>
      </c>
      <c r="Z924" s="25">
        <v>3.39695886645949</v>
      </c>
      <c r="AA924" s="25">
        <v>0</v>
      </c>
      <c r="AB924" s="25">
        <v>0</v>
      </c>
    </row>
    <row r="925" spans="23:28">
      <c r="W925" s="24">
        <v>923</v>
      </c>
      <c r="X925" s="25">
        <v>96.1732530039888</v>
      </c>
      <c r="Y925" s="25">
        <v>0</v>
      </c>
      <c r="Z925" s="25">
        <v>0.802714186424398</v>
      </c>
      <c r="AA925" s="25">
        <v>1</v>
      </c>
      <c r="AB925" s="25">
        <v>0</v>
      </c>
    </row>
    <row r="926" spans="23:28">
      <c r="W926" s="24">
        <v>924</v>
      </c>
      <c r="X926" s="25">
        <v>117.542300428262</v>
      </c>
      <c r="Y926" s="25">
        <v>19.9451537835812</v>
      </c>
      <c r="Z926" s="25">
        <v>0</v>
      </c>
      <c r="AA926" s="25">
        <v>1</v>
      </c>
      <c r="AB926" s="25">
        <v>0</v>
      </c>
    </row>
    <row r="927" spans="23:28">
      <c r="W927" s="24">
        <v>925</v>
      </c>
      <c r="X927" s="25">
        <v>112.630830928663</v>
      </c>
      <c r="Y927" s="25">
        <v>15.1764563918274</v>
      </c>
      <c r="Z927" s="25">
        <v>0</v>
      </c>
      <c r="AA927" s="25">
        <v>1</v>
      </c>
      <c r="AB927" s="25">
        <v>0</v>
      </c>
    </row>
    <row r="928" spans="23:28">
      <c r="W928" s="24">
        <v>926</v>
      </c>
      <c r="X928" s="25">
        <v>109.259696173669</v>
      </c>
      <c r="Y928" s="25">
        <v>11.9033175655151</v>
      </c>
      <c r="Z928" s="25">
        <v>0</v>
      </c>
      <c r="AA928" s="25">
        <v>1</v>
      </c>
      <c r="AB928" s="25">
        <v>0</v>
      </c>
    </row>
    <row r="929" spans="23:28">
      <c r="W929" s="24">
        <v>927</v>
      </c>
      <c r="X929" s="25">
        <v>109.590955344813</v>
      </c>
      <c r="Y929" s="25">
        <v>12.2249473232806</v>
      </c>
      <c r="Z929" s="25">
        <v>0</v>
      </c>
      <c r="AA929" s="25">
        <v>1</v>
      </c>
      <c r="AB929" s="25">
        <v>0</v>
      </c>
    </row>
    <row r="930" spans="23:28">
      <c r="W930" s="24">
        <v>928</v>
      </c>
      <c r="X930" s="25">
        <v>107.648009474728</v>
      </c>
      <c r="Y930" s="25">
        <v>10.3384811844294</v>
      </c>
      <c r="Z930" s="25">
        <v>0</v>
      </c>
      <c r="AA930" s="25">
        <v>1</v>
      </c>
      <c r="AB930" s="25">
        <v>0</v>
      </c>
    </row>
    <row r="931" spans="23:28">
      <c r="W931" s="24">
        <v>929</v>
      </c>
      <c r="X931" s="25">
        <v>102.724113960393</v>
      </c>
      <c r="Y931" s="25">
        <v>5.55771899128265</v>
      </c>
      <c r="Z931" s="25">
        <v>0</v>
      </c>
      <c r="AA931" s="25">
        <v>1</v>
      </c>
      <c r="AB931" s="25">
        <v>0</v>
      </c>
    </row>
    <row r="932" spans="23:28">
      <c r="W932" s="24">
        <v>930</v>
      </c>
      <c r="X932" s="25">
        <v>99.9934429560657</v>
      </c>
      <c r="Y932" s="25">
        <v>2.90642619650171</v>
      </c>
      <c r="Z932" s="25">
        <v>0</v>
      </c>
      <c r="AA932" s="25">
        <v>1</v>
      </c>
      <c r="AB932" s="25">
        <v>0</v>
      </c>
    </row>
    <row r="933" spans="23:28">
      <c r="W933" s="24">
        <v>931</v>
      </c>
      <c r="X933" s="25">
        <v>107.517178401539</v>
      </c>
      <c r="Y933" s="25">
        <v>10.2114532557154</v>
      </c>
      <c r="Z933" s="25">
        <v>0</v>
      </c>
      <c r="AA933" s="25">
        <v>1</v>
      </c>
      <c r="AB933" s="25">
        <v>0</v>
      </c>
    </row>
    <row r="934" spans="23:28">
      <c r="W934" s="24">
        <v>932</v>
      </c>
      <c r="X934" s="25">
        <v>102.749856658853</v>
      </c>
      <c r="Y934" s="25">
        <v>5.58271337209084</v>
      </c>
      <c r="Z934" s="25">
        <v>0</v>
      </c>
      <c r="AA934" s="25">
        <v>0</v>
      </c>
      <c r="AB934" s="25">
        <v>0</v>
      </c>
    </row>
    <row r="935" spans="23:28">
      <c r="W935" s="24">
        <v>933</v>
      </c>
      <c r="X935" s="25">
        <v>96.3721639350108</v>
      </c>
      <c r="Y935" s="25">
        <v>0</v>
      </c>
      <c r="Z935" s="25">
        <v>0.609585421594727</v>
      </c>
      <c r="AA935" s="25">
        <v>1</v>
      </c>
      <c r="AB935" s="25">
        <v>0</v>
      </c>
    </row>
    <row r="936" spans="23:28">
      <c r="W936" s="24">
        <v>934</v>
      </c>
      <c r="X936" s="25">
        <v>100.951658152812</v>
      </c>
      <c r="Y936" s="25">
        <v>3.83678691844793</v>
      </c>
      <c r="Z936" s="25">
        <v>0</v>
      </c>
      <c r="AA936" s="25">
        <v>1</v>
      </c>
      <c r="AB936" s="25">
        <v>0</v>
      </c>
    </row>
    <row r="937" spans="23:28">
      <c r="W937" s="24">
        <v>935</v>
      </c>
      <c r="X937" s="25">
        <v>107.377085099254</v>
      </c>
      <c r="Y937" s="25">
        <v>10.0754323427756</v>
      </c>
      <c r="Z937" s="25">
        <v>0</v>
      </c>
      <c r="AA937" s="25">
        <v>1</v>
      </c>
      <c r="AB937" s="25">
        <v>0</v>
      </c>
    </row>
    <row r="938" spans="23:28">
      <c r="W938" s="24">
        <v>936</v>
      </c>
      <c r="X938" s="25">
        <v>102.931904068242</v>
      </c>
      <c r="Y938" s="25">
        <v>5.75946882306187</v>
      </c>
      <c r="Z938" s="25">
        <v>0</v>
      </c>
      <c r="AA938" s="25">
        <v>1</v>
      </c>
      <c r="AB938" s="25">
        <v>0</v>
      </c>
    </row>
    <row r="939" spans="23:28">
      <c r="W939" s="24">
        <v>937</v>
      </c>
      <c r="X939" s="25">
        <v>100.259514094595</v>
      </c>
      <c r="Y939" s="25">
        <v>3.16476288054868</v>
      </c>
      <c r="Z939" s="25">
        <v>0</v>
      </c>
      <c r="AA939" s="25">
        <v>1</v>
      </c>
      <c r="AB939" s="25">
        <v>0</v>
      </c>
    </row>
    <row r="940" spans="23:28">
      <c r="W940" s="24">
        <v>938</v>
      </c>
      <c r="X940" s="25">
        <v>99.8837469953145</v>
      </c>
      <c r="Y940" s="25">
        <v>2.79991900105586</v>
      </c>
      <c r="Z940" s="25">
        <v>0</v>
      </c>
      <c r="AA940" s="25">
        <v>1</v>
      </c>
      <c r="AB940" s="25">
        <v>0</v>
      </c>
    </row>
    <row r="941" spans="23:28">
      <c r="W941" s="24">
        <v>939</v>
      </c>
      <c r="X941" s="25">
        <v>99.5206170756419</v>
      </c>
      <c r="Y941" s="25">
        <v>2.44734494945036</v>
      </c>
      <c r="Z941" s="25">
        <v>0</v>
      </c>
      <c r="AA941" s="25">
        <v>1</v>
      </c>
      <c r="AB941" s="25">
        <v>0</v>
      </c>
    </row>
    <row r="942" spans="23:28">
      <c r="W942" s="24">
        <v>940</v>
      </c>
      <c r="X942" s="25">
        <v>107.318155161975</v>
      </c>
      <c r="Y942" s="25">
        <v>10.0182154470547</v>
      </c>
      <c r="Z942" s="25">
        <v>0</v>
      </c>
      <c r="AA942" s="25">
        <v>1</v>
      </c>
      <c r="AB942" s="25">
        <v>0</v>
      </c>
    </row>
    <row r="943" spans="23:28">
      <c r="W943" s="24">
        <v>941</v>
      </c>
      <c r="X943" s="25">
        <v>107.660290235816</v>
      </c>
      <c r="Y943" s="25">
        <v>10.3504049545706</v>
      </c>
      <c r="Z943" s="25">
        <v>0</v>
      </c>
      <c r="AA943" s="25">
        <v>1</v>
      </c>
      <c r="AB943" s="25">
        <v>0</v>
      </c>
    </row>
    <row r="944" spans="23:28">
      <c r="W944" s="24">
        <v>942</v>
      </c>
      <c r="X944" s="25">
        <v>108.751011641008</v>
      </c>
      <c r="Y944" s="25">
        <v>11.4094200457753</v>
      </c>
      <c r="Z944" s="25">
        <v>0</v>
      </c>
      <c r="AA944" s="25">
        <v>1</v>
      </c>
      <c r="AB944" s="25">
        <v>0</v>
      </c>
    </row>
    <row r="945" spans="23:28">
      <c r="W945" s="24">
        <v>943</v>
      </c>
      <c r="X945" s="25">
        <v>107.600383242118</v>
      </c>
      <c r="Y945" s="25">
        <v>10.2922394046026</v>
      </c>
      <c r="Z945" s="25">
        <v>0</v>
      </c>
      <c r="AA945" s="25">
        <v>1</v>
      </c>
      <c r="AB945" s="25">
        <v>0</v>
      </c>
    </row>
    <row r="946" spans="23:28">
      <c r="W946" s="24">
        <v>944</v>
      </c>
      <c r="X946" s="25">
        <v>107.996215249</v>
      </c>
      <c r="Y946" s="25">
        <v>10.6765649224428</v>
      </c>
      <c r="Z946" s="25">
        <v>0</v>
      </c>
      <c r="AA946" s="25">
        <v>1</v>
      </c>
      <c r="AB946" s="25">
        <v>0</v>
      </c>
    </row>
    <row r="947" spans="23:28">
      <c r="W947" s="24">
        <v>945</v>
      </c>
      <c r="X947" s="25">
        <v>103.310753457276</v>
      </c>
      <c r="Y947" s="25">
        <v>6.12730539285044</v>
      </c>
      <c r="Z947" s="25">
        <v>0</v>
      </c>
      <c r="AA947" s="25">
        <v>1</v>
      </c>
      <c r="AB947" s="25">
        <v>0</v>
      </c>
    </row>
    <row r="948" spans="23:28">
      <c r="W948" s="24">
        <v>946</v>
      </c>
      <c r="X948" s="25">
        <v>114.41152967509</v>
      </c>
      <c r="Y948" s="25">
        <v>16.9053917885111</v>
      </c>
      <c r="Z948" s="25">
        <v>0</v>
      </c>
      <c r="AA948" s="25">
        <v>1</v>
      </c>
      <c r="AB948" s="25">
        <v>0</v>
      </c>
    </row>
    <row r="949" spans="23:28">
      <c r="W949" s="24">
        <v>947</v>
      </c>
      <c r="X949" s="25">
        <v>110.773586338065</v>
      </c>
      <c r="Y949" s="25">
        <v>13.373200271484</v>
      </c>
      <c r="Z949" s="25">
        <v>0</v>
      </c>
      <c r="AA949" s="25">
        <v>0</v>
      </c>
      <c r="AB949" s="25">
        <v>0</v>
      </c>
    </row>
    <row r="950" spans="23:28">
      <c r="W950" s="24">
        <v>948</v>
      </c>
      <c r="X950" s="25">
        <v>97.54880027521</v>
      </c>
      <c r="Y950" s="25">
        <v>0.532847132859332</v>
      </c>
      <c r="Z950" s="25">
        <v>0</v>
      </c>
      <c r="AA950" s="25">
        <v>1</v>
      </c>
      <c r="AB950" s="25">
        <v>0</v>
      </c>
    </row>
    <row r="951" spans="23:28">
      <c r="W951" s="24">
        <v>949</v>
      </c>
      <c r="X951" s="25">
        <v>110.127106252663</v>
      </c>
      <c r="Y951" s="25">
        <v>12.7455127947874</v>
      </c>
      <c r="Z951" s="25">
        <v>0</v>
      </c>
      <c r="AA951" s="25">
        <v>0</v>
      </c>
      <c r="AB951" s="25">
        <v>0</v>
      </c>
    </row>
    <row r="952" spans="23:28">
      <c r="W952" s="24">
        <v>950</v>
      </c>
      <c r="X952" s="25">
        <v>97.4591556708178</v>
      </c>
      <c r="Y952" s="25">
        <v>0.445808418441065</v>
      </c>
      <c r="Z952" s="25">
        <v>0</v>
      </c>
      <c r="AA952" s="25">
        <v>1</v>
      </c>
      <c r="AB952" s="25">
        <v>0</v>
      </c>
    </row>
    <row r="953" spans="23:28">
      <c r="W953" s="24">
        <v>951</v>
      </c>
      <c r="X953" s="25">
        <v>106.21865470285</v>
      </c>
      <c r="Y953" s="25">
        <v>8.95067650130894</v>
      </c>
      <c r="Z953" s="25">
        <v>0</v>
      </c>
      <c r="AA953" s="25">
        <v>1</v>
      </c>
      <c r="AB953" s="25">
        <v>0</v>
      </c>
    </row>
    <row r="954" spans="23:28">
      <c r="W954" s="24">
        <v>952</v>
      </c>
      <c r="X954" s="25">
        <v>118.736063885471</v>
      </c>
      <c r="Y954" s="25">
        <v>21.1042155847853</v>
      </c>
      <c r="Z954" s="25">
        <v>0</v>
      </c>
      <c r="AA954" s="25">
        <v>1</v>
      </c>
      <c r="AB954" s="25">
        <v>0</v>
      </c>
    </row>
    <row r="955" spans="23:28">
      <c r="W955" s="24">
        <v>953</v>
      </c>
      <c r="X955" s="25">
        <v>98.9266535953234</v>
      </c>
      <c r="Y955" s="25">
        <v>1.87064746621791</v>
      </c>
      <c r="Z955" s="25">
        <v>0</v>
      </c>
      <c r="AA955" s="25">
        <v>0</v>
      </c>
      <c r="AB955" s="25">
        <v>0</v>
      </c>
    </row>
    <row r="956" spans="23:28">
      <c r="W956" s="24">
        <v>954</v>
      </c>
      <c r="X956" s="25">
        <v>97.8946358955878</v>
      </c>
      <c r="Y956" s="25">
        <v>0.868629615272375</v>
      </c>
      <c r="Z956" s="25">
        <v>0</v>
      </c>
      <c r="AA956" s="25">
        <v>0</v>
      </c>
      <c r="AB956" s="25">
        <v>1</v>
      </c>
    </row>
    <row r="957" spans="23:28">
      <c r="W957" s="24">
        <v>955</v>
      </c>
      <c r="X957" s="25">
        <v>93.6787261307179</v>
      </c>
      <c r="Y957" s="25">
        <v>0</v>
      </c>
      <c r="Z957" s="25">
        <v>3.22472735278886</v>
      </c>
      <c r="AA957" s="25">
        <v>1</v>
      </c>
      <c r="AB957" s="25">
        <v>0</v>
      </c>
    </row>
    <row r="958" spans="23:28">
      <c r="W958" s="24">
        <v>956</v>
      </c>
      <c r="X958" s="25">
        <v>115.129219324979</v>
      </c>
      <c r="Y958" s="25">
        <v>17.6022188301515</v>
      </c>
      <c r="Z958" s="25">
        <v>0</v>
      </c>
      <c r="AA958" s="25">
        <v>1</v>
      </c>
      <c r="AB958" s="25">
        <v>0</v>
      </c>
    </row>
    <row r="959" spans="23:28">
      <c r="W959" s="24">
        <v>957</v>
      </c>
      <c r="X959" s="25">
        <v>99.1353377951955</v>
      </c>
      <c r="Y959" s="25">
        <v>2.07326539954956</v>
      </c>
      <c r="Z959" s="25">
        <v>0</v>
      </c>
      <c r="AA959" s="25">
        <v>1</v>
      </c>
      <c r="AB959" s="25">
        <v>0</v>
      </c>
    </row>
    <row r="960" spans="23:28">
      <c r="W960" s="24">
        <v>958</v>
      </c>
      <c r="X960" s="25">
        <v>118.921783380425</v>
      </c>
      <c r="Y960" s="25">
        <v>21.284536377016</v>
      </c>
      <c r="Z960" s="25">
        <v>0</v>
      </c>
      <c r="AA960" s="25">
        <v>1</v>
      </c>
      <c r="AB960" s="25">
        <v>0</v>
      </c>
    </row>
    <row r="961" spans="23:28">
      <c r="W961" s="24">
        <v>959</v>
      </c>
      <c r="X961" s="25">
        <v>106.104454094869</v>
      </c>
      <c r="Y961" s="25">
        <v>8.83979560477551</v>
      </c>
      <c r="Z961" s="25">
        <v>0</v>
      </c>
      <c r="AA961" s="25">
        <v>1</v>
      </c>
      <c r="AB961" s="25">
        <v>0</v>
      </c>
    </row>
    <row r="962" spans="23:28">
      <c r="W962" s="24">
        <v>960</v>
      </c>
      <c r="X962" s="25">
        <v>109.302856720955</v>
      </c>
      <c r="Y962" s="25">
        <v>11.9452234735704</v>
      </c>
      <c r="Z962" s="25">
        <v>0</v>
      </c>
      <c r="AA962" s="25">
        <v>0</v>
      </c>
      <c r="AB962" s="25">
        <v>1</v>
      </c>
    </row>
    <row r="963" spans="23:28">
      <c r="W963" s="24">
        <v>961</v>
      </c>
      <c r="X963" s="25">
        <v>95.7428259432137</v>
      </c>
      <c r="Y963" s="25">
        <v>0</v>
      </c>
      <c r="Z963" s="25">
        <v>1.22062911030329</v>
      </c>
      <c r="AA963" s="25">
        <v>0</v>
      </c>
      <c r="AB963" s="25">
        <v>1</v>
      </c>
    </row>
    <row r="964" spans="23:28">
      <c r="W964" s="24">
        <v>962</v>
      </c>
      <c r="X964" s="25">
        <v>92.6444998989947</v>
      </c>
      <c r="Y964" s="25">
        <v>0</v>
      </c>
      <c r="Z964" s="25">
        <v>4.22888953563542</v>
      </c>
      <c r="AA964" s="25">
        <v>0</v>
      </c>
      <c r="AB964" s="25">
        <v>1</v>
      </c>
    </row>
    <row r="965" spans="23:28">
      <c r="W965" s="24">
        <v>963</v>
      </c>
      <c r="X965" s="25">
        <v>90.8642271428529</v>
      </c>
      <c r="Y965" s="25">
        <v>0</v>
      </c>
      <c r="Z965" s="25">
        <v>5.95741132519685</v>
      </c>
      <c r="AA965" s="25">
        <v>1</v>
      </c>
      <c r="AB965" s="25">
        <v>0</v>
      </c>
    </row>
    <row r="966" spans="23:28">
      <c r="W966" s="24">
        <v>964</v>
      </c>
      <c r="X966" s="25">
        <v>113.587423432985</v>
      </c>
      <c r="Y966" s="25">
        <v>16.1052415915942</v>
      </c>
      <c r="Z966" s="25">
        <v>0</v>
      </c>
      <c r="AA966" s="25">
        <v>1</v>
      </c>
      <c r="AB966" s="25">
        <v>0</v>
      </c>
    </row>
    <row r="967" spans="23:28">
      <c r="W967" s="24">
        <v>965</v>
      </c>
      <c r="X967" s="25">
        <v>99.3720979880476</v>
      </c>
      <c r="Y967" s="25">
        <v>2.30314318138593</v>
      </c>
      <c r="Z967" s="25">
        <v>0</v>
      </c>
      <c r="AA967" s="25">
        <v>1</v>
      </c>
      <c r="AB967" s="25">
        <v>0</v>
      </c>
    </row>
    <row r="968" spans="23:28">
      <c r="W968" s="24">
        <v>966</v>
      </c>
      <c r="X968" s="25">
        <v>103.03857855593</v>
      </c>
      <c r="Y968" s="25">
        <v>5.86304237701484</v>
      </c>
      <c r="Z968" s="25">
        <v>0</v>
      </c>
      <c r="AA968" s="25">
        <v>1</v>
      </c>
      <c r="AB968" s="25">
        <v>0</v>
      </c>
    </row>
    <row r="969" spans="23:28">
      <c r="W969" s="24">
        <v>967</v>
      </c>
      <c r="X969" s="25">
        <v>99.6083893264968</v>
      </c>
      <c r="Y969" s="25">
        <v>2.53256573800544</v>
      </c>
      <c r="Z969" s="25">
        <v>0</v>
      </c>
      <c r="AA969" s="25">
        <v>1</v>
      </c>
      <c r="AB969" s="25">
        <v>0</v>
      </c>
    </row>
    <row r="970" spans="23:28">
      <c r="W970" s="24">
        <v>968</v>
      </c>
      <c r="X970" s="25">
        <v>119.228360751343</v>
      </c>
      <c r="Y970" s="25">
        <v>21.5822018128265</v>
      </c>
      <c r="Z970" s="25">
        <v>0</v>
      </c>
      <c r="AA970" s="25">
        <v>1</v>
      </c>
      <c r="AB970" s="25">
        <v>0</v>
      </c>
    </row>
    <row r="971" spans="23:28">
      <c r="W971" s="24">
        <v>969</v>
      </c>
      <c r="X971" s="25">
        <v>107.803595133029</v>
      </c>
      <c r="Y971" s="25">
        <v>10.4895441041919</v>
      </c>
      <c r="Z971" s="25">
        <v>0</v>
      </c>
      <c r="AA971" s="25">
        <v>1</v>
      </c>
      <c r="AB971" s="25">
        <v>0</v>
      </c>
    </row>
    <row r="972" spans="23:28">
      <c r="W972" s="24">
        <v>970</v>
      </c>
      <c r="X972" s="25">
        <v>113.809804379077</v>
      </c>
      <c r="Y972" s="25">
        <v>16.3211581187543</v>
      </c>
      <c r="Z972" s="25">
        <v>0</v>
      </c>
      <c r="AA972" s="25">
        <v>1</v>
      </c>
      <c r="AB972" s="25">
        <v>0</v>
      </c>
    </row>
    <row r="973" spans="23:28">
      <c r="W973" s="24">
        <v>971</v>
      </c>
      <c r="X973" s="25">
        <v>102.535006979252</v>
      </c>
      <c r="Y973" s="25">
        <v>5.37410918411559</v>
      </c>
      <c r="Z973" s="25">
        <v>0</v>
      </c>
      <c r="AA973" s="25">
        <v>0</v>
      </c>
      <c r="AB973" s="25">
        <v>1</v>
      </c>
    </row>
    <row r="974" spans="23:28">
      <c r="W974" s="24">
        <v>972</v>
      </c>
      <c r="X974" s="25">
        <v>89.4083646704197</v>
      </c>
      <c r="Y974" s="25">
        <v>0</v>
      </c>
      <c r="Z974" s="25">
        <v>7.37095315328131</v>
      </c>
      <c r="AA974" s="25">
        <v>1</v>
      </c>
      <c r="AB974" s="25">
        <v>0</v>
      </c>
    </row>
    <row r="975" spans="23:28">
      <c r="W975" s="24">
        <v>973</v>
      </c>
      <c r="X975" s="25">
        <v>110.036038309819</v>
      </c>
      <c r="Y975" s="25">
        <v>12.657092117117</v>
      </c>
      <c r="Z975" s="25">
        <v>0</v>
      </c>
      <c r="AA975" s="25">
        <v>1</v>
      </c>
      <c r="AB975" s="25">
        <v>0</v>
      </c>
    </row>
    <row r="976" spans="23:28">
      <c r="W976" s="24">
        <v>974</v>
      </c>
      <c r="X976" s="25">
        <v>103.595742883559</v>
      </c>
      <c r="Y976" s="25">
        <v>6.4040104266293</v>
      </c>
      <c r="Z976" s="25">
        <v>0</v>
      </c>
      <c r="AA976" s="25">
        <v>1</v>
      </c>
      <c r="AB976" s="25">
        <v>0</v>
      </c>
    </row>
    <row r="977" spans="23:28">
      <c r="W977" s="24">
        <v>975</v>
      </c>
      <c r="X977" s="25">
        <v>115.239482071529</v>
      </c>
      <c r="Y977" s="25">
        <v>17.7092763354308</v>
      </c>
      <c r="Z977" s="25">
        <v>0</v>
      </c>
      <c r="AA977" s="25">
        <v>1</v>
      </c>
      <c r="AB977" s="25">
        <v>0</v>
      </c>
    </row>
    <row r="978" spans="23:28">
      <c r="W978" s="24">
        <v>976</v>
      </c>
      <c r="X978" s="25">
        <v>111.901399349603</v>
      </c>
      <c r="Y978" s="25">
        <v>14.4682287485915</v>
      </c>
      <c r="Z978" s="25">
        <v>0</v>
      </c>
      <c r="AA978" s="25">
        <v>1</v>
      </c>
      <c r="AB978" s="25">
        <v>0</v>
      </c>
    </row>
    <row r="979" spans="23:28">
      <c r="W979" s="24">
        <v>977</v>
      </c>
      <c r="X979" s="25">
        <v>108.867985323604</v>
      </c>
      <c r="Y979" s="25">
        <v>11.5229934060795</v>
      </c>
      <c r="Z979" s="25">
        <v>0</v>
      </c>
      <c r="AA979" s="25">
        <v>1</v>
      </c>
      <c r="AB979" s="25">
        <v>0</v>
      </c>
    </row>
    <row r="980" spans="23:28">
      <c r="W980" s="24">
        <v>978</v>
      </c>
      <c r="X980" s="25">
        <v>101.165960615284</v>
      </c>
      <c r="Y980" s="25">
        <v>4.04485979641654</v>
      </c>
      <c r="Z980" s="25">
        <v>0</v>
      </c>
      <c r="AA980" s="25">
        <v>1</v>
      </c>
      <c r="AB980" s="25">
        <v>0</v>
      </c>
    </row>
    <row r="981" spans="23:28">
      <c r="W981" s="24">
        <v>979</v>
      </c>
      <c r="X981" s="25">
        <v>106.575636175209</v>
      </c>
      <c r="Y981" s="25">
        <v>9.29728083556855</v>
      </c>
      <c r="Z981" s="25">
        <v>0</v>
      </c>
      <c r="AA981" s="25">
        <v>0</v>
      </c>
      <c r="AB981" s="25">
        <v>0</v>
      </c>
    </row>
    <row r="982" spans="23:28">
      <c r="W982" s="24">
        <v>980</v>
      </c>
      <c r="X982" s="25">
        <v>97.0773006069456</v>
      </c>
      <c r="Y982" s="25">
        <v>0.0750535461438735</v>
      </c>
      <c r="Z982" s="25">
        <v>0</v>
      </c>
      <c r="AA982" s="25">
        <v>1</v>
      </c>
      <c r="AB982" s="25">
        <v>0</v>
      </c>
    </row>
    <row r="983" spans="23:28">
      <c r="W983" s="24">
        <v>981</v>
      </c>
      <c r="X983" s="25">
        <v>100.191034986477</v>
      </c>
      <c r="Y983" s="25">
        <v>3.09827440000366</v>
      </c>
      <c r="Z983" s="25">
        <v>0</v>
      </c>
      <c r="AA983" s="25">
        <v>1</v>
      </c>
      <c r="AB983" s="25">
        <v>0</v>
      </c>
    </row>
    <row r="984" spans="23:28">
      <c r="W984" s="24">
        <v>982</v>
      </c>
      <c r="X984" s="25">
        <v>112.85115854824</v>
      </c>
      <c r="Y984" s="25">
        <v>15.3903792808728</v>
      </c>
      <c r="Z984" s="25">
        <v>0</v>
      </c>
      <c r="AA984" s="25">
        <v>1</v>
      </c>
      <c r="AB984" s="25">
        <v>0</v>
      </c>
    </row>
    <row r="985" spans="23:28">
      <c r="W985" s="24">
        <v>983</v>
      </c>
      <c r="X985" s="25">
        <v>99.4948438735807</v>
      </c>
      <c r="Y985" s="25">
        <v>2.42232095175343</v>
      </c>
      <c r="Z985" s="25">
        <v>0</v>
      </c>
      <c r="AA985" s="25">
        <v>1</v>
      </c>
      <c r="AB985" s="25">
        <v>0</v>
      </c>
    </row>
    <row r="986" spans="23:28">
      <c r="W986" s="24">
        <v>984</v>
      </c>
      <c r="X986" s="25">
        <v>103.872790376242</v>
      </c>
      <c r="Y986" s="25">
        <v>6.67300439184884</v>
      </c>
      <c r="Z986" s="25">
        <v>0</v>
      </c>
      <c r="AA986" s="25">
        <v>1</v>
      </c>
      <c r="AB986" s="25">
        <v>0</v>
      </c>
    </row>
    <row r="987" spans="23:28">
      <c r="W987" s="24">
        <v>985</v>
      </c>
      <c r="X987" s="25">
        <v>123.65093190652</v>
      </c>
      <c r="Y987" s="25">
        <v>25.8762127059533</v>
      </c>
      <c r="Z987" s="25">
        <v>0</v>
      </c>
      <c r="AA987" s="25">
        <v>1</v>
      </c>
      <c r="AB987" s="25">
        <v>0</v>
      </c>
    </row>
    <row r="988" spans="23:28">
      <c r="W988" s="24">
        <v>986</v>
      </c>
      <c r="X988" s="25">
        <v>105.991058086702</v>
      </c>
      <c r="Y988" s="25">
        <v>8.72969591904479</v>
      </c>
      <c r="Z988" s="25">
        <v>0</v>
      </c>
      <c r="AA988" s="25">
        <v>1</v>
      </c>
      <c r="AB988" s="25">
        <v>0</v>
      </c>
    </row>
    <row r="989" spans="23:28">
      <c r="W989" s="24">
        <v>987</v>
      </c>
      <c r="X989" s="25">
        <v>103.860075741182</v>
      </c>
      <c r="Y989" s="25">
        <v>6.66065936007067</v>
      </c>
      <c r="Z989" s="25">
        <v>0</v>
      </c>
      <c r="AA989" s="25">
        <v>1</v>
      </c>
      <c r="AB989" s="25">
        <v>0</v>
      </c>
    </row>
    <row r="990" spans="23:28">
      <c r="W990" s="24">
        <v>988</v>
      </c>
      <c r="X990" s="25">
        <v>112.751412914202</v>
      </c>
      <c r="Y990" s="25">
        <v>15.2935331648751</v>
      </c>
      <c r="Z990" s="25">
        <v>0</v>
      </c>
      <c r="AA990" s="25">
        <v>1</v>
      </c>
      <c r="AB990" s="25">
        <v>0</v>
      </c>
    </row>
    <row r="991" spans="23:28">
      <c r="W991" s="24">
        <v>989</v>
      </c>
      <c r="X991" s="25">
        <v>102.383443077325</v>
      </c>
      <c r="Y991" s="25">
        <v>5.22695111179845</v>
      </c>
      <c r="Z991" s="25">
        <v>0</v>
      </c>
      <c r="AA991" s="25">
        <v>1</v>
      </c>
      <c r="AB991" s="25">
        <v>0</v>
      </c>
    </row>
    <row r="992" spans="23:28">
      <c r="W992" s="24">
        <v>990</v>
      </c>
      <c r="X992" s="25">
        <v>121.350501475939</v>
      </c>
      <c r="Y992" s="25">
        <v>23.6426537690366</v>
      </c>
      <c r="Z992" s="25">
        <v>0</v>
      </c>
      <c r="AA992" s="25">
        <v>1</v>
      </c>
      <c r="AB992" s="25">
        <v>0</v>
      </c>
    </row>
    <row r="993" spans="23:28">
      <c r="W993" s="24">
        <v>991</v>
      </c>
      <c r="X993" s="25">
        <v>102.862834124949</v>
      </c>
      <c r="Y993" s="25">
        <v>5.69240668240123</v>
      </c>
      <c r="Z993" s="25">
        <v>0</v>
      </c>
      <c r="AA993" s="25">
        <v>1</v>
      </c>
      <c r="AB993" s="25">
        <v>0</v>
      </c>
    </row>
    <row r="994" spans="23:28">
      <c r="W994" s="24">
        <v>992</v>
      </c>
      <c r="X994" s="25">
        <v>103.247768431304</v>
      </c>
      <c r="Y994" s="25">
        <v>6.06615128630535</v>
      </c>
      <c r="Z994" s="25">
        <v>0</v>
      </c>
      <c r="AA994" s="25">
        <v>0</v>
      </c>
      <c r="AB994" s="25">
        <v>1</v>
      </c>
    </row>
    <row r="995" spans="23:28">
      <c r="W995" s="24">
        <v>993</v>
      </c>
      <c r="X995" s="25">
        <v>91.4558298115996</v>
      </c>
      <c r="Y995" s="25">
        <v>0</v>
      </c>
      <c r="Z995" s="25">
        <v>5.3830060268157</v>
      </c>
      <c r="AA995" s="25">
        <v>0</v>
      </c>
      <c r="AB995" s="25">
        <v>0</v>
      </c>
    </row>
    <row r="996" spans="23:28">
      <c r="W996" s="24">
        <v>994</v>
      </c>
      <c r="X996" s="25">
        <v>97.4539373041119</v>
      </c>
      <c r="Y996" s="25">
        <v>0.440741745075476</v>
      </c>
      <c r="Z996" s="25">
        <v>0</v>
      </c>
      <c r="AA996" s="25">
        <v>1</v>
      </c>
      <c r="AB996" s="25">
        <v>0</v>
      </c>
    </row>
    <row r="997" spans="23:28">
      <c r="W997" s="24">
        <v>995</v>
      </c>
      <c r="X997" s="25">
        <v>104.231905974178</v>
      </c>
      <c r="Y997" s="25">
        <v>7.02168081452733</v>
      </c>
      <c r="Z997" s="25">
        <v>0</v>
      </c>
      <c r="AA997" s="25">
        <v>1</v>
      </c>
      <c r="AB997" s="25">
        <v>0</v>
      </c>
    </row>
    <row r="998" spans="23:28">
      <c r="W998" s="24">
        <v>996</v>
      </c>
      <c r="X998" s="25">
        <v>101.603035103728</v>
      </c>
      <c r="Y998" s="25">
        <v>4.46922891307568</v>
      </c>
      <c r="Z998" s="25">
        <v>0</v>
      </c>
      <c r="AA998" s="25">
        <v>1</v>
      </c>
      <c r="AB998" s="25">
        <v>0</v>
      </c>
    </row>
    <row r="999" spans="23:28">
      <c r="W999" s="24">
        <v>997</v>
      </c>
      <c r="X999" s="25">
        <v>101.258537511249</v>
      </c>
      <c r="Y999" s="25">
        <v>4.13474556326454</v>
      </c>
      <c r="Z999" s="25">
        <v>0</v>
      </c>
      <c r="AA999" s="25">
        <v>1</v>
      </c>
      <c r="AB999" s="25">
        <v>0</v>
      </c>
    </row>
    <row r="1000" spans="23:28">
      <c r="W1000" s="24">
        <v>998</v>
      </c>
      <c r="X1000" s="25">
        <v>105.356302442388</v>
      </c>
      <c r="Y1000" s="25">
        <v>8.11339206422272</v>
      </c>
      <c r="Z1000" s="25">
        <v>0</v>
      </c>
      <c r="AA1000" s="25">
        <v>1</v>
      </c>
      <c r="AB1000" s="25">
        <v>0</v>
      </c>
    </row>
    <row r="1001" spans="23:28">
      <c r="W1001" s="24">
        <v>999</v>
      </c>
      <c r="X1001" s="25">
        <v>111.340511195197</v>
      </c>
      <c r="Y1001" s="25">
        <v>13.9236451205759</v>
      </c>
      <c r="Z1001" s="25">
        <v>0</v>
      </c>
      <c r="AA1001" s="25">
        <v>1</v>
      </c>
      <c r="AB1001" s="25">
        <v>0</v>
      </c>
    </row>
    <row r="1002" spans="23:28">
      <c r="W1002" s="24">
        <v>1000</v>
      </c>
      <c r="X1002" s="25">
        <v>100.741979900734</v>
      </c>
      <c r="Y1002" s="25">
        <v>3.63320382913526</v>
      </c>
      <c r="Z1002" s="25">
        <v>0</v>
      </c>
      <c r="AA1002" s="25"/>
      <c r="AB1002" s="25"/>
    </row>
  </sheetData>
  <mergeCells count="4">
    <mergeCell ref="L1:Q1"/>
    <mergeCell ref="AD1:AH1"/>
    <mergeCell ref="AI1:AK1"/>
    <mergeCell ref="AL1:AO1"/>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001"/>
  <sheetViews>
    <sheetView workbookViewId="0">
      <selection activeCell="AG3" sqref="AG3"/>
    </sheetView>
  </sheetViews>
  <sheetFormatPr defaultColWidth="11" defaultRowHeight="17.6"/>
  <cols>
    <col min="1" max="1" width="12" customWidth="1"/>
    <col min="2" max="2" width="23" customWidth="1"/>
    <col min="3" max="4" width="12" customWidth="1"/>
    <col min="6" max="6" width="12" customWidth="1"/>
    <col min="7" max="7" width="9" customWidth="1"/>
    <col min="8" max="8" width="11" customWidth="1"/>
    <col min="9" max="9" width="13" customWidth="1"/>
    <col min="10" max="10" width="12" customWidth="1"/>
    <col min="11" max="12" width="13" customWidth="1"/>
    <col min="13" max="14" width="14" customWidth="1"/>
    <col min="16" max="16" width="16" customWidth="1"/>
    <col min="17" max="17" width="13" customWidth="1"/>
    <col min="18" max="18" width="12" customWidth="1"/>
    <col min="19" max="19" width="16" customWidth="1"/>
    <col min="20" max="20" width="13" customWidth="1"/>
    <col min="22" max="22" width="16" customWidth="1"/>
    <col min="23" max="23" width="13" customWidth="1"/>
    <col min="24" max="24" width="12" customWidth="1"/>
    <col min="25" max="25" width="15" customWidth="1"/>
    <col min="26" max="26" width="13" customWidth="1"/>
    <col min="28" max="28" width="17" customWidth="1"/>
    <col min="29" max="29" width="13" customWidth="1"/>
    <col min="30" max="30" width="17" customWidth="1"/>
    <col min="31" max="33" width="13" customWidth="1"/>
  </cols>
  <sheetData>
    <row r="1" ht="48" customHeight="1" spans="1:33">
      <c r="A1" s="14" t="s">
        <v>37</v>
      </c>
      <c r="B1" s="14" t="s">
        <v>38</v>
      </c>
      <c r="C1" s="14" t="s">
        <v>85</v>
      </c>
      <c r="D1" s="15">
        <v>100</v>
      </c>
      <c r="F1" s="14" t="s">
        <v>40</v>
      </c>
      <c r="G1" s="20" t="s">
        <v>86</v>
      </c>
      <c r="H1" s="20" t="s">
        <v>85</v>
      </c>
      <c r="I1" s="20" t="s">
        <v>87</v>
      </c>
      <c r="J1" s="20" t="s">
        <v>88</v>
      </c>
      <c r="K1" s="20" t="s">
        <v>89</v>
      </c>
      <c r="L1" s="20" t="s">
        <v>90</v>
      </c>
      <c r="M1" s="20" t="s">
        <v>91</v>
      </c>
      <c r="N1" s="20" t="s">
        <v>92</v>
      </c>
      <c r="P1" s="26" t="s">
        <v>93</v>
      </c>
      <c r="Q1" s="26"/>
      <c r="R1" s="26"/>
      <c r="S1" s="26"/>
      <c r="T1" s="26"/>
      <c r="U1" s="26"/>
      <c r="V1" s="26" t="s">
        <v>94</v>
      </c>
      <c r="W1" s="26"/>
      <c r="X1" s="26"/>
      <c r="Y1" s="26"/>
      <c r="Z1" s="26"/>
      <c r="AA1" s="26"/>
      <c r="AB1" s="26" t="s">
        <v>95</v>
      </c>
      <c r="AC1" s="26"/>
      <c r="AD1" s="26"/>
      <c r="AE1" s="26"/>
      <c r="AF1" s="26"/>
      <c r="AG1" s="26"/>
    </row>
    <row r="2" ht="18" spans="1:33">
      <c r="A2" s="16"/>
      <c r="B2" s="17" t="s">
        <v>58</v>
      </c>
      <c r="C2" s="17" t="s">
        <v>96</v>
      </c>
      <c r="D2" s="18">
        <v>0.08</v>
      </c>
      <c r="F2" s="21"/>
      <c r="G2" s="22" cm="1">
        <f t="array" ref="G2:G2001">_xlfn.SEQUENCE(2000)</f>
        <v>1</v>
      </c>
      <c r="H2" s="23">
        <f>S0_</f>
        <v>100</v>
      </c>
      <c r="I2" s="23">
        <f ca="1">S0_*EXP((mu_-sigma_^2/2)*Dt_+sigma_*SQRT(Dt_)*_xlfn.NORM.INV(RAND(),0,1))</f>
        <v>113.081560047929</v>
      </c>
      <c r="J2" s="23">
        <f ca="1">MAX(k_-I2,0)*EXP(-rs_*T_)</f>
        <v>0</v>
      </c>
      <c r="K2" s="23" cm="1">
        <f ca="1" t="array" ref="K2:K2001">(ST-S0_)*EXP(-rs_*T_)</f>
        <v>12.7012905782519</v>
      </c>
      <c r="L2" s="23" cm="1">
        <f ca="1" t="array" ref="L2:L2001">((k_-S0_)*(ST&lt;k_)+(ST-S0_)*(ST&gt;=k_))*EXP(-rs_*T_)-c_</f>
        <v>12.1312905782519</v>
      </c>
      <c r="M2" s="27" cm="1">
        <f ca="1" t="array" ref="M2:M2001">IF(ST&lt;S0_,1,0)</f>
        <v>0</v>
      </c>
      <c r="N2" s="28" cm="1">
        <f ca="1" t="array" ref="N2:N2001">IF(payoff2&lt;0,1,0)</f>
        <v>0</v>
      </c>
      <c r="P2" s="29" t="s">
        <v>97</v>
      </c>
      <c r="Q2" s="30">
        <f ca="1">MAX(ST)</f>
        <v>137.821213639658</v>
      </c>
      <c r="R2" s="30"/>
      <c r="S2" s="30" t="s">
        <v>98</v>
      </c>
      <c r="T2" s="30">
        <f ca="1">AVERAGE(ST)</f>
        <v>103.936905401305</v>
      </c>
      <c r="U2" s="30"/>
      <c r="V2" s="36" t="s">
        <v>99</v>
      </c>
      <c r="W2" s="36">
        <f ca="1">MAX(R0_)</f>
        <v>15.3125672663109</v>
      </c>
      <c r="X2" s="36"/>
      <c r="Y2" s="36" t="s">
        <v>100</v>
      </c>
      <c r="Z2" s="36">
        <f ca="1">AVERAGE(R0_)</f>
        <v>0.949217788812888</v>
      </c>
      <c r="AA2" s="36"/>
      <c r="AB2" s="38" t="s">
        <v>101</v>
      </c>
      <c r="AC2" s="38">
        <f ca="1">AVERAGE(payoff1)</f>
        <v>3.82246301647926</v>
      </c>
      <c r="AD2" s="38" t="s">
        <v>102</v>
      </c>
      <c r="AE2" s="38">
        <f ca="1">AVERAGE(payoff2)</f>
        <v>4.20168080529216</v>
      </c>
      <c r="AF2" s="38"/>
      <c r="AG2" s="39"/>
    </row>
    <row r="3" ht="18" spans="1:33">
      <c r="A3" s="16"/>
      <c r="B3" s="17" t="s">
        <v>64</v>
      </c>
      <c r="C3" s="17" t="s">
        <v>103</v>
      </c>
      <c r="D3" s="18">
        <v>0.12</v>
      </c>
      <c r="F3" s="21"/>
      <c r="G3" s="22">
        <v>2</v>
      </c>
      <c r="H3" s="23">
        <f>S0_</f>
        <v>100</v>
      </c>
      <c r="I3" s="23">
        <f ca="1">S0_*EXP((mu_-sigma_^2/2)*Dt_+sigma_*SQRT(Dt_)*_xlfn.NORM.INV(RAND(),0,1))</f>
        <v>106.336474917768</v>
      </c>
      <c r="J3" s="23">
        <f ca="1">MAX(k_-I3,0)*EXP(-rs_*T_)</f>
        <v>0</v>
      </c>
      <c r="K3" s="23">
        <v>6.15227915305946</v>
      </c>
      <c r="L3" s="23">
        <v>5.58227915305946</v>
      </c>
      <c r="M3" s="27">
        <v>0</v>
      </c>
      <c r="N3" s="28">
        <v>0</v>
      </c>
      <c r="P3" s="29" t="s">
        <v>104</v>
      </c>
      <c r="Q3" s="30">
        <f ca="1">MIN(ST)</f>
        <v>81.2289831141103</v>
      </c>
      <c r="R3" s="30"/>
      <c r="S3" s="30" t="s">
        <v>69</v>
      </c>
      <c r="T3" s="31">
        <f ca="1">mean_ST-1.96*STDEV(ST)/SQRT(N_)</f>
        <v>103.553251028829</v>
      </c>
      <c r="U3" s="30"/>
      <c r="V3" s="36" t="s">
        <v>105</v>
      </c>
      <c r="W3" s="37">
        <f ca="1">MIN(R0_)</f>
        <v>0</v>
      </c>
      <c r="X3" s="36"/>
      <c r="Y3" s="36" t="s">
        <v>69</v>
      </c>
      <c r="Z3" s="36">
        <f ca="1">E_R0-1.96*STDEV(R0_)/SQRT(N_)</f>
        <v>0.845181372905168</v>
      </c>
      <c r="AA3" s="36"/>
      <c r="AB3" s="38" t="s">
        <v>106</v>
      </c>
      <c r="AC3" s="38">
        <f ca="1">VAR(payoff1)</f>
        <v>72.2395085666734</v>
      </c>
      <c r="AD3" s="38" t="s">
        <v>107</v>
      </c>
      <c r="AE3" s="38">
        <f ca="1">VAR(payoff2)</f>
        <v>52.008801715722</v>
      </c>
      <c r="AF3" s="38" t="s">
        <v>108</v>
      </c>
      <c r="AG3" s="39" t="str">
        <f ca="1">IF(var_payoff1&lt;var_payoff2,"Hedging","No Hedging")</f>
        <v>No Hedging</v>
      </c>
    </row>
    <row r="4" ht="18" spans="1:33">
      <c r="A4" s="16"/>
      <c r="B4" s="17" t="s">
        <v>70</v>
      </c>
      <c r="C4" s="17" t="s">
        <v>109</v>
      </c>
      <c r="D4" s="15">
        <v>97</v>
      </c>
      <c r="F4" s="21"/>
      <c r="G4" s="22">
        <v>3</v>
      </c>
      <c r="H4" s="23">
        <f>S0_</f>
        <v>100</v>
      </c>
      <c r="I4" s="23">
        <f ca="1">S0_*EXP((mu_-sigma_^2/2)*Dt_+sigma_*SQRT(Dt_)*_xlfn.NORM.INV(RAND(),0,1))</f>
        <v>109.218362890136</v>
      </c>
      <c r="J4" s="23">
        <f ca="1">MAX(k_-I4,0)*EXP(-rs_*T_)</f>
        <v>0</v>
      </c>
      <c r="K4" s="23">
        <v>8.95039317133462</v>
      </c>
      <c r="L4" s="23">
        <v>8.38039317133462</v>
      </c>
      <c r="M4" s="27">
        <v>0</v>
      </c>
      <c r="N4" s="28">
        <v>0</v>
      </c>
      <c r="P4" s="29"/>
      <c r="Q4" s="30"/>
      <c r="R4" s="30"/>
      <c r="S4" s="30" t="s">
        <v>72</v>
      </c>
      <c r="T4" s="31">
        <f ca="1">mean_ST+1.96*STDEV(ST)/SQRT(N_)</f>
        <v>104.320559773781</v>
      </c>
      <c r="U4" s="30"/>
      <c r="V4" s="36"/>
      <c r="W4" s="36"/>
      <c r="X4" s="36"/>
      <c r="Y4" s="36" t="s">
        <v>72</v>
      </c>
      <c r="Z4" s="36">
        <f ca="1">E_R0+1.96*STDEV(R0_)/SQRT(N_)</f>
        <v>1.05325420472061</v>
      </c>
      <c r="AA4" s="36"/>
      <c r="AB4" s="38" t="s">
        <v>91</v>
      </c>
      <c r="AC4" s="38">
        <f ca="1">AVERAGE(downside_risk1)</f>
        <v>0.34</v>
      </c>
      <c r="AD4" s="38" t="s">
        <v>92</v>
      </c>
      <c r="AE4" s="38">
        <f ca="1">AVERAGE(downside_risk2)</f>
        <v>0.363</v>
      </c>
      <c r="AF4" s="38"/>
      <c r="AG4" s="39"/>
    </row>
    <row r="5" ht="18" spans="1:33">
      <c r="A5" s="16"/>
      <c r="B5" s="17" t="s">
        <v>73</v>
      </c>
      <c r="C5" s="17" t="s">
        <v>110</v>
      </c>
      <c r="D5" s="15">
        <v>0.5</v>
      </c>
      <c r="F5" s="21"/>
      <c r="G5" s="22">
        <v>4</v>
      </c>
      <c r="H5" s="23">
        <f>S0_</f>
        <v>100</v>
      </c>
      <c r="I5" s="23">
        <f ca="1">S0_*EXP((mu_-sigma_^2/2)*Dt_+sigma_*SQRT(Dt_)*_xlfn.NORM.INV(RAND(),0,1))</f>
        <v>112.474251027809</v>
      </c>
      <c r="J5" s="23">
        <f ca="1">MAX(k_-I5,0)*EXP(-rs_*T_)</f>
        <v>0</v>
      </c>
      <c r="K5" s="23">
        <v>12.1116354983474</v>
      </c>
      <c r="L5" s="23">
        <v>11.5416354983474</v>
      </c>
      <c r="M5" s="27">
        <v>0</v>
      </c>
      <c r="N5" s="28">
        <v>0</v>
      </c>
      <c r="P5" s="29" t="s">
        <v>111</v>
      </c>
      <c r="Q5" s="30" t="s">
        <v>112</v>
      </c>
      <c r="R5" s="30"/>
      <c r="S5" s="30" t="s">
        <v>113</v>
      </c>
      <c r="T5" s="30">
        <f ca="1">AVERAGE(downside_risk1)</f>
        <v>0.34</v>
      </c>
      <c r="U5" s="30"/>
      <c r="V5" s="36" t="s">
        <v>114</v>
      </c>
      <c r="W5" s="36" t="s">
        <v>115</v>
      </c>
      <c r="X5" s="36"/>
      <c r="Y5" s="36" t="s">
        <v>116</v>
      </c>
      <c r="Z5" s="36" t="b">
        <f ca="1">AND(Z3&lt;=c_,c_&lt;=Z4)</f>
        <v>0</v>
      </c>
      <c r="AA5" s="36"/>
      <c r="AB5" s="38"/>
      <c r="AC5" s="38"/>
      <c r="AD5" s="38"/>
      <c r="AE5" s="38"/>
      <c r="AF5" s="38"/>
      <c r="AG5" s="39"/>
    </row>
    <row r="6" ht="18" spans="1:33">
      <c r="A6" s="16"/>
      <c r="B6" s="17" t="s">
        <v>78</v>
      </c>
      <c r="C6" s="17" t="s">
        <v>117</v>
      </c>
      <c r="D6" s="15">
        <v>0.5</v>
      </c>
      <c r="F6" s="21"/>
      <c r="G6" s="22">
        <v>5</v>
      </c>
      <c r="H6" s="23">
        <f>S0_</f>
        <v>100</v>
      </c>
      <c r="I6" s="23">
        <f ca="1">S0_*EXP((mu_-sigma_^2/2)*Dt_+sigma_*SQRT(Dt_)*_xlfn.NORM.INV(RAND(),0,1))</f>
        <v>106.998645721282</v>
      </c>
      <c r="J6" s="23">
        <f ca="1">MAX(k_-I6,0)*EXP(-rs_*T_)</f>
        <v>0</v>
      </c>
      <c r="K6" s="23">
        <v>6.79520123246434</v>
      </c>
      <c r="L6" s="23">
        <v>6.22520123246434</v>
      </c>
      <c r="M6" s="27">
        <v>0</v>
      </c>
      <c r="N6" s="28">
        <v>0</v>
      </c>
      <c r="P6" s="29">
        <v>70</v>
      </c>
      <c r="Q6" s="32" cm="1">
        <f ca="1" t="array" ref="Q6:Q23">FREQUENCY(ST,bin_)/N_</f>
        <v>0</v>
      </c>
      <c r="R6" s="30"/>
      <c r="S6" s="30"/>
      <c r="T6" s="30"/>
      <c r="U6" s="30"/>
      <c r="V6" s="30">
        <v>0</v>
      </c>
      <c r="W6" s="30" cm="1">
        <f ca="1" t="array" ref="W6:W19">FREQUENCY(R0_,bin_2)/N_</f>
        <v>0.7735</v>
      </c>
      <c r="X6" s="30"/>
      <c r="Y6" s="30"/>
      <c r="Z6" s="30"/>
      <c r="AA6" s="30"/>
      <c r="AB6" s="38" t="s">
        <v>118</v>
      </c>
      <c r="AC6" s="38">
        <f ca="1">MAX(payoff1)</f>
        <v>36.7217841526084</v>
      </c>
      <c r="AD6" s="38" t="s">
        <v>119</v>
      </c>
      <c r="AE6" s="38">
        <f ca="1">MAX(payoff2)</f>
        <v>36.1517841526084</v>
      </c>
      <c r="AF6" s="38"/>
      <c r="AG6" s="39"/>
    </row>
    <row r="7" ht="18" spans="1:33">
      <c r="A7" s="16"/>
      <c r="B7" s="17" t="s">
        <v>81</v>
      </c>
      <c r="C7" s="17" t="s">
        <v>120</v>
      </c>
      <c r="D7" s="18">
        <v>0.059</v>
      </c>
      <c r="F7" s="21"/>
      <c r="G7" s="22">
        <v>6</v>
      </c>
      <c r="H7" s="23">
        <f>S0_</f>
        <v>100</v>
      </c>
      <c r="I7" s="23">
        <f ca="1">S0_*EXP((mu_-sigma_^2/2)*Dt_+sigma_*SQRT(Dt_)*_xlfn.NORM.INV(RAND(),0,1))</f>
        <v>104.206158885624</v>
      </c>
      <c r="J7" s="23">
        <f ca="1">MAX(k_-I7,0)*EXP(-rs_*T_)</f>
        <v>0</v>
      </c>
      <c r="K7" s="23">
        <v>4.0838895383174</v>
      </c>
      <c r="L7" s="23">
        <v>3.5138895383174</v>
      </c>
      <c r="M7" s="27">
        <v>0</v>
      </c>
      <c r="N7" s="28">
        <v>0</v>
      </c>
      <c r="P7" s="29">
        <v>75</v>
      </c>
      <c r="Q7" s="32">
        <v>0</v>
      </c>
      <c r="R7" s="30"/>
      <c r="S7" s="30"/>
      <c r="T7" s="30"/>
      <c r="U7" s="30"/>
      <c r="V7" s="30">
        <v>2</v>
      </c>
      <c r="W7" s="30">
        <v>0.0765</v>
      </c>
      <c r="X7" s="30"/>
      <c r="Y7" s="30"/>
      <c r="Z7" s="30"/>
      <c r="AA7" s="30"/>
      <c r="AB7" s="38" t="s">
        <v>121</v>
      </c>
      <c r="AC7" s="38">
        <f ca="1">MIN(payoff1)</f>
        <v>-18.2253598992345</v>
      </c>
      <c r="AD7" s="38" t="s">
        <v>122</v>
      </c>
      <c r="AE7" s="38">
        <f ca="1">MIN(payoff2)</f>
        <v>-3.48279263292358</v>
      </c>
      <c r="AF7" s="38"/>
      <c r="AG7" s="39"/>
    </row>
    <row r="8" ht="18" spans="1:33">
      <c r="A8" s="16"/>
      <c r="B8" s="17" t="s">
        <v>83</v>
      </c>
      <c r="C8" s="17" t="s">
        <v>123</v>
      </c>
      <c r="D8" s="19">
        <v>2000</v>
      </c>
      <c r="F8" s="21"/>
      <c r="G8" s="22">
        <v>7</v>
      </c>
      <c r="H8" s="23">
        <f>S0_</f>
        <v>100</v>
      </c>
      <c r="I8" s="23">
        <f ca="1">S0_*EXP((mu_-sigma_^2/2)*Dt_+sigma_*SQRT(Dt_)*_xlfn.NORM.INV(RAND(),0,1))</f>
        <v>106.546624174729</v>
      </c>
      <c r="J8" s="23">
        <f ca="1">MAX(k_-I8,0)*EXP(-rs_*T_)</f>
        <v>0</v>
      </c>
      <c r="K8" s="23">
        <v>6.35631955555666</v>
      </c>
      <c r="L8" s="23">
        <v>5.78631955555666</v>
      </c>
      <c r="M8" s="27">
        <v>0</v>
      </c>
      <c r="N8" s="28">
        <v>0</v>
      </c>
      <c r="P8" s="29">
        <v>80</v>
      </c>
      <c r="Q8" s="32">
        <v>0</v>
      </c>
      <c r="R8" s="30"/>
      <c r="S8" s="30"/>
      <c r="T8" s="30"/>
      <c r="U8" s="30"/>
      <c r="V8" s="30">
        <v>4</v>
      </c>
      <c r="W8" s="30">
        <v>0.054</v>
      </c>
      <c r="X8" s="30"/>
      <c r="Y8" s="30"/>
      <c r="Z8" s="30"/>
      <c r="AA8" s="30"/>
      <c r="AB8" s="38"/>
      <c r="AC8" s="38"/>
      <c r="AD8" s="38"/>
      <c r="AE8" s="38"/>
      <c r="AF8" s="38"/>
      <c r="AG8" s="39"/>
    </row>
    <row r="9" ht="18" spans="1:33">
      <c r="A9" s="16"/>
      <c r="B9" s="16" t="s">
        <v>124</v>
      </c>
      <c r="C9" s="16" t="s">
        <v>125</v>
      </c>
      <c r="D9" s="15">
        <v>0.57</v>
      </c>
      <c r="F9" s="21"/>
      <c r="G9" s="22">
        <v>8</v>
      </c>
      <c r="H9" s="23">
        <f>S0_</f>
        <v>100</v>
      </c>
      <c r="I9" s="23">
        <f ca="1">S0_*EXP((mu_-sigma_^2/2)*Dt_+sigma_*SQRT(Dt_)*_xlfn.NORM.INV(RAND(),0,1))</f>
        <v>101.737620005311</v>
      </c>
      <c r="J9" s="23">
        <f ca="1">MAX(k_-I9,0)*EXP(-rs_*T_)</f>
        <v>0</v>
      </c>
      <c r="K9" s="23">
        <v>1.68710891676322</v>
      </c>
      <c r="L9" s="23">
        <v>1.11710891676322</v>
      </c>
      <c r="M9" s="27">
        <v>0</v>
      </c>
      <c r="N9" s="28">
        <v>0</v>
      </c>
      <c r="P9" s="29">
        <v>85</v>
      </c>
      <c r="Q9" s="33">
        <v>0.0075</v>
      </c>
      <c r="R9" s="34"/>
      <c r="S9" s="34"/>
      <c r="T9" s="34"/>
      <c r="U9" s="34"/>
      <c r="V9" s="34">
        <v>6</v>
      </c>
      <c r="W9" s="34">
        <v>0.033</v>
      </c>
      <c r="X9" s="34"/>
      <c r="Y9" s="34"/>
      <c r="Z9" s="34"/>
      <c r="AA9" s="34"/>
      <c r="AB9" s="39" t="s">
        <v>126</v>
      </c>
      <c r="AC9" s="39" t="s">
        <v>127</v>
      </c>
      <c r="AD9" s="39" t="s">
        <v>128</v>
      </c>
      <c r="AE9" s="39"/>
      <c r="AF9" s="39"/>
      <c r="AG9" s="39"/>
    </row>
    <row r="10" spans="6:30">
      <c r="F10" s="21"/>
      <c r="G10" s="22">
        <v>9</v>
      </c>
      <c r="H10" s="23">
        <f>S0_</f>
        <v>100</v>
      </c>
      <c r="I10" s="23">
        <f ca="1">S0_*EXP((mu_-sigma_^2/2)*Dt_+sigma_*SQRT(Dt_)*_xlfn.NORM.INV(RAND(),0,1))</f>
        <v>105.056766552227</v>
      </c>
      <c r="J10" s="23">
        <f ca="1">MAX(k_-I10,0)*EXP(-rs_*T_)</f>
        <v>0</v>
      </c>
      <c r="K10" s="23">
        <v>4.90977078658037</v>
      </c>
      <c r="L10" s="23">
        <v>4.33977078658037</v>
      </c>
      <c r="M10" s="27">
        <v>0</v>
      </c>
      <c r="N10" s="28">
        <v>0</v>
      </c>
      <c r="P10">
        <v>90</v>
      </c>
      <c r="Q10" s="35">
        <v>0.042</v>
      </c>
      <c r="V10">
        <v>8</v>
      </c>
      <c r="W10">
        <v>0.028</v>
      </c>
      <c r="AB10">
        <v>-30</v>
      </c>
      <c r="AC10" cm="1">
        <f ca="1" t="array" ref="AC10:AC26">FREQUENCY(payoff1,bin_3)/N_</f>
        <v>0</v>
      </c>
      <c r="AD10" cm="1">
        <f ca="1" t="array" ref="AD10:AD26">FREQUENCY(payoff2,bin_3)/N_</f>
        <v>0</v>
      </c>
    </row>
    <row r="11" spans="6:30">
      <c r="F11" s="21"/>
      <c r="G11" s="22">
        <v>10</v>
      </c>
      <c r="H11" s="23">
        <f>S0_</f>
        <v>100</v>
      </c>
      <c r="I11" s="23">
        <f ca="1">S0_*EXP((mu_-sigma_^2/2)*Dt_+sigma_*SQRT(Dt_)*_xlfn.NORM.INV(RAND(),0,1))</f>
        <v>111.487275986613</v>
      </c>
      <c r="J11" s="23">
        <f ca="1">MAX(k_-I11,0)*EXP(-rs_*T_)</f>
        <v>0</v>
      </c>
      <c r="K11" s="23">
        <v>11.1533509553885</v>
      </c>
      <c r="L11" s="23">
        <v>10.5833509553885</v>
      </c>
      <c r="M11" s="27">
        <v>0</v>
      </c>
      <c r="N11" s="28">
        <v>0</v>
      </c>
      <c r="P11">
        <v>95</v>
      </c>
      <c r="Q11" s="35">
        <v>0.1035</v>
      </c>
      <c r="V11">
        <v>10</v>
      </c>
      <c r="W11">
        <v>0.0195</v>
      </c>
      <c r="AB11">
        <v>-25</v>
      </c>
      <c r="AC11">
        <v>0</v>
      </c>
      <c r="AD11">
        <v>0</v>
      </c>
    </row>
    <row r="12" spans="6:30">
      <c r="F12" s="21"/>
      <c r="G12" s="22">
        <v>11</v>
      </c>
      <c r="H12" s="23">
        <f>S0_</f>
        <v>100</v>
      </c>
      <c r="I12" s="23">
        <f ca="1">S0_*EXP((mu_-sigma_^2/2)*Dt_+sigma_*SQRT(Dt_)*_xlfn.NORM.INV(RAND(),0,1))</f>
        <v>100.892105319457</v>
      </c>
      <c r="J12" s="23">
        <f ca="1">MAX(k_-I12,0)*EXP(-rs_*T_)</f>
        <v>0</v>
      </c>
      <c r="K12" s="23">
        <v>0.866172600769</v>
      </c>
      <c r="L12" s="23">
        <v>0.296172600769</v>
      </c>
      <c r="M12" s="27">
        <v>0</v>
      </c>
      <c r="N12" s="28">
        <v>0</v>
      </c>
      <c r="P12">
        <v>100</v>
      </c>
      <c r="Q12" s="35">
        <v>0.187</v>
      </c>
      <c r="V12">
        <v>12</v>
      </c>
      <c r="W12">
        <v>0.009</v>
      </c>
      <c r="AB12">
        <v>-20</v>
      </c>
      <c r="AC12">
        <v>0</v>
      </c>
      <c r="AD12">
        <v>0</v>
      </c>
    </row>
    <row r="13" spans="6:30">
      <c r="F13" s="21"/>
      <c r="G13" s="22">
        <v>12</v>
      </c>
      <c r="H13" s="23">
        <f>S0_</f>
        <v>100</v>
      </c>
      <c r="I13" s="23">
        <f ca="1">S0_*EXP((mu_-sigma_^2/2)*Dt_+sigma_*SQRT(Dt_)*_xlfn.NORM.INV(RAND(),0,1))</f>
        <v>106.756668747499</v>
      </c>
      <c r="J13" s="23">
        <f ca="1">MAX(k_-I13,0)*EXP(-rs_*T_)</f>
        <v>0</v>
      </c>
      <c r="K13" s="23">
        <v>6.56025831693993</v>
      </c>
      <c r="L13" s="23">
        <v>5.99025831693993</v>
      </c>
      <c r="M13" s="27">
        <v>0</v>
      </c>
      <c r="N13" s="28">
        <v>0</v>
      </c>
      <c r="P13">
        <v>105</v>
      </c>
      <c r="Q13" s="35">
        <v>0.223</v>
      </c>
      <c r="V13">
        <v>14</v>
      </c>
      <c r="W13">
        <v>0.005</v>
      </c>
      <c r="AB13">
        <v>-15</v>
      </c>
      <c r="AC13">
        <v>0.0055</v>
      </c>
      <c r="AD13">
        <v>0</v>
      </c>
    </row>
    <row r="14" spans="6:30">
      <c r="F14" s="21"/>
      <c r="G14" s="22">
        <v>13</v>
      </c>
      <c r="H14" s="23">
        <f>S0_</f>
        <v>100</v>
      </c>
      <c r="I14" s="23">
        <f ca="1">S0_*EXP((mu_-sigma_^2/2)*Dt_+sigma_*SQRT(Dt_)*_xlfn.NORM.INV(RAND(),0,1))</f>
        <v>100.990317390177</v>
      </c>
      <c r="J14" s="23">
        <f ca="1">MAX(k_-I14,0)*EXP(-rs_*T_)</f>
        <v>0</v>
      </c>
      <c r="K14" s="23">
        <v>0.961529732788358</v>
      </c>
      <c r="L14" s="23">
        <v>0.391529732788358</v>
      </c>
      <c r="M14" s="27">
        <v>0</v>
      </c>
      <c r="N14" s="28">
        <v>0</v>
      </c>
      <c r="P14">
        <v>110</v>
      </c>
      <c r="Q14" s="35">
        <v>0.1955</v>
      </c>
      <c r="V14">
        <v>16</v>
      </c>
      <c r="W14">
        <v>0.0015</v>
      </c>
      <c r="AB14">
        <v>-10</v>
      </c>
      <c r="AC14">
        <v>0.039</v>
      </c>
      <c r="AD14">
        <v>0</v>
      </c>
    </row>
    <row r="15" spans="6:30">
      <c r="F15" s="21"/>
      <c r="G15" s="22">
        <v>14</v>
      </c>
      <c r="H15" s="23">
        <f>S0_</f>
        <v>100</v>
      </c>
      <c r="I15" s="23">
        <f ca="1">S0_*EXP((mu_-sigma_^2/2)*Dt_+sigma_*SQRT(Dt_)*_xlfn.NORM.INV(RAND(),0,1))</f>
        <v>97.59558412182</v>
      </c>
      <c r="J15" s="23">
        <f ca="1">MAX(k_-I15,0)*EXP(-rs_*T_)</f>
        <v>0</v>
      </c>
      <c r="K15" s="23">
        <v>-2.33452161881576</v>
      </c>
      <c r="L15" s="23">
        <v>-2.90452161881576</v>
      </c>
      <c r="M15" s="27">
        <v>1</v>
      </c>
      <c r="N15" s="28">
        <v>1</v>
      </c>
      <c r="P15">
        <v>115</v>
      </c>
      <c r="Q15" s="35">
        <v>0.1295</v>
      </c>
      <c r="V15">
        <v>18</v>
      </c>
      <c r="W15">
        <v>0</v>
      </c>
      <c r="AB15">
        <v>-5</v>
      </c>
      <c r="AC15">
        <v>0.1035</v>
      </c>
      <c r="AD15">
        <v>0</v>
      </c>
    </row>
    <row r="16" spans="6:30">
      <c r="F16" s="21"/>
      <c r="G16" s="22">
        <v>15</v>
      </c>
      <c r="H16" s="23">
        <f>S0_</f>
        <v>100</v>
      </c>
      <c r="I16" s="23">
        <f ca="1">S0_*EXP((mu_-sigma_^2/2)*Dt_+sigma_*SQRT(Dt_)*_xlfn.NORM.INV(RAND(),0,1))</f>
        <v>110.959860460444</v>
      </c>
      <c r="J16" s="23">
        <f ca="1">MAX(k_-I16,0)*EXP(-rs_*T_)</f>
        <v>0</v>
      </c>
      <c r="K16" s="23">
        <v>10.6412669356835</v>
      </c>
      <c r="L16" s="23">
        <v>10.0712669356835</v>
      </c>
      <c r="M16" s="27">
        <v>0</v>
      </c>
      <c r="N16" s="28">
        <v>0</v>
      </c>
      <c r="P16">
        <v>120</v>
      </c>
      <c r="Q16" s="35">
        <v>0.0745</v>
      </c>
      <c r="V16">
        <v>20</v>
      </c>
      <c r="W16">
        <v>0</v>
      </c>
      <c r="AB16">
        <v>0</v>
      </c>
      <c r="AC16">
        <v>0.192</v>
      </c>
      <c r="AD16">
        <v>0.363</v>
      </c>
    </row>
    <row r="17" spans="6:30">
      <c r="F17" s="21"/>
      <c r="G17" s="22">
        <v>16</v>
      </c>
      <c r="H17" s="23">
        <f>S0_</f>
        <v>100</v>
      </c>
      <c r="I17" s="23">
        <f ca="1">S0_*EXP((mu_-sigma_^2/2)*Dt_+sigma_*SQRT(Dt_)*_xlfn.NORM.INV(RAND(),0,1))</f>
        <v>112.158514166393</v>
      </c>
      <c r="J17" s="23">
        <f ca="1">MAX(k_-I17,0)*EXP(-rs_*T_)</f>
        <v>0</v>
      </c>
      <c r="K17" s="23">
        <v>11.8050768303886</v>
      </c>
      <c r="L17" s="23">
        <v>11.2350768303886</v>
      </c>
      <c r="M17" s="27">
        <v>0</v>
      </c>
      <c r="N17" s="28">
        <v>0</v>
      </c>
      <c r="P17">
        <v>125</v>
      </c>
      <c r="Q17" s="35">
        <v>0.0265</v>
      </c>
      <c r="V17">
        <v>22</v>
      </c>
      <c r="W17">
        <v>0</v>
      </c>
      <c r="AB17">
        <v>5</v>
      </c>
      <c r="AC17">
        <v>0.2305</v>
      </c>
      <c r="AD17">
        <v>0.2355</v>
      </c>
    </row>
    <row r="18" spans="6:30">
      <c r="F18" s="21"/>
      <c r="G18" s="22">
        <v>17</v>
      </c>
      <c r="H18" s="23">
        <f>S0_</f>
        <v>100</v>
      </c>
      <c r="I18" s="23">
        <f ca="1">S0_*EXP((mu_-sigma_^2/2)*Dt_+sigma_*SQRT(Dt_)*_xlfn.NORM.INV(RAND(),0,1))</f>
        <v>117.303465741243</v>
      </c>
      <c r="J18" s="23">
        <f ca="1">MAX(k_-I18,0)*EXP(-rs_*T_)</f>
        <v>0</v>
      </c>
      <c r="K18" s="23">
        <v>16.8004691783799</v>
      </c>
      <c r="L18" s="23">
        <v>16.2304691783799</v>
      </c>
      <c r="M18" s="27">
        <v>0</v>
      </c>
      <c r="N18" s="28">
        <v>0</v>
      </c>
      <c r="P18">
        <v>130</v>
      </c>
      <c r="Q18" s="35">
        <v>0.0075</v>
      </c>
      <c r="V18">
        <v>24</v>
      </c>
      <c r="W18">
        <v>0</v>
      </c>
      <c r="AB18">
        <v>10</v>
      </c>
      <c r="AC18">
        <v>0.201</v>
      </c>
      <c r="AD18">
        <v>0.1915</v>
      </c>
    </row>
    <row r="19" spans="6:30">
      <c r="F19" s="21"/>
      <c r="G19" s="22">
        <v>18</v>
      </c>
      <c r="H19" s="23">
        <f>S0_</f>
        <v>100</v>
      </c>
      <c r="I19" s="23">
        <f ca="1">S0_*EXP((mu_-sigma_^2/2)*Dt_+sigma_*SQRT(Dt_)*_xlfn.NORM.INV(RAND(),0,1))</f>
        <v>121.733897052355</v>
      </c>
      <c r="J19" s="23">
        <f ca="1">MAX(k_-I19,0)*EXP(-rs_*T_)</f>
        <v>0</v>
      </c>
      <c r="K19" s="23">
        <v>21.1021117396061</v>
      </c>
      <c r="L19" s="23">
        <v>20.5321117396061</v>
      </c>
      <c r="M19" s="27">
        <v>0</v>
      </c>
      <c r="N19" s="28">
        <v>0</v>
      </c>
      <c r="P19">
        <v>135</v>
      </c>
      <c r="Q19" s="35">
        <v>0.002</v>
      </c>
      <c r="W19">
        <v>0</v>
      </c>
      <c r="AB19">
        <v>15</v>
      </c>
      <c r="AC19">
        <v>0.1235</v>
      </c>
      <c r="AD19">
        <v>0.112</v>
      </c>
    </row>
    <row r="20" spans="6:30">
      <c r="F20" s="21"/>
      <c r="G20" s="24">
        <v>19</v>
      </c>
      <c r="H20" s="25">
        <f>S0_</f>
        <v>100</v>
      </c>
      <c r="I20" s="25">
        <f ca="1">S0_*EXP((mu_-sigma_^2/2)*Dt_+sigma_*SQRT(Dt_)*_xlfn.NORM.INV(RAND(),0,1))</f>
        <v>106.362990742523</v>
      </c>
      <c r="J20" s="25">
        <f ca="1">MAX(k_-I20,0)*EXP(-rs_*T_)</f>
        <v>0</v>
      </c>
      <c r="K20" s="25">
        <v>6.17802418606044</v>
      </c>
      <c r="L20" s="25">
        <v>5.60802418606044</v>
      </c>
      <c r="M20" s="28">
        <v>0</v>
      </c>
      <c r="N20" s="28">
        <v>0</v>
      </c>
      <c r="P20">
        <v>140</v>
      </c>
      <c r="Q20" s="35">
        <v>0.0015</v>
      </c>
      <c r="AB20">
        <v>20</v>
      </c>
      <c r="AC20">
        <v>0.073</v>
      </c>
      <c r="AD20">
        <v>0.069</v>
      </c>
    </row>
    <row r="21" spans="7:30">
      <c r="G21" s="24">
        <v>20</v>
      </c>
      <c r="H21" s="25">
        <f>S0_</f>
        <v>100</v>
      </c>
      <c r="I21" s="25">
        <f ca="1">S0_*EXP((mu_-sigma_^2/2)*Dt_+sigma_*SQRT(Dt_)*_xlfn.NORM.INV(RAND(),0,1))</f>
        <v>106.695396703322</v>
      </c>
      <c r="J21" s="25">
        <f ca="1">MAX(k_-I21,0)*EXP(-rs_*T_)</f>
        <v>0</v>
      </c>
      <c r="K21" s="25">
        <v>6.50076739731191</v>
      </c>
      <c r="L21" s="25">
        <v>5.93076739731191</v>
      </c>
      <c r="M21" s="28">
        <v>0</v>
      </c>
      <c r="N21" s="28">
        <v>0</v>
      </c>
      <c r="P21">
        <v>145</v>
      </c>
      <c r="Q21" s="35">
        <v>0</v>
      </c>
      <c r="AB21">
        <v>25</v>
      </c>
      <c r="AC21">
        <v>0.0225</v>
      </c>
      <c r="AD21">
        <v>0.023</v>
      </c>
    </row>
    <row r="22" spans="7:30">
      <c r="G22" s="24">
        <v>21</v>
      </c>
      <c r="H22" s="25">
        <f>S0_</f>
        <v>100</v>
      </c>
      <c r="I22" s="25">
        <f ca="1">S0_*EXP((mu_-sigma_^2/2)*Dt_+sigma_*SQRT(Dt_)*_xlfn.NORM.INV(RAND(),0,1))</f>
        <v>100.171838758154</v>
      </c>
      <c r="J22" s="25">
        <f ca="1">MAX(k_-I22,0)*EXP(-rs_*T_)</f>
        <v>0</v>
      </c>
      <c r="K22" s="25">
        <v>0.166843556267439</v>
      </c>
      <c r="L22" s="25">
        <v>-0.403156443732561</v>
      </c>
      <c r="M22" s="28">
        <v>0</v>
      </c>
      <c r="N22" s="28">
        <v>1</v>
      </c>
      <c r="P22">
        <v>150</v>
      </c>
      <c r="Q22" s="35">
        <v>0</v>
      </c>
      <c r="AB22">
        <v>30</v>
      </c>
      <c r="AC22">
        <v>0.007</v>
      </c>
      <c r="AD22">
        <v>0.0035</v>
      </c>
    </row>
    <row r="23" spans="7:30">
      <c r="G23" s="24">
        <v>22</v>
      </c>
      <c r="H23" s="25">
        <f>S0_</f>
        <v>100</v>
      </c>
      <c r="I23" s="25">
        <f ca="1">S0_*EXP((mu_-sigma_^2/2)*Dt_+sigma_*SQRT(Dt_)*_xlfn.NORM.INV(RAND(),0,1))</f>
        <v>106.742011867023</v>
      </c>
      <c r="J23" s="25">
        <f ca="1">MAX(k_-I23,0)*EXP(-rs_*T_)</f>
        <v>0</v>
      </c>
      <c r="K23" s="25">
        <v>6.54602749911557</v>
      </c>
      <c r="L23" s="25">
        <v>5.97602749911557</v>
      </c>
      <c r="M23" s="28">
        <v>0</v>
      </c>
      <c r="N23" s="28">
        <v>0</v>
      </c>
      <c r="Q23" s="35">
        <v>0</v>
      </c>
      <c r="AB23">
        <v>35</v>
      </c>
      <c r="AC23">
        <v>0.0015</v>
      </c>
      <c r="AD23">
        <v>0.002</v>
      </c>
    </row>
    <row r="24" spans="7:30">
      <c r="G24" s="24">
        <v>23</v>
      </c>
      <c r="H24" s="25">
        <f>S0_</f>
        <v>100</v>
      </c>
      <c r="I24" s="25">
        <f ca="1">S0_*EXP((mu_-sigma_^2/2)*Dt_+sigma_*SQRT(Dt_)*_xlfn.NORM.INV(RAND(),0,1))</f>
        <v>100.070908366869</v>
      </c>
      <c r="J24" s="25">
        <f ca="1">MAX(k_-I24,0)*EXP(-rs_*T_)</f>
        <v>0</v>
      </c>
      <c r="K24" s="25">
        <v>0.0688471228765447</v>
      </c>
      <c r="L24" s="25">
        <v>-0.501152877123455</v>
      </c>
      <c r="M24" s="28">
        <v>0</v>
      </c>
      <c r="N24" s="28">
        <v>1</v>
      </c>
      <c r="AB24">
        <v>40</v>
      </c>
      <c r="AC24">
        <v>0.001</v>
      </c>
      <c r="AD24">
        <v>0.0005</v>
      </c>
    </row>
    <row r="25" spans="7:30">
      <c r="G25" s="24">
        <v>24</v>
      </c>
      <c r="H25" s="25">
        <f>S0_</f>
        <v>100</v>
      </c>
      <c r="I25" s="25">
        <f ca="1">S0_*EXP((mu_-sigma_^2/2)*Dt_+sigma_*SQRT(Dt_)*_xlfn.NORM.INV(RAND(),0,1))</f>
        <v>104.019672664799</v>
      </c>
      <c r="J25" s="25">
        <f ca="1">MAX(k_-I25,0)*EXP(-rs_*T_)</f>
        <v>0</v>
      </c>
      <c r="K25" s="25">
        <v>3.90282430826326</v>
      </c>
      <c r="L25" s="25">
        <v>3.33282430826326</v>
      </c>
      <c r="M25" s="28">
        <v>0</v>
      </c>
      <c r="N25" s="28">
        <v>0</v>
      </c>
      <c r="AB25">
        <v>45</v>
      </c>
      <c r="AC25">
        <v>0</v>
      </c>
      <c r="AD25">
        <v>0</v>
      </c>
    </row>
    <row r="26" spans="7:30">
      <c r="G26" s="24">
        <v>25</v>
      </c>
      <c r="H26" s="25">
        <f>S0_</f>
        <v>100</v>
      </c>
      <c r="I26" s="25">
        <f ca="1">S0_*EXP((mu_-sigma_^2/2)*Dt_+sigma_*SQRT(Dt_)*_xlfn.NORM.INV(RAND(),0,1))</f>
        <v>104.220277002082</v>
      </c>
      <c r="J26" s="25">
        <f ca="1">MAX(k_-I26,0)*EXP(-rs_*T_)</f>
        <v>0</v>
      </c>
      <c r="K26" s="25">
        <v>4.0975972535203</v>
      </c>
      <c r="L26" s="25">
        <v>3.5275972535203</v>
      </c>
      <c r="M26" s="28">
        <v>0</v>
      </c>
      <c r="N26" s="28">
        <v>0</v>
      </c>
      <c r="AC26">
        <v>0</v>
      </c>
      <c r="AD26">
        <v>0</v>
      </c>
    </row>
    <row r="27" spans="7:14">
      <c r="G27" s="24">
        <v>26</v>
      </c>
      <c r="H27" s="25">
        <f>S0_</f>
        <v>100</v>
      </c>
      <c r="I27" s="25">
        <f ca="1">S0_*EXP((mu_-sigma_^2/2)*Dt_+sigma_*SQRT(Dt_)*_xlfn.NORM.INV(RAND(),0,1))</f>
        <v>102.164128475396</v>
      </c>
      <c r="J27" s="25">
        <f ca="1">MAX(k_-I27,0)*EXP(-rs_*T_)</f>
        <v>0</v>
      </c>
      <c r="K27" s="25">
        <v>2.10121915994443</v>
      </c>
      <c r="L27" s="25">
        <v>1.53121915994443</v>
      </c>
      <c r="M27" s="28">
        <v>0</v>
      </c>
      <c r="N27" s="28">
        <v>0</v>
      </c>
    </row>
    <row r="28" spans="7:14">
      <c r="G28" s="24">
        <v>27</v>
      </c>
      <c r="H28" s="25">
        <f>S0_</f>
        <v>100</v>
      </c>
      <c r="I28" s="25">
        <f ca="1">S0_*EXP((mu_-sigma_^2/2)*Dt_+sigma_*SQRT(Dt_)*_xlfn.NORM.INV(RAND(),0,1))</f>
        <v>115.036610115535</v>
      </c>
      <c r="J28" s="25">
        <f ca="1">MAX(k_-I28,0)*EXP(-rs_*T_)</f>
        <v>0</v>
      </c>
      <c r="K28" s="25">
        <v>14.5995090562247</v>
      </c>
      <c r="L28" s="25">
        <v>14.0295090562247</v>
      </c>
      <c r="M28" s="28">
        <v>0</v>
      </c>
      <c r="N28" s="28">
        <v>0</v>
      </c>
    </row>
    <row r="29" spans="7:14">
      <c r="G29" s="24">
        <v>28</v>
      </c>
      <c r="H29" s="25">
        <f>S0_</f>
        <v>100</v>
      </c>
      <c r="I29" s="25">
        <f ca="1">S0_*EXP((mu_-sigma_^2/2)*Dt_+sigma_*SQRT(Dt_)*_xlfn.NORM.INV(RAND(),0,1))</f>
        <v>112.743833555342</v>
      </c>
      <c r="J29" s="25">
        <f ca="1">MAX(k_-I29,0)*EXP(-rs_*T_)</f>
        <v>0</v>
      </c>
      <c r="K29" s="25">
        <v>12.373381498401</v>
      </c>
      <c r="L29" s="25">
        <v>11.803381498401</v>
      </c>
      <c r="M29" s="28">
        <v>0</v>
      </c>
      <c r="N29" s="28">
        <v>0</v>
      </c>
    </row>
    <row r="30" spans="7:14">
      <c r="G30" s="24">
        <v>29</v>
      </c>
      <c r="H30" s="25">
        <f>S0_</f>
        <v>100</v>
      </c>
      <c r="I30" s="25">
        <f ca="1">S0_*EXP((mu_-sigma_^2/2)*Dt_+sigma_*SQRT(Dt_)*_xlfn.NORM.INV(RAND(),0,1))</f>
        <v>116.325305934985</v>
      </c>
      <c r="J30" s="25">
        <f ca="1">MAX(k_-I30,0)*EXP(-rs_*T_)</f>
        <v>0</v>
      </c>
      <c r="K30" s="25">
        <v>15.8507436192164</v>
      </c>
      <c r="L30" s="25">
        <v>15.2807436192164</v>
      </c>
      <c r="M30" s="28">
        <v>0</v>
      </c>
      <c r="N30" s="28">
        <v>0</v>
      </c>
    </row>
    <row r="31" spans="7:14">
      <c r="G31" s="24">
        <v>30</v>
      </c>
      <c r="H31" s="25">
        <f>S0_</f>
        <v>100</v>
      </c>
      <c r="I31" s="25">
        <f ca="1">S0_*EXP((mu_-sigma_^2/2)*Dt_+sigma_*SQRT(Dt_)*_xlfn.NORM.INV(RAND(),0,1))</f>
        <v>106.394284374448</v>
      </c>
      <c r="J31" s="25">
        <f ca="1">MAX(k_-I31,0)*EXP(-rs_*T_)</f>
        <v>0</v>
      </c>
      <c r="K31" s="25">
        <v>6.20840813956992</v>
      </c>
      <c r="L31" s="25">
        <v>5.63840813956991</v>
      </c>
      <c r="M31" s="28">
        <v>0</v>
      </c>
      <c r="N31" s="28">
        <v>0</v>
      </c>
    </row>
    <row r="32" spans="7:14">
      <c r="G32" s="24">
        <v>31</v>
      </c>
      <c r="H32" s="25">
        <f>S0_</f>
        <v>100</v>
      </c>
      <c r="I32" s="25">
        <f ca="1">S0_*EXP((mu_-sigma_^2/2)*Dt_+sigma_*SQRT(Dt_)*_xlfn.NORM.INV(RAND(),0,1))</f>
        <v>99.9125437991871</v>
      </c>
      <c r="J32" s="25">
        <f ca="1">MAX(k_-I32,0)*EXP(-rs_*T_)</f>
        <v>0</v>
      </c>
      <c r="K32" s="25">
        <v>-0.084913925810387</v>
      </c>
      <c r="L32" s="25">
        <v>-0.654913925810387</v>
      </c>
      <c r="M32" s="28">
        <v>1</v>
      </c>
      <c r="N32" s="28">
        <v>1</v>
      </c>
    </row>
    <row r="33" spans="7:14">
      <c r="G33" s="24">
        <v>32</v>
      </c>
      <c r="H33" s="25">
        <f>S0_</f>
        <v>100</v>
      </c>
      <c r="I33" s="25">
        <f ca="1">S0_*EXP((mu_-sigma_^2/2)*Dt_+sigma_*SQRT(Dt_)*_xlfn.NORM.INV(RAND(),0,1))</f>
        <v>107.634417310437</v>
      </c>
      <c r="J33" s="25">
        <f ca="1">MAX(k_-I33,0)*EXP(-rs_*T_)</f>
        <v>0</v>
      </c>
      <c r="K33" s="25">
        <v>7.41249149950154</v>
      </c>
      <c r="L33" s="25">
        <v>6.84249149950154</v>
      </c>
      <c r="M33" s="28">
        <v>0</v>
      </c>
      <c r="N33" s="28">
        <v>0</v>
      </c>
    </row>
    <row r="34" spans="7:14">
      <c r="G34" s="24">
        <v>33</v>
      </c>
      <c r="H34" s="25">
        <f>S0_</f>
        <v>100</v>
      </c>
      <c r="I34" s="25">
        <f ca="1">S0_*EXP((mu_-sigma_^2/2)*Dt_+sigma_*SQRT(Dt_)*_xlfn.NORM.INV(RAND(),0,1))</f>
        <v>98.7142267655711</v>
      </c>
      <c r="J34" s="25">
        <f ca="1">MAX(k_-I34,0)*EXP(-rs_*T_)</f>
        <v>0</v>
      </c>
      <c r="K34" s="25">
        <v>-1.24839693495164</v>
      </c>
      <c r="L34" s="25">
        <v>-1.81839693495164</v>
      </c>
      <c r="M34" s="28">
        <v>1</v>
      </c>
      <c r="N34" s="28">
        <v>1</v>
      </c>
    </row>
    <row r="35" spans="7:14">
      <c r="G35" s="24">
        <v>34</v>
      </c>
      <c r="H35" s="25">
        <f>S0_</f>
        <v>100</v>
      </c>
      <c r="I35" s="25">
        <f ca="1">S0_*EXP((mu_-sigma_^2/2)*Dt_+sigma_*SQRT(Dt_)*_xlfn.NORM.INV(RAND(),0,1))</f>
        <v>119.715154611106</v>
      </c>
      <c r="J35" s="25">
        <f ca="1">MAX(k_-I35,0)*EXP(-rs_*T_)</f>
        <v>0</v>
      </c>
      <c r="K35" s="25">
        <v>19.1420523693935</v>
      </c>
      <c r="L35" s="25">
        <v>18.5720523693935</v>
      </c>
      <c r="M35" s="28">
        <v>0</v>
      </c>
      <c r="N35" s="28">
        <v>0</v>
      </c>
    </row>
    <row r="36" spans="7:14">
      <c r="G36" s="24">
        <v>35</v>
      </c>
      <c r="H36" s="25">
        <f>S0_</f>
        <v>100</v>
      </c>
      <c r="I36" s="25">
        <f ca="1">S0_*EXP((mu_-sigma_^2/2)*Dt_+sigma_*SQRT(Dt_)*_xlfn.NORM.INV(RAND(),0,1))</f>
        <v>126.269631040096</v>
      </c>
      <c r="J36" s="25">
        <f ca="1">MAX(k_-I36,0)*EXP(-rs_*T_)</f>
        <v>0</v>
      </c>
      <c r="K36" s="25">
        <v>25.5059959210704</v>
      </c>
      <c r="L36" s="25">
        <v>24.9359959210704</v>
      </c>
      <c r="M36" s="28">
        <v>0</v>
      </c>
      <c r="N36" s="28">
        <v>0</v>
      </c>
    </row>
    <row r="37" spans="7:14">
      <c r="G37" s="24">
        <v>36</v>
      </c>
      <c r="H37" s="25">
        <f>S0_</f>
        <v>100</v>
      </c>
      <c r="I37" s="25">
        <f ca="1">S0_*EXP((mu_-sigma_^2/2)*Dt_+sigma_*SQRT(Dt_)*_xlfn.NORM.INV(RAND(),0,1))</f>
        <v>107.875278174804</v>
      </c>
      <c r="J37" s="25">
        <f ca="1">MAX(k_-I37,0)*EXP(-rs_*T_)</f>
        <v>0</v>
      </c>
      <c r="K37" s="25">
        <v>7.64635074993125</v>
      </c>
      <c r="L37" s="25">
        <v>7.07635074993125</v>
      </c>
      <c r="M37" s="28">
        <v>0</v>
      </c>
      <c r="N37" s="28">
        <v>0</v>
      </c>
    </row>
    <row r="38" spans="7:14">
      <c r="G38" s="24">
        <v>37</v>
      </c>
      <c r="H38" s="25">
        <f>S0_</f>
        <v>100</v>
      </c>
      <c r="I38" s="25">
        <f ca="1">S0_*EXP((mu_-sigma_^2/2)*Dt_+sigma_*SQRT(Dt_)*_xlfn.NORM.INV(RAND(),0,1))</f>
        <v>104.60084736139</v>
      </c>
      <c r="J38" s="25">
        <f ca="1">MAX(k_-I38,0)*EXP(-rs_*T_)</f>
        <v>0</v>
      </c>
      <c r="K38" s="25">
        <v>4.4671047664876</v>
      </c>
      <c r="L38" s="25">
        <v>3.8971047664876</v>
      </c>
      <c r="M38" s="28">
        <v>0</v>
      </c>
      <c r="N38" s="28">
        <v>0</v>
      </c>
    </row>
    <row r="39" spans="7:14">
      <c r="G39" s="24">
        <v>38</v>
      </c>
      <c r="H39" s="25">
        <f>S0_</f>
        <v>100</v>
      </c>
      <c r="I39" s="25">
        <f ca="1">S0_*EXP((mu_-sigma_^2/2)*Dt_+sigma_*SQRT(Dt_)*_xlfn.NORM.INV(RAND(),0,1))</f>
        <v>114.979473593505</v>
      </c>
      <c r="J39" s="25">
        <f ca="1">MAX(k_-I39,0)*EXP(-rs_*T_)</f>
        <v>0</v>
      </c>
      <c r="K39" s="25">
        <v>14.5440334427453</v>
      </c>
      <c r="L39" s="25">
        <v>13.9740334427453</v>
      </c>
      <c r="M39" s="28">
        <v>0</v>
      </c>
      <c r="N39" s="28">
        <v>0</v>
      </c>
    </row>
    <row r="40" spans="7:14">
      <c r="G40" s="24">
        <v>39</v>
      </c>
      <c r="H40" s="25">
        <f>S0_</f>
        <v>100</v>
      </c>
      <c r="I40" s="25">
        <f ca="1">S0_*EXP((mu_-sigma_^2/2)*Dt_+sigma_*SQRT(Dt_)*_xlfn.NORM.INV(RAND(),0,1))</f>
        <v>111.287073153688</v>
      </c>
      <c r="J40" s="25">
        <f ca="1">MAX(k_-I40,0)*EXP(-rs_*T_)</f>
        <v>0</v>
      </c>
      <c r="K40" s="25">
        <v>10.9589678431103</v>
      </c>
      <c r="L40" s="25">
        <v>10.3889678431103</v>
      </c>
      <c r="M40" s="28">
        <v>0</v>
      </c>
      <c r="N40" s="28">
        <v>0</v>
      </c>
    </row>
    <row r="41" spans="7:14">
      <c r="G41" s="24">
        <v>40</v>
      </c>
      <c r="H41" s="25">
        <f>S0_</f>
        <v>100</v>
      </c>
      <c r="I41" s="25">
        <f ca="1">S0_*EXP((mu_-sigma_^2/2)*Dt_+sigma_*SQRT(Dt_)*_xlfn.NORM.INV(RAND(),0,1))</f>
        <v>92.0584355211651</v>
      </c>
      <c r="J41" s="25">
        <f ca="1">MAX(k_-I41,0)*EXP(-rs_*T_)</f>
        <v>4.79791753635575</v>
      </c>
      <c r="K41" s="25">
        <v>-7.71071016927934</v>
      </c>
      <c r="L41" s="25">
        <v>-3.48279263292358</v>
      </c>
      <c r="M41" s="28">
        <v>1</v>
      </c>
      <c r="N41" s="28">
        <v>1</v>
      </c>
    </row>
    <row r="42" spans="7:14">
      <c r="G42" s="24">
        <v>41</v>
      </c>
      <c r="H42" s="25">
        <f>S0_</f>
        <v>100</v>
      </c>
      <c r="I42" s="25">
        <f ca="1">S0_*EXP((mu_-sigma_^2/2)*Dt_+sigma_*SQRT(Dt_)*_xlfn.NORM.INV(RAND(),0,1))</f>
        <v>105.807673625208</v>
      </c>
      <c r="J42" s="25">
        <f ca="1">MAX(k_-I42,0)*EXP(-rs_*T_)</f>
        <v>0</v>
      </c>
      <c r="K42" s="25">
        <v>5.63884964997686</v>
      </c>
      <c r="L42" s="25">
        <v>5.06884964997686</v>
      </c>
      <c r="M42" s="28">
        <v>0</v>
      </c>
      <c r="N42" s="28">
        <v>0</v>
      </c>
    </row>
    <row r="43" spans="7:14">
      <c r="G43" s="24">
        <v>42</v>
      </c>
      <c r="H43" s="25">
        <f>S0_</f>
        <v>100</v>
      </c>
      <c r="I43" s="25">
        <f ca="1">S0_*EXP((mu_-sigma_^2/2)*Dt_+sigma_*SQRT(Dt_)*_xlfn.NORM.INV(RAND(),0,1))</f>
        <v>98.969865598496</v>
      </c>
      <c r="J43" s="25">
        <f ca="1">MAX(k_-I43,0)*EXP(-rs_*T_)</f>
        <v>0</v>
      </c>
      <c r="K43" s="25">
        <v>-1.00018929854071</v>
      </c>
      <c r="L43" s="25">
        <v>-1.57018929854071</v>
      </c>
      <c r="M43" s="28">
        <v>1</v>
      </c>
      <c r="N43" s="28">
        <v>1</v>
      </c>
    </row>
    <row r="44" spans="7:14">
      <c r="G44" s="24">
        <v>43</v>
      </c>
      <c r="H44" s="25">
        <f>S0_</f>
        <v>100</v>
      </c>
      <c r="I44" s="25">
        <f ca="1">S0_*EXP((mu_-sigma_^2/2)*Dt_+sigma_*SQRT(Dt_)*_xlfn.NORM.INV(RAND(),0,1))</f>
        <v>99.2592864745089</v>
      </c>
      <c r="J44" s="25">
        <f ca="1">MAX(k_-I44,0)*EXP(-rs_*T_)</f>
        <v>0</v>
      </c>
      <c r="K44" s="25">
        <v>-0.719181633385752</v>
      </c>
      <c r="L44" s="25">
        <v>-1.28918163338575</v>
      </c>
      <c r="M44" s="28">
        <v>1</v>
      </c>
      <c r="N44" s="28">
        <v>1</v>
      </c>
    </row>
    <row r="45" spans="7:14">
      <c r="G45" s="24">
        <v>44</v>
      </c>
      <c r="H45" s="25">
        <f>S0_</f>
        <v>100</v>
      </c>
      <c r="I45" s="25">
        <f ca="1">S0_*EXP((mu_-sigma_^2/2)*Dt_+sigma_*SQRT(Dt_)*_xlfn.NORM.INV(RAND(),0,1))</f>
        <v>111.35832589176</v>
      </c>
      <c r="J45" s="25">
        <f ca="1">MAX(k_-I45,0)*EXP(-rs_*T_)</f>
        <v>0</v>
      </c>
      <c r="K45" s="25">
        <v>11.0281493266216</v>
      </c>
      <c r="L45" s="25">
        <v>10.4581493266216</v>
      </c>
      <c r="M45" s="28">
        <v>0</v>
      </c>
      <c r="N45" s="28">
        <v>0</v>
      </c>
    </row>
    <row r="46" spans="7:14">
      <c r="G46" s="24">
        <v>45</v>
      </c>
      <c r="H46" s="25">
        <f>S0_</f>
        <v>100</v>
      </c>
      <c r="I46" s="25">
        <f ca="1">S0_*EXP((mu_-sigma_^2/2)*Dt_+sigma_*SQRT(Dt_)*_xlfn.NORM.INV(RAND(),0,1))</f>
        <v>113.12736335609</v>
      </c>
      <c r="J46" s="25">
        <f ca="1">MAX(k_-I46,0)*EXP(-rs_*T_)</f>
        <v>0</v>
      </c>
      <c r="K46" s="25">
        <v>12.7457624244432</v>
      </c>
      <c r="L46" s="25">
        <v>12.1757624244432</v>
      </c>
      <c r="M46" s="28">
        <v>0</v>
      </c>
      <c r="N46" s="28">
        <v>0</v>
      </c>
    </row>
    <row r="47" spans="7:14">
      <c r="G47" s="24">
        <v>46</v>
      </c>
      <c r="H47" s="25">
        <f>S0_</f>
        <v>100</v>
      </c>
      <c r="I47" s="25">
        <f ca="1">S0_*EXP((mu_-sigma_^2/2)*Dt_+sigma_*SQRT(Dt_)*_xlfn.NORM.INV(RAND(),0,1))</f>
        <v>105.358932965395</v>
      </c>
      <c r="J47" s="25">
        <f ca="1">MAX(k_-I47,0)*EXP(-rs_*T_)</f>
        <v>0</v>
      </c>
      <c r="K47" s="25">
        <v>5.20315348731132</v>
      </c>
      <c r="L47" s="25">
        <v>4.63315348731132</v>
      </c>
      <c r="M47" s="28">
        <v>0</v>
      </c>
      <c r="N47" s="28">
        <v>0</v>
      </c>
    </row>
    <row r="48" spans="7:14">
      <c r="G48" s="24">
        <v>47</v>
      </c>
      <c r="H48" s="25">
        <f>S0_</f>
        <v>100</v>
      </c>
      <c r="I48" s="25">
        <f ca="1">S0_*EXP((mu_-sigma_^2/2)*Dt_+sigma_*SQRT(Dt_)*_xlfn.NORM.INV(RAND(),0,1))</f>
        <v>108.29583358834</v>
      </c>
      <c r="J48" s="25">
        <f ca="1">MAX(k_-I48,0)*EXP(-rs_*T_)</f>
        <v>0</v>
      </c>
      <c r="K48" s="25">
        <v>8.05468098669235</v>
      </c>
      <c r="L48" s="25">
        <v>7.48468098669235</v>
      </c>
      <c r="M48" s="28">
        <v>0</v>
      </c>
      <c r="N48" s="28">
        <v>0</v>
      </c>
    </row>
    <row r="49" spans="7:14">
      <c r="G49" s="24">
        <v>48</v>
      </c>
      <c r="H49" s="25">
        <f>S0_</f>
        <v>100</v>
      </c>
      <c r="I49" s="25">
        <f ca="1">S0_*EXP((mu_-sigma_^2/2)*Dt_+sigma_*SQRT(Dt_)*_xlfn.NORM.INV(RAND(),0,1))</f>
        <v>108.898794638023</v>
      </c>
      <c r="J49" s="25">
        <f ca="1">MAX(k_-I49,0)*EXP(-rs_*T_)</f>
        <v>0</v>
      </c>
      <c r="K49" s="25">
        <v>8.64011448784404</v>
      </c>
      <c r="L49" s="25">
        <v>8.07011448784404</v>
      </c>
      <c r="M49" s="28">
        <v>0</v>
      </c>
      <c r="N49" s="28">
        <v>0</v>
      </c>
    </row>
    <row r="50" spans="7:14">
      <c r="G50" s="24">
        <v>49</v>
      </c>
      <c r="H50" s="25">
        <f>S0_</f>
        <v>100</v>
      </c>
      <c r="I50" s="25">
        <f ca="1">S0_*EXP((mu_-sigma_^2/2)*Dt_+sigma_*SQRT(Dt_)*_xlfn.NORM.INV(RAND(),0,1))</f>
        <v>102.413586391823</v>
      </c>
      <c r="J50" s="25">
        <f ca="1">MAX(k_-I50,0)*EXP(-rs_*T_)</f>
        <v>0</v>
      </c>
      <c r="K50" s="25">
        <v>2.34342555367534</v>
      </c>
      <c r="L50" s="25">
        <v>1.77342555367534</v>
      </c>
      <c r="M50" s="28">
        <v>0</v>
      </c>
      <c r="N50" s="28">
        <v>0</v>
      </c>
    </row>
    <row r="51" spans="7:14">
      <c r="G51" s="24">
        <v>50</v>
      </c>
      <c r="H51" s="25">
        <f>S0_</f>
        <v>100</v>
      </c>
      <c r="I51" s="25">
        <f ca="1">S0_*EXP((mu_-sigma_^2/2)*Dt_+sigma_*SQRT(Dt_)*_xlfn.NORM.INV(RAND(),0,1))</f>
        <v>100.667331573616</v>
      </c>
      <c r="J51" s="25">
        <f ca="1">MAX(k_-I51,0)*EXP(-rs_*T_)</f>
        <v>0</v>
      </c>
      <c r="K51" s="25">
        <v>0.647932830448217</v>
      </c>
      <c r="L51" s="25">
        <v>0.0779328304482171</v>
      </c>
      <c r="M51" s="28">
        <v>0</v>
      </c>
      <c r="N51" s="28">
        <v>0</v>
      </c>
    </row>
    <row r="52" spans="7:14">
      <c r="G52" s="24">
        <v>51</v>
      </c>
      <c r="H52" s="25">
        <f>S0_</f>
        <v>100</v>
      </c>
      <c r="I52" s="25">
        <f ca="1">S0_*EXP((mu_-sigma_^2/2)*Dt_+sigma_*SQRT(Dt_)*_xlfn.NORM.INV(RAND(),0,1))</f>
        <v>109.594901342682</v>
      </c>
      <c r="J52" s="25">
        <f ca="1">MAX(k_-I52,0)*EXP(-rs_*T_)</f>
        <v>0</v>
      </c>
      <c r="K52" s="25">
        <v>9.31598598153113</v>
      </c>
      <c r="L52" s="25">
        <v>8.74598598153113</v>
      </c>
      <c r="M52" s="28">
        <v>0</v>
      </c>
      <c r="N52" s="28">
        <v>0</v>
      </c>
    </row>
    <row r="53" spans="7:14">
      <c r="G53" s="24">
        <v>52</v>
      </c>
      <c r="H53" s="25">
        <f>S0_</f>
        <v>100</v>
      </c>
      <c r="I53" s="25">
        <f ca="1">S0_*EXP((mu_-sigma_^2/2)*Dt_+sigma_*SQRT(Dt_)*_xlfn.NORM.INV(RAND(),0,1))</f>
        <v>104.681802692637</v>
      </c>
      <c r="J53" s="25">
        <f ca="1">MAX(k_-I53,0)*EXP(-rs_*T_)</f>
        <v>0</v>
      </c>
      <c r="K53" s="25">
        <v>4.54570679730489</v>
      </c>
      <c r="L53" s="25">
        <v>3.97570679730489</v>
      </c>
      <c r="M53" s="28">
        <v>0</v>
      </c>
      <c r="N53" s="28">
        <v>0</v>
      </c>
    </row>
    <row r="54" spans="7:14">
      <c r="G54" s="24">
        <v>53</v>
      </c>
      <c r="H54" s="25">
        <f>S0_</f>
        <v>100</v>
      </c>
      <c r="I54" s="25">
        <f ca="1">S0_*EXP((mu_-sigma_^2/2)*Dt_+sigma_*SQRT(Dt_)*_xlfn.NORM.INV(RAND(),0,1))</f>
        <v>98.4389030825494</v>
      </c>
      <c r="J54" s="25">
        <f ca="1">MAX(k_-I54,0)*EXP(-rs_*T_)</f>
        <v>0</v>
      </c>
      <c r="K54" s="25">
        <v>-1.5157172001433</v>
      </c>
      <c r="L54" s="25">
        <v>-2.0857172001433</v>
      </c>
      <c r="M54" s="28">
        <v>1</v>
      </c>
      <c r="N54" s="28">
        <v>1</v>
      </c>
    </row>
    <row r="55" spans="7:14">
      <c r="G55" s="24">
        <v>54</v>
      </c>
      <c r="H55" s="25">
        <f>S0_</f>
        <v>100</v>
      </c>
      <c r="I55" s="25">
        <f ca="1">S0_*EXP((mu_-sigma_^2/2)*Dt_+sigma_*SQRT(Dt_)*_xlfn.NORM.INV(RAND(),0,1))</f>
        <v>98.0012074044607</v>
      </c>
      <c r="J55" s="25">
        <f ca="1">MAX(k_-I55,0)*EXP(-rs_*T_)</f>
        <v>0</v>
      </c>
      <c r="K55" s="25">
        <v>-1.94068944900968</v>
      </c>
      <c r="L55" s="25">
        <v>-2.51068944900968</v>
      </c>
      <c r="M55" s="28">
        <v>1</v>
      </c>
      <c r="N55" s="28">
        <v>1</v>
      </c>
    </row>
    <row r="56" spans="7:14">
      <c r="G56" s="24">
        <v>55</v>
      </c>
      <c r="H56" s="25">
        <f>S0_</f>
        <v>100</v>
      </c>
      <c r="I56" s="25">
        <f ca="1">S0_*EXP((mu_-sigma_^2/2)*Dt_+sigma_*SQRT(Dt_)*_xlfn.NORM.INV(RAND(),0,1))</f>
        <v>106.026581507121</v>
      </c>
      <c r="J56" s="25">
        <f ca="1">MAX(k_-I56,0)*EXP(-rs_*T_)</f>
        <v>0</v>
      </c>
      <c r="K56" s="25">
        <v>5.85139407188481</v>
      </c>
      <c r="L56" s="25">
        <v>5.28139407188481</v>
      </c>
      <c r="M56" s="28">
        <v>0</v>
      </c>
      <c r="N56" s="28">
        <v>0</v>
      </c>
    </row>
    <row r="57" spans="7:14">
      <c r="G57" s="24">
        <v>56</v>
      </c>
      <c r="H57" s="25">
        <f>S0_</f>
        <v>100</v>
      </c>
      <c r="I57" s="25">
        <f ca="1">S0_*EXP((mu_-sigma_^2/2)*Dt_+sigma_*SQRT(Dt_)*_xlfn.NORM.INV(RAND(),0,1))</f>
        <v>113.483667749507</v>
      </c>
      <c r="J57" s="25">
        <f ca="1">MAX(k_-I57,0)*EXP(-rs_*T_)</f>
        <v>0</v>
      </c>
      <c r="K57" s="25">
        <v>13.0917093618512</v>
      </c>
      <c r="L57" s="25">
        <v>12.5217093618512</v>
      </c>
      <c r="M57" s="28">
        <v>0</v>
      </c>
      <c r="N57" s="28">
        <v>0</v>
      </c>
    </row>
    <row r="58" spans="7:14">
      <c r="G58" s="24">
        <v>57</v>
      </c>
      <c r="H58" s="25">
        <f>S0_</f>
        <v>100</v>
      </c>
      <c r="I58" s="25">
        <f ca="1">S0_*EXP((mu_-sigma_^2/2)*Dt_+sigma_*SQRT(Dt_)*_xlfn.NORM.INV(RAND(),0,1))</f>
        <v>117.878370788723</v>
      </c>
      <c r="J58" s="25">
        <f ca="1">MAX(k_-I58,0)*EXP(-rs_*T_)</f>
        <v>0</v>
      </c>
      <c r="K58" s="25">
        <v>17.3586622406891</v>
      </c>
      <c r="L58" s="25">
        <v>16.7886622406891</v>
      </c>
      <c r="M58" s="28">
        <v>0</v>
      </c>
      <c r="N58" s="28">
        <v>0</v>
      </c>
    </row>
    <row r="59" spans="7:14">
      <c r="G59" s="24">
        <v>58</v>
      </c>
      <c r="H59" s="25">
        <f>S0_</f>
        <v>100</v>
      </c>
      <c r="I59" s="25">
        <f ca="1">S0_*EXP((mu_-sigma_^2/2)*Dt_+sigma_*SQRT(Dt_)*_xlfn.NORM.INV(RAND(),0,1))</f>
        <v>115.36993884031</v>
      </c>
      <c r="J59" s="25">
        <f ca="1">MAX(k_-I59,0)*EXP(-rs_*T_)</f>
        <v>0</v>
      </c>
      <c r="K59" s="25">
        <v>14.9231482075141</v>
      </c>
      <c r="L59" s="25">
        <v>14.3531482075141</v>
      </c>
      <c r="M59" s="28">
        <v>0</v>
      </c>
      <c r="N59" s="28">
        <v>0</v>
      </c>
    </row>
    <row r="60" spans="7:14">
      <c r="G60" s="24">
        <v>59</v>
      </c>
      <c r="H60" s="25">
        <f>S0_</f>
        <v>100</v>
      </c>
      <c r="I60" s="25">
        <f ca="1">S0_*EXP((mu_-sigma_^2/2)*Dt_+sigma_*SQRT(Dt_)*_xlfn.NORM.INV(RAND(),0,1))</f>
        <v>108.742300474031</v>
      </c>
      <c r="J60" s="25">
        <f ca="1">MAX(k_-I60,0)*EXP(-rs_*T_)</f>
        <v>0</v>
      </c>
      <c r="K60" s="25">
        <v>8.48816947185407</v>
      </c>
      <c r="L60" s="25">
        <v>7.91816947185407</v>
      </c>
      <c r="M60" s="28">
        <v>0</v>
      </c>
      <c r="N60" s="28">
        <v>0</v>
      </c>
    </row>
    <row r="61" spans="7:14">
      <c r="G61" s="24">
        <v>60</v>
      </c>
      <c r="H61" s="25">
        <f>S0_</f>
        <v>100</v>
      </c>
      <c r="I61" s="25">
        <f ca="1">S0_*EXP((mu_-sigma_^2/2)*Dt_+sigma_*SQRT(Dt_)*_xlfn.NORM.INV(RAND(),0,1))</f>
        <v>102.150410679619</v>
      </c>
      <c r="J61" s="25">
        <f ca="1">MAX(k_-I61,0)*EXP(-rs_*T_)</f>
        <v>0</v>
      </c>
      <c r="K61" s="25">
        <v>2.08790012845176</v>
      </c>
      <c r="L61" s="25">
        <v>1.51790012845176</v>
      </c>
      <c r="M61" s="28">
        <v>0</v>
      </c>
      <c r="N61" s="28">
        <v>0</v>
      </c>
    </row>
    <row r="62" spans="7:14">
      <c r="G62" s="24">
        <v>61</v>
      </c>
      <c r="H62" s="25">
        <f>S0_</f>
        <v>100</v>
      </c>
      <c r="I62" s="25">
        <f ca="1">S0_*EXP((mu_-sigma_^2/2)*Dt_+sigma_*SQRT(Dt_)*_xlfn.NORM.INV(RAND(),0,1))</f>
        <v>98.8102982493015</v>
      </c>
      <c r="J62" s="25">
        <f ca="1">MAX(k_-I62,0)*EXP(-rs_*T_)</f>
        <v>0</v>
      </c>
      <c r="K62" s="25">
        <v>-1.15511816493694</v>
      </c>
      <c r="L62" s="25">
        <v>-1.72511816493694</v>
      </c>
      <c r="M62" s="28">
        <v>1</v>
      </c>
      <c r="N62" s="28">
        <v>1</v>
      </c>
    </row>
    <row r="63" spans="7:14">
      <c r="G63" s="24">
        <v>62</v>
      </c>
      <c r="H63" s="25">
        <f>S0_</f>
        <v>100</v>
      </c>
      <c r="I63" s="25">
        <f ca="1">S0_*EXP((mu_-sigma_^2/2)*Dt_+sigma_*SQRT(Dt_)*_xlfn.NORM.INV(RAND(),0,1))</f>
        <v>97.9468483933169</v>
      </c>
      <c r="J63" s="25">
        <f ca="1">MAX(k_-I63,0)*EXP(-rs_*T_)</f>
        <v>0</v>
      </c>
      <c r="K63" s="25">
        <v>-1.99346829140722</v>
      </c>
      <c r="L63" s="25">
        <v>-2.56346829140722</v>
      </c>
      <c r="M63" s="28">
        <v>1</v>
      </c>
      <c r="N63" s="28">
        <v>1</v>
      </c>
    </row>
    <row r="64" spans="7:14">
      <c r="G64" s="24">
        <v>63</v>
      </c>
      <c r="H64" s="25">
        <f>S0_</f>
        <v>100</v>
      </c>
      <c r="I64" s="25">
        <f ca="1">S0_*EXP((mu_-sigma_^2/2)*Dt_+sigma_*SQRT(Dt_)*_xlfn.NORM.INV(RAND(),0,1))</f>
        <v>120.35805574541</v>
      </c>
      <c r="J64" s="25">
        <f ca="1">MAX(k_-I64,0)*EXP(-rs_*T_)</f>
        <v>0</v>
      </c>
      <c r="K64" s="25">
        <v>19.7662649319595</v>
      </c>
      <c r="L64" s="25">
        <v>19.1962649319595</v>
      </c>
      <c r="M64" s="28">
        <v>0</v>
      </c>
      <c r="N64" s="28">
        <v>0</v>
      </c>
    </row>
    <row r="65" spans="7:14">
      <c r="G65" s="24">
        <v>64</v>
      </c>
      <c r="H65" s="25">
        <f>S0_</f>
        <v>100</v>
      </c>
      <c r="I65" s="25">
        <f ca="1">S0_*EXP((mu_-sigma_^2/2)*Dt_+sigma_*SQRT(Dt_)*_xlfn.NORM.INV(RAND(),0,1))</f>
        <v>105.131358362193</v>
      </c>
      <c r="J65" s="25">
        <f ca="1">MAX(k_-I65,0)*EXP(-rs_*T_)</f>
        <v>0</v>
      </c>
      <c r="K65" s="25">
        <v>4.9821942780956</v>
      </c>
      <c r="L65" s="25">
        <v>4.4121942780956</v>
      </c>
      <c r="M65" s="28">
        <v>0</v>
      </c>
      <c r="N65" s="28">
        <v>0</v>
      </c>
    </row>
    <row r="66" spans="7:14">
      <c r="G66" s="24">
        <v>65</v>
      </c>
      <c r="H66" s="25">
        <f>S0_</f>
        <v>100</v>
      </c>
      <c r="I66" s="25">
        <f ca="1">S0_*EXP((mu_-sigma_^2/2)*Dt_+sigma_*SQRT(Dt_)*_xlfn.NORM.INV(RAND(),0,1))</f>
        <v>106.465749395681</v>
      </c>
      <c r="J66" s="25">
        <f ca="1">MAX(k_-I66,0)*EXP(-rs_*T_)</f>
        <v>0</v>
      </c>
      <c r="K66" s="25">
        <v>6.27779573535682</v>
      </c>
      <c r="L66" s="25">
        <v>5.70779573535682</v>
      </c>
      <c r="M66" s="28">
        <v>0</v>
      </c>
      <c r="N66" s="28">
        <v>0</v>
      </c>
    </row>
    <row r="67" spans="7:14">
      <c r="G67" s="24">
        <v>66</v>
      </c>
      <c r="H67" s="25">
        <f>S0_</f>
        <v>100</v>
      </c>
      <c r="I67" s="25">
        <f ca="1">S0_*EXP((mu_-sigma_^2/2)*Dt_+sigma_*SQRT(Dt_)*_xlfn.NORM.INV(RAND(),0,1))</f>
        <v>92.945182038543</v>
      </c>
      <c r="J67" s="25">
        <f ca="1">MAX(k_-I67,0)*EXP(-rs_*T_)</f>
        <v>3.93694796199277</v>
      </c>
      <c r="K67" s="25">
        <v>-6.84974059491635</v>
      </c>
      <c r="L67" s="25">
        <v>-3.48279263292358</v>
      </c>
      <c r="M67" s="28">
        <v>1</v>
      </c>
      <c r="N67" s="28">
        <v>1</v>
      </c>
    </row>
    <row r="68" spans="7:14">
      <c r="G68" s="24">
        <v>67</v>
      </c>
      <c r="H68" s="25">
        <f>S0_</f>
        <v>100</v>
      </c>
      <c r="I68" s="25">
        <f ca="1">S0_*EXP((mu_-sigma_^2/2)*Dt_+sigma_*SQRT(Dt_)*_xlfn.NORM.INV(RAND(),0,1))</f>
        <v>100.475992799896</v>
      </c>
      <c r="J68" s="25">
        <f ca="1">MAX(k_-I68,0)*EXP(-rs_*T_)</f>
        <v>0</v>
      </c>
      <c r="K68" s="25">
        <v>0.462156106953573</v>
      </c>
      <c r="L68" s="25">
        <v>-0.107843893046427</v>
      </c>
      <c r="M68" s="28">
        <v>0</v>
      </c>
      <c r="N68" s="28">
        <v>1</v>
      </c>
    </row>
    <row r="69" spans="7:14">
      <c r="G69" s="24">
        <v>68</v>
      </c>
      <c r="H69" s="25">
        <f>S0_</f>
        <v>100</v>
      </c>
      <c r="I69" s="25">
        <f ca="1">S0_*EXP((mu_-sigma_^2/2)*Dt_+sigma_*SQRT(Dt_)*_xlfn.NORM.INV(RAND(),0,1))</f>
        <v>95.3965525274405</v>
      </c>
      <c r="J69" s="25">
        <f ca="1">MAX(k_-I69,0)*EXP(-rs_*T_)</f>
        <v>1.55683666178373</v>
      </c>
      <c r="K69" s="25">
        <v>-4.46962929470731</v>
      </c>
      <c r="L69" s="25">
        <v>-3.48279263292358</v>
      </c>
      <c r="M69" s="28">
        <v>1</v>
      </c>
      <c r="N69" s="28">
        <v>1</v>
      </c>
    </row>
    <row r="70" spans="7:14">
      <c r="G70" s="24">
        <v>69</v>
      </c>
      <c r="H70" s="25">
        <f>S0_</f>
        <v>100</v>
      </c>
      <c r="I70" s="25">
        <f ca="1">S0_*EXP((mu_-sigma_^2/2)*Dt_+sigma_*SQRT(Dt_)*_xlfn.NORM.INV(RAND(),0,1))</f>
        <v>98.9042046038539</v>
      </c>
      <c r="J70" s="25">
        <f ca="1">MAX(k_-I70,0)*EXP(-rs_*T_)</f>
        <v>0</v>
      </c>
      <c r="K70" s="25">
        <v>-1.06394158569531</v>
      </c>
      <c r="L70" s="25">
        <v>-1.63394158569531</v>
      </c>
      <c r="M70" s="28">
        <v>1</v>
      </c>
      <c r="N70" s="28">
        <v>1</v>
      </c>
    </row>
    <row r="71" spans="7:14">
      <c r="G71" s="24">
        <v>70</v>
      </c>
      <c r="H71" s="25">
        <f>S0_</f>
        <v>100</v>
      </c>
      <c r="I71" s="25">
        <f ca="1">S0_*EXP((mu_-sigma_^2/2)*Dt_+sigma_*SQRT(Dt_)*_xlfn.NORM.INV(RAND(),0,1))</f>
        <v>98.9163383065976</v>
      </c>
      <c r="J71" s="25">
        <f ca="1">MAX(k_-I71,0)*EXP(-rs_*T_)</f>
        <v>0</v>
      </c>
      <c r="K71" s="25">
        <v>-1.05216059904138</v>
      </c>
      <c r="L71" s="25">
        <v>-1.62216059904138</v>
      </c>
      <c r="M71" s="28">
        <v>1</v>
      </c>
      <c r="N71" s="28">
        <v>1</v>
      </c>
    </row>
    <row r="72" spans="7:14">
      <c r="G72" s="24">
        <v>71</v>
      </c>
      <c r="H72" s="25">
        <f>S0_</f>
        <v>100</v>
      </c>
      <c r="I72" s="25">
        <f ca="1">S0_*EXP((mu_-sigma_^2/2)*Dt_+sigma_*SQRT(Dt_)*_xlfn.NORM.INV(RAND(),0,1))</f>
        <v>86.9809379502754</v>
      </c>
      <c r="J72" s="25">
        <f ca="1">MAX(k_-I72,0)*EXP(-rs_*T_)</f>
        <v>9.7278167090807</v>
      </c>
      <c r="K72" s="25">
        <v>-12.6406093420043</v>
      </c>
      <c r="L72" s="25">
        <v>-3.48279263292358</v>
      </c>
      <c r="M72" s="28">
        <v>1</v>
      </c>
      <c r="N72" s="28">
        <v>1</v>
      </c>
    </row>
    <row r="73" spans="7:14">
      <c r="G73" s="24">
        <v>72</v>
      </c>
      <c r="H73" s="25">
        <f>S0_</f>
        <v>100</v>
      </c>
      <c r="I73" s="25">
        <f ca="1">S0_*EXP((mu_-sigma_^2/2)*Dt_+sigma_*SQRT(Dt_)*_xlfn.NORM.INV(RAND(),0,1))</f>
        <v>84.6085425822263</v>
      </c>
      <c r="J73" s="25">
        <f ca="1">MAX(k_-I73,0)*EXP(-rs_*T_)</f>
        <v>12.0312486258925</v>
      </c>
      <c r="K73" s="25">
        <v>-14.9440412588161</v>
      </c>
      <c r="L73" s="25">
        <v>-3.48279263292358</v>
      </c>
      <c r="M73" s="28">
        <v>1</v>
      </c>
      <c r="N73" s="28">
        <v>1</v>
      </c>
    </row>
    <row r="74" spans="7:14">
      <c r="G74" s="24">
        <v>73</v>
      </c>
      <c r="H74" s="25">
        <f>S0_</f>
        <v>100</v>
      </c>
      <c r="I74" s="25">
        <f ca="1">S0_*EXP((mu_-sigma_^2/2)*Dt_+sigma_*SQRT(Dt_)*_xlfn.NORM.INV(RAND(),0,1))</f>
        <v>105.559792006909</v>
      </c>
      <c r="J74" s="25">
        <f ca="1">MAX(k_-I74,0)*EXP(-rs_*T_)</f>
        <v>0</v>
      </c>
      <c r="K74" s="25">
        <v>5.39817373277022</v>
      </c>
      <c r="L74" s="25">
        <v>4.82817373277022</v>
      </c>
      <c r="M74" s="28">
        <v>0</v>
      </c>
      <c r="N74" s="28">
        <v>0</v>
      </c>
    </row>
    <row r="75" spans="7:14">
      <c r="G75" s="24">
        <v>74</v>
      </c>
      <c r="H75" s="25">
        <f>S0_</f>
        <v>100</v>
      </c>
      <c r="I75" s="25">
        <f ca="1">S0_*EXP((mu_-sigma_^2/2)*Dt_+sigma_*SQRT(Dt_)*_xlfn.NORM.INV(RAND(),0,1))</f>
        <v>97.4910762225001</v>
      </c>
      <c r="J75" s="25">
        <f ca="1">MAX(k_-I75,0)*EXP(-rs_*T_)</f>
        <v>0</v>
      </c>
      <c r="K75" s="25">
        <v>-2.43599156522283</v>
      </c>
      <c r="L75" s="25">
        <v>-3.00599156522283</v>
      </c>
      <c r="M75" s="28">
        <v>1</v>
      </c>
      <c r="N75" s="28">
        <v>1</v>
      </c>
    </row>
    <row r="76" spans="7:14">
      <c r="G76" s="24">
        <v>75</v>
      </c>
      <c r="H76" s="25">
        <f>S0_</f>
        <v>100</v>
      </c>
      <c r="I76" s="25">
        <f ca="1">S0_*EXP((mu_-sigma_^2/2)*Dt_+sigma_*SQRT(Dt_)*_xlfn.NORM.INV(RAND(),0,1))</f>
        <v>106.335379465802</v>
      </c>
      <c r="J76" s="25">
        <f ca="1">MAX(k_-I76,0)*EXP(-rs_*T_)</f>
        <v>0</v>
      </c>
      <c r="K76" s="25">
        <v>6.15121554492142</v>
      </c>
      <c r="L76" s="25">
        <v>5.58121554492142</v>
      </c>
      <c r="M76" s="28">
        <v>0</v>
      </c>
      <c r="N76" s="28">
        <v>0</v>
      </c>
    </row>
    <row r="77" spans="7:14">
      <c r="G77" s="24">
        <v>76</v>
      </c>
      <c r="H77" s="25">
        <f>S0_</f>
        <v>100</v>
      </c>
      <c r="I77" s="25">
        <f ca="1">S0_*EXP((mu_-sigma_^2/2)*Dt_+sigma_*SQRT(Dt_)*_xlfn.NORM.INV(RAND(),0,1))</f>
        <v>104.466637702547</v>
      </c>
      <c r="J77" s="25">
        <f ca="1">MAX(k_-I77,0)*EXP(-rs_*T_)</f>
        <v>0</v>
      </c>
      <c r="K77" s="25">
        <v>4.33679646463932</v>
      </c>
      <c r="L77" s="25">
        <v>3.76679646463932</v>
      </c>
      <c r="M77" s="28">
        <v>0</v>
      </c>
      <c r="N77" s="28">
        <v>0</v>
      </c>
    </row>
    <row r="78" spans="7:14">
      <c r="G78" s="24">
        <v>77</v>
      </c>
      <c r="H78" s="25">
        <f>S0_</f>
        <v>100</v>
      </c>
      <c r="I78" s="25">
        <f ca="1">S0_*EXP((mu_-sigma_^2/2)*Dt_+sigma_*SQRT(Dt_)*_xlfn.NORM.INV(RAND(),0,1))</f>
        <v>105.022376277021</v>
      </c>
      <c r="J78" s="25">
        <f ca="1">MAX(k_-I78,0)*EXP(-rs_*T_)</f>
        <v>0</v>
      </c>
      <c r="K78" s="25">
        <v>4.87638020649265</v>
      </c>
      <c r="L78" s="25">
        <v>4.30638020649265</v>
      </c>
      <c r="M78" s="28">
        <v>0</v>
      </c>
      <c r="N78" s="28">
        <v>0</v>
      </c>
    </row>
    <row r="79" spans="7:14">
      <c r="G79" s="24">
        <v>78</v>
      </c>
      <c r="H79" s="25">
        <f>S0_</f>
        <v>100</v>
      </c>
      <c r="I79" s="25">
        <f ca="1">S0_*EXP((mu_-sigma_^2/2)*Dt_+sigma_*SQRT(Dt_)*_xlfn.NORM.INV(RAND(),0,1))</f>
        <v>104.437435403536</v>
      </c>
      <c r="J79" s="25">
        <f ca="1">MAX(k_-I79,0)*EXP(-rs_*T_)</f>
        <v>0</v>
      </c>
      <c r="K79" s="25">
        <v>4.30844305083126</v>
      </c>
      <c r="L79" s="25">
        <v>3.73844305083126</v>
      </c>
      <c r="M79" s="28">
        <v>0</v>
      </c>
      <c r="N79" s="28">
        <v>0</v>
      </c>
    </row>
    <row r="80" spans="7:14">
      <c r="G80" s="24">
        <v>79</v>
      </c>
      <c r="H80" s="25">
        <f>S0_</f>
        <v>100</v>
      </c>
      <c r="I80" s="25">
        <f ca="1">S0_*EXP((mu_-sigma_^2/2)*Dt_+sigma_*SQRT(Dt_)*_xlfn.NORM.INV(RAND(),0,1))</f>
        <v>101.221840207372</v>
      </c>
      <c r="J80" s="25">
        <f ca="1">MAX(k_-I80,0)*EXP(-rs_*T_)</f>
        <v>0</v>
      </c>
      <c r="K80" s="25">
        <v>1.18632238488088</v>
      </c>
      <c r="L80" s="25">
        <v>0.616322384880882</v>
      </c>
      <c r="M80" s="28">
        <v>0</v>
      </c>
      <c r="N80" s="28">
        <v>0</v>
      </c>
    </row>
    <row r="81" spans="7:14">
      <c r="G81" s="24">
        <v>80</v>
      </c>
      <c r="H81" s="25">
        <f>S0_</f>
        <v>100</v>
      </c>
      <c r="I81" s="25">
        <f ca="1">S0_*EXP((mu_-sigma_^2/2)*Dt_+sigma_*SQRT(Dt_)*_xlfn.NORM.INV(RAND(),0,1))</f>
        <v>105.672545343372</v>
      </c>
      <c r="J81" s="25">
        <f ca="1">MAX(k_-I81,0)*EXP(-rs_*T_)</f>
        <v>0</v>
      </c>
      <c r="K81" s="25">
        <v>5.50764942869974</v>
      </c>
      <c r="L81" s="25">
        <v>4.93764942869974</v>
      </c>
      <c r="M81" s="28">
        <v>0</v>
      </c>
      <c r="N81" s="28">
        <v>0</v>
      </c>
    </row>
    <row r="82" spans="7:14">
      <c r="G82" s="24">
        <v>81</v>
      </c>
      <c r="H82" s="25">
        <f>S0_</f>
        <v>100</v>
      </c>
      <c r="I82" s="25">
        <f ca="1">S0_*EXP((mu_-sigma_^2/2)*Dt_+sigma_*SQRT(Dt_)*_xlfn.NORM.INV(RAND(),0,1))</f>
        <v>88.1217580413689</v>
      </c>
      <c r="J82" s="25">
        <f ca="1">MAX(k_-I82,0)*EXP(-rs_*T_)</f>
        <v>8.62015925680455</v>
      </c>
      <c r="K82" s="25">
        <v>-11.5329518897281</v>
      </c>
      <c r="L82" s="25">
        <v>-3.48279263292358</v>
      </c>
      <c r="M82" s="28">
        <v>1</v>
      </c>
      <c r="N82" s="28">
        <v>1</v>
      </c>
    </row>
    <row r="83" spans="7:14">
      <c r="G83" s="24">
        <v>82</v>
      </c>
      <c r="H83" s="25">
        <f>S0_</f>
        <v>100</v>
      </c>
      <c r="I83" s="25">
        <f ca="1">S0_*EXP((mu_-sigma_^2/2)*Dt_+sigma_*SQRT(Dt_)*_xlfn.NORM.INV(RAND(),0,1))</f>
        <v>91.4872702011671</v>
      </c>
      <c r="J83" s="25">
        <f ca="1">MAX(k_-I83,0)*EXP(-rs_*T_)</f>
        <v>5.35247958177954</v>
      </c>
      <c r="K83" s="25">
        <v>-8.26527221470313</v>
      </c>
      <c r="L83" s="25">
        <v>-3.48279263292358</v>
      </c>
      <c r="M83" s="28">
        <v>1</v>
      </c>
      <c r="N83" s="28">
        <v>1</v>
      </c>
    </row>
    <row r="84" spans="7:14">
      <c r="G84" s="24">
        <v>83</v>
      </c>
      <c r="H84" s="25">
        <f>S0_</f>
        <v>100</v>
      </c>
      <c r="I84" s="25">
        <f ca="1">S0_*EXP((mu_-sigma_^2/2)*Dt_+sigma_*SQRT(Dt_)*_xlfn.NORM.INV(RAND(),0,1))</f>
        <v>89.8741045172899</v>
      </c>
      <c r="J84" s="25">
        <f ca="1">MAX(k_-I84,0)*EXP(-rs_*T_)</f>
        <v>6.91875195500714</v>
      </c>
      <c r="K84" s="25">
        <v>-9.83154458793073</v>
      </c>
      <c r="L84" s="25">
        <v>-3.48279263292358</v>
      </c>
      <c r="M84" s="28">
        <v>1</v>
      </c>
      <c r="N84" s="28">
        <v>1</v>
      </c>
    </row>
    <row r="85" spans="7:14">
      <c r="G85" s="24">
        <v>84</v>
      </c>
      <c r="H85" s="25">
        <f>S0_</f>
        <v>100</v>
      </c>
      <c r="I85" s="25">
        <f ca="1">S0_*EXP((mu_-sigma_^2/2)*Dt_+sigma_*SQRT(Dt_)*_xlfn.NORM.INV(RAND(),0,1))</f>
        <v>110.034000388849</v>
      </c>
      <c r="J85" s="25">
        <f ca="1">MAX(k_-I85,0)*EXP(-rs_*T_)</f>
        <v>0</v>
      </c>
      <c r="K85" s="25">
        <v>9.74232080379688</v>
      </c>
      <c r="L85" s="25">
        <v>9.17232080379688</v>
      </c>
      <c r="M85" s="28">
        <v>0</v>
      </c>
      <c r="N85" s="28">
        <v>0</v>
      </c>
    </row>
    <row r="86" spans="7:14">
      <c r="G86" s="24">
        <v>85</v>
      </c>
      <c r="H86" s="25">
        <f>S0_</f>
        <v>100</v>
      </c>
      <c r="I86" s="25">
        <f ca="1">S0_*EXP((mu_-sigma_^2/2)*Dt_+sigma_*SQRT(Dt_)*_xlfn.NORM.INV(RAND(),0,1))</f>
        <v>100.244381616991</v>
      </c>
      <c r="J86" s="25">
        <f ca="1">MAX(k_-I86,0)*EXP(-rs_*T_)</f>
        <v>0</v>
      </c>
      <c r="K86" s="25">
        <v>0.237277657864259</v>
      </c>
      <c r="L86" s="25">
        <v>-0.332722342135741</v>
      </c>
      <c r="M86" s="28">
        <v>0</v>
      </c>
      <c r="N86" s="28">
        <v>1</v>
      </c>
    </row>
    <row r="87" spans="7:14">
      <c r="G87" s="24">
        <v>86</v>
      </c>
      <c r="H87" s="25">
        <f>S0_</f>
        <v>100</v>
      </c>
      <c r="I87" s="25">
        <f ca="1">S0_*EXP((mu_-sigma_^2/2)*Dt_+sigma_*SQRT(Dt_)*_xlfn.NORM.INV(RAND(),0,1))</f>
        <v>119.120808449227</v>
      </c>
      <c r="J87" s="25">
        <f ca="1">MAX(k_-I87,0)*EXP(-rs_*T_)</f>
        <v>0</v>
      </c>
      <c r="K87" s="25">
        <v>18.5649833288169</v>
      </c>
      <c r="L87" s="25">
        <v>17.9949833288169</v>
      </c>
      <c r="M87" s="28">
        <v>0</v>
      </c>
      <c r="N87" s="28">
        <v>0</v>
      </c>
    </row>
    <row r="88" spans="7:14">
      <c r="G88" s="24">
        <v>87</v>
      </c>
      <c r="H88" s="25">
        <f>S0_</f>
        <v>100</v>
      </c>
      <c r="I88" s="25">
        <f ca="1">S0_*EXP((mu_-sigma_^2/2)*Dt_+sigma_*SQRT(Dt_)*_xlfn.NORM.INV(RAND(),0,1))</f>
        <v>94.5170724182738</v>
      </c>
      <c r="J88" s="25">
        <f ca="1">MAX(k_-I88,0)*EXP(-rs_*T_)</f>
        <v>2.41075105604499</v>
      </c>
      <c r="K88" s="25">
        <v>-5.32354368896857</v>
      </c>
      <c r="L88" s="25">
        <v>-3.48279263292358</v>
      </c>
      <c r="M88" s="28">
        <v>1</v>
      </c>
      <c r="N88" s="28">
        <v>1</v>
      </c>
    </row>
    <row r="89" spans="7:14">
      <c r="G89" s="24">
        <v>88</v>
      </c>
      <c r="H89" s="25">
        <f>S0_</f>
        <v>100</v>
      </c>
      <c r="I89" s="25">
        <f ca="1">S0_*EXP((mu_-sigma_^2/2)*Dt_+sigma_*SQRT(Dt_)*_xlfn.NORM.INV(RAND(),0,1))</f>
        <v>108.219225186696</v>
      </c>
      <c r="J89" s="25">
        <f ca="1">MAX(k_-I89,0)*EXP(-rs_*T_)</f>
        <v>0</v>
      </c>
      <c r="K89" s="25">
        <v>7.98029952404895</v>
      </c>
      <c r="L89" s="25">
        <v>7.41029952404895</v>
      </c>
      <c r="M89" s="28">
        <v>0</v>
      </c>
      <c r="N89" s="28">
        <v>0</v>
      </c>
    </row>
    <row r="90" spans="7:14">
      <c r="G90" s="24">
        <v>89</v>
      </c>
      <c r="H90" s="25">
        <f>S0_</f>
        <v>100</v>
      </c>
      <c r="I90" s="25">
        <f ca="1">S0_*EXP((mu_-sigma_^2/2)*Dt_+sigma_*SQRT(Dt_)*_xlfn.NORM.INV(RAND(),0,1))</f>
        <v>105.455855196893</v>
      </c>
      <c r="J90" s="25">
        <f ca="1">MAX(k_-I90,0)*EXP(-rs_*T_)</f>
        <v>0</v>
      </c>
      <c r="K90" s="25">
        <v>5.29725827460281</v>
      </c>
      <c r="L90" s="25">
        <v>4.72725827460281</v>
      </c>
      <c r="M90" s="28">
        <v>0</v>
      </c>
      <c r="N90" s="28">
        <v>0</v>
      </c>
    </row>
    <row r="91" spans="7:14">
      <c r="G91" s="24">
        <v>90</v>
      </c>
      <c r="H91" s="25">
        <f>S0_</f>
        <v>100</v>
      </c>
      <c r="I91" s="25">
        <f ca="1">S0_*EXP((mu_-sigma_^2/2)*Dt_+sigma_*SQRT(Dt_)*_xlfn.NORM.INV(RAND(),0,1))</f>
        <v>113.005927179371</v>
      </c>
      <c r="J91" s="25">
        <f ca="1">MAX(k_-I91,0)*EXP(-rs_*T_)</f>
        <v>0</v>
      </c>
      <c r="K91" s="25">
        <v>12.6278562908038</v>
      </c>
      <c r="L91" s="25">
        <v>12.0578562908038</v>
      </c>
      <c r="M91" s="28">
        <v>0</v>
      </c>
      <c r="N91" s="28">
        <v>0</v>
      </c>
    </row>
    <row r="92" spans="7:14">
      <c r="G92" s="24">
        <v>91</v>
      </c>
      <c r="H92" s="25">
        <f>S0_</f>
        <v>100</v>
      </c>
      <c r="I92" s="25">
        <f ca="1">S0_*EXP((mu_-sigma_^2/2)*Dt_+sigma_*SQRT(Dt_)*_xlfn.NORM.INV(RAND(),0,1))</f>
        <v>102.539049631227</v>
      </c>
      <c r="J92" s="25">
        <f ca="1">MAX(k_-I92,0)*EXP(-rs_*T_)</f>
        <v>0</v>
      </c>
      <c r="K92" s="25">
        <v>2.46524168682206</v>
      </c>
      <c r="L92" s="25">
        <v>1.89524168682206</v>
      </c>
      <c r="M92" s="28">
        <v>0</v>
      </c>
      <c r="N92" s="28">
        <v>0</v>
      </c>
    </row>
    <row r="93" spans="7:14">
      <c r="G93" s="24">
        <v>92</v>
      </c>
      <c r="H93" s="25">
        <f>S0_</f>
        <v>100</v>
      </c>
      <c r="I93" s="25">
        <f ca="1">S0_*EXP((mu_-sigma_^2/2)*Dt_+sigma_*SQRT(Dt_)*_xlfn.NORM.INV(RAND(),0,1))</f>
        <v>101.136529419084</v>
      </c>
      <c r="J93" s="25">
        <f ca="1">MAX(k_-I93,0)*EXP(-rs_*T_)</f>
        <v>0</v>
      </c>
      <c r="K93" s="25">
        <v>1.10349150633584</v>
      </c>
      <c r="L93" s="25">
        <v>0.533491506335836</v>
      </c>
      <c r="M93" s="28">
        <v>0</v>
      </c>
      <c r="N93" s="28">
        <v>0</v>
      </c>
    </row>
    <row r="94" spans="7:14">
      <c r="G94" s="24">
        <v>93</v>
      </c>
      <c r="H94" s="25">
        <f>S0_</f>
        <v>100</v>
      </c>
      <c r="I94" s="25">
        <f ca="1">S0_*EXP((mu_-sigma_^2/2)*Dt_+sigma_*SQRT(Dt_)*_xlfn.NORM.INV(RAND(),0,1))</f>
        <v>106.431992974356</v>
      </c>
      <c r="J94" s="25">
        <f ca="1">MAX(k_-I94,0)*EXP(-rs_*T_)</f>
        <v>0</v>
      </c>
      <c r="K94" s="25">
        <v>6.24502058357309</v>
      </c>
      <c r="L94" s="25">
        <v>5.67502058357309</v>
      </c>
      <c r="M94" s="28">
        <v>0</v>
      </c>
      <c r="N94" s="28">
        <v>0</v>
      </c>
    </row>
    <row r="95" spans="7:14">
      <c r="G95" s="24">
        <v>94</v>
      </c>
      <c r="H95" s="25">
        <f>S0_</f>
        <v>100</v>
      </c>
      <c r="I95" s="25">
        <f ca="1">S0_*EXP((mu_-sigma_^2/2)*Dt_+sigma_*SQRT(Dt_)*_xlfn.NORM.INV(RAND(),0,1))</f>
        <v>104.096650537823</v>
      </c>
      <c r="J95" s="25">
        <f ca="1">MAX(k_-I95,0)*EXP(-rs_*T_)</f>
        <v>0</v>
      </c>
      <c r="K95" s="25">
        <v>3.97756450207745</v>
      </c>
      <c r="L95" s="25">
        <v>3.40756450207745</v>
      </c>
      <c r="M95" s="28">
        <v>0</v>
      </c>
      <c r="N95" s="28">
        <v>0</v>
      </c>
    </row>
    <row r="96" spans="7:14">
      <c r="G96" s="24">
        <v>95</v>
      </c>
      <c r="H96" s="25">
        <f>S0_</f>
        <v>100</v>
      </c>
      <c r="I96" s="25">
        <f ca="1">S0_*EXP((mu_-sigma_^2/2)*Dt_+sigma_*SQRT(Dt_)*_xlfn.NORM.INV(RAND(),0,1))</f>
        <v>107.577220669333</v>
      </c>
      <c r="J96" s="25">
        <f ca="1">MAX(k_-I96,0)*EXP(-rs_*T_)</f>
        <v>0</v>
      </c>
      <c r="K96" s="25">
        <v>7.35695751455672</v>
      </c>
      <c r="L96" s="25">
        <v>6.78695751455672</v>
      </c>
      <c r="M96" s="28">
        <v>0</v>
      </c>
      <c r="N96" s="28">
        <v>0</v>
      </c>
    </row>
    <row r="97" spans="7:14">
      <c r="G97" s="24">
        <v>96</v>
      </c>
      <c r="H97" s="25">
        <f>S0_</f>
        <v>100</v>
      </c>
      <c r="I97" s="25">
        <f ca="1">S0_*EXP((mu_-sigma_^2/2)*Dt_+sigma_*SQRT(Dt_)*_xlfn.NORM.INV(RAND(),0,1))</f>
        <v>101.276078474981</v>
      </c>
      <c r="J97" s="25">
        <f ca="1">MAX(k_-I97,0)*EXP(-rs_*T_)</f>
        <v>0</v>
      </c>
      <c r="K97" s="25">
        <v>1.23898399365188</v>
      </c>
      <c r="L97" s="25">
        <v>0.668983993651875</v>
      </c>
      <c r="M97" s="28">
        <v>0</v>
      </c>
      <c r="N97" s="28">
        <v>0</v>
      </c>
    </row>
    <row r="98" spans="7:14">
      <c r="G98" s="24">
        <v>97</v>
      </c>
      <c r="H98" s="25">
        <f>S0_</f>
        <v>100</v>
      </c>
      <c r="I98" s="25">
        <f ca="1">S0_*EXP((mu_-sigma_^2/2)*Dt_+sigma_*SQRT(Dt_)*_xlfn.NORM.INV(RAND(),0,1))</f>
        <v>96.7770796842364</v>
      </c>
      <c r="J98" s="25">
        <f ca="1">MAX(k_-I98,0)*EXP(-rs_*T_)</f>
        <v>0.21644021782842</v>
      </c>
      <c r="K98" s="25">
        <v>-3.129232850752</v>
      </c>
      <c r="L98" s="25">
        <v>-3.48279263292358</v>
      </c>
      <c r="M98" s="28">
        <v>1</v>
      </c>
      <c r="N98" s="28">
        <v>1</v>
      </c>
    </row>
    <row r="99" spans="7:14">
      <c r="G99" s="24">
        <v>98</v>
      </c>
      <c r="H99" s="25">
        <f>S0_</f>
        <v>100</v>
      </c>
      <c r="I99" s="25">
        <f ca="1">S0_*EXP((mu_-sigma_^2/2)*Dt_+sigma_*SQRT(Dt_)*_xlfn.NORM.INV(RAND(),0,1))</f>
        <v>103.538812017331</v>
      </c>
      <c r="J99" s="25">
        <f ca="1">MAX(k_-I99,0)*EXP(-rs_*T_)</f>
        <v>0</v>
      </c>
      <c r="K99" s="25">
        <v>3.43594185779393</v>
      </c>
      <c r="L99" s="25">
        <v>2.86594185779393</v>
      </c>
      <c r="M99" s="28">
        <v>0</v>
      </c>
      <c r="N99" s="28">
        <v>0</v>
      </c>
    </row>
    <row r="100" spans="7:14">
      <c r="G100" s="24">
        <v>99</v>
      </c>
      <c r="H100" s="25">
        <f>S0_</f>
        <v>100</v>
      </c>
      <c r="I100" s="25">
        <f ca="1">S0_*EXP((mu_-sigma_^2/2)*Dt_+sigma_*SQRT(Dt_)*_xlfn.NORM.INV(RAND(),0,1))</f>
        <v>99.1671644160242</v>
      </c>
      <c r="J100" s="25">
        <f ca="1">MAX(k_-I100,0)*EXP(-rs_*T_)</f>
        <v>0</v>
      </c>
      <c r="K100" s="25">
        <v>-0.808625784480392</v>
      </c>
      <c r="L100" s="25">
        <v>-1.37862578448039</v>
      </c>
      <c r="M100" s="28">
        <v>1</v>
      </c>
      <c r="N100" s="28">
        <v>1</v>
      </c>
    </row>
    <row r="101" spans="7:14">
      <c r="G101" s="24">
        <v>100</v>
      </c>
      <c r="H101" s="25">
        <f>S0_</f>
        <v>100</v>
      </c>
      <c r="I101" s="25">
        <f ca="1">S0_*EXP((mu_-sigma_^2/2)*Dt_+sigma_*SQRT(Dt_)*_xlfn.NORM.INV(RAND(),0,1))</f>
        <v>102.478708061257</v>
      </c>
      <c r="J101" s="25">
        <f ca="1">MAX(k_-I101,0)*EXP(-rs_*T_)</f>
        <v>0</v>
      </c>
      <c r="K101" s="25">
        <v>2.4066541933325</v>
      </c>
      <c r="L101" s="25">
        <v>1.8366541933325</v>
      </c>
      <c r="M101" s="28">
        <v>0</v>
      </c>
      <c r="N101" s="28">
        <v>0</v>
      </c>
    </row>
    <row r="102" spans="7:14">
      <c r="G102" s="24">
        <v>101</v>
      </c>
      <c r="H102" s="25">
        <f>S0_</f>
        <v>100</v>
      </c>
      <c r="I102" s="25">
        <f ca="1">S0_*EXP((mu_-sigma_^2/2)*Dt_+sigma_*SQRT(Dt_)*_xlfn.NORM.INV(RAND(),0,1))</f>
        <v>109.609560850061</v>
      </c>
      <c r="J102" s="25">
        <f ca="1">MAX(k_-I102,0)*EXP(-rs_*T_)</f>
        <v>0</v>
      </c>
      <c r="K102" s="25">
        <v>9.33021934989652</v>
      </c>
      <c r="L102" s="25">
        <v>8.76021934989652</v>
      </c>
      <c r="M102" s="28">
        <v>0</v>
      </c>
      <c r="N102" s="28">
        <v>0</v>
      </c>
    </row>
    <row r="103" spans="7:14">
      <c r="G103" s="24">
        <v>102</v>
      </c>
      <c r="H103" s="25">
        <f>S0_</f>
        <v>100</v>
      </c>
      <c r="I103" s="25">
        <f ca="1">S0_*EXP((mu_-sigma_^2/2)*Dt_+sigma_*SQRT(Dt_)*_xlfn.NORM.INV(RAND(),0,1))</f>
        <v>97.9214742487699</v>
      </c>
      <c r="J103" s="25">
        <f ca="1">MAX(k_-I103,0)*EXP(-rs_*T_)</f>
        <v>0</v>
      </c>
      <c r="K103" s="25">
        <v>-2.01810483184167</v>
      </c>
      <c r="L103" s="25">
        <v>-2.58810483184167</v>
      </c>
      <c r="M103" s="28">
        <v>1</v>
      </c>
      <c r="N103" s="28">
        <v>1</v>
      </c>
    </row>
    <row r="104" spans="7:14">
      <c r="G104" s="24">
        <v>103</v>
      </c>
      <c r="H104" s="25">
        <f>S0_</f>
        <v>100</v>
      </c>
      <c r="I104" s="25">
        <f ca="1">S0_*EXP((mu_-sigma_^2/2)*Dt_+sigma_*SQRT(Dt_)*_xlfn.NORM.INV(RAND(),0,1))</f>
        <v>103.636482456588</v>
      </c>
      <c r="J104" s="25">
        <f ca="1">MAX(k_-I104,0)*EXP(-rs_*T_)</f>
        <v>0</v>
      </c>
      <c r="K104" s="25">
        <v>3.53077310310193</v>
      </c>
      <c r="L104" s="25">
        <v>2.96077310310193</v>
      </c>
      <c r="M104" s="28">
        <v>0</v>
      </c>
      <c r="N104" s="28">
        <v>0</v>
      </c>
    </row>
    <row r="105" spans="7:14">
      <c r="G105" s="24">
        <v>104</v>
      </c>
      <c r="H105" s="25">
        <f>S0_</f>
        <v>100</v>
      </c>
      <c r="I105" s="25">
        <f ca="1">S0_*EXP((mu_-sigma_^2/2)*Dt_+sigma_*SQRT(Dt_)*_xlfn.NORM.INV(RAND(),0,1))</f>
        <v>113.361544275052</v>
      </c>
      <c r="J105" s="25">
        <f ca="1">MAX(k_-I105,0)*EXP(-rs_*T_)</f>
        <v>0</v>
      </c>
      <c r="K105" s="25">
        <v>12.9731359096176</v>
      </c>
      <c r="L105" s="25">
        <v>12.4031359096176</v>
      </c>
      <c r="M105" s="28">
        <v>0</v>
      </c>
      <c r="N105" s="28">
        <v>0</v>
      </c>
    </row>
    <row r="106" spans="7:14">
      <c r="G106" s="24">
        <v>105</v>
      </c>
      <c r="H106" s="25">
        <f>S0_</f>
        <v>100</v>
      </c>
      <c r="I106" s="25">
        <f ca="1">S0_*EXP((mu_-sigma_^2/2)*Dt_+sigma_*SQRT(Dt_)*_xlfn.NORM.INV(RAND(),0,1))</f>
        <v>96.5620393250634</v>
      </c>
      <c r="J106" s="25">
        <f ca="1">MAX(k_-I106,0)*EXP(-rs_*T_)</f>
        <v>0.425229542488541</v>
      </c>
      <c r="K106" s="25">
        <v>-3.33802217541212</v>
      </c>
      <c r="L106" s="25">
        <v>-3.48279263292358</v>
      </c>
      <c r="M106" s="28">
        <v>1</v>
      </c>
      <c r="N106" s="28">
        <v>1</v>
      </c>
    </row>
    <row r="107" spans="7:14">
      <c r="G107" s="24">
        <v>106</v>
      </c>
      <c r="H107" s="25">
        <f>S0_</f>
        <v>100</v>
      </c>
      <c r="I107" s="25">
        <f ca="1">S0_*EXP((mu_-sigma_^2/2)*Dt_+sigma_*SQRT(Dt_)*_xlfn.NORM.INV(RAND(),0,1))</f>
        <v>118.295410681993</v>
      </c>
      <c r="J107" s="25">
        <f ca="1">MAX(k_-I107,0)*EXP(-rs_*T_)</f>
        <v>0</v>
      </c>
      <c r="K107" s="25">
        <v>17.7635791502738</v>
      </c>
      <c r="L107" s="25">
        <v>17.1935791502738</v>
      </c>
      <c r="M107" s="28">
        <v>0</v>
      </c>
      <c r="N107" s="28">
        <v>0</v>
      </c>
    </row>
    <row r="108" spans="7:14">
      <c r="G108" s="24">
        <v>107</v>
      </c>
      <c r="H108" s="25">
        <f>S0_</f>
        <v>100</v>
      </c>
      <c r="I108" s="25">
        <f ca="1">S0_*EXP((mu_-sigma_^2/2)*Dt_+sigma_*SQRT(Dt_)*_xlfn.NORM.INV(RAND(),0,1))</f>
        <v>107.088145790567</v>
      </c>
      <c r="J108" s="25">
        <f ca="1">MAX(k_-I108,0)*EXP(-rs_*T_)</f>
        <v>0</v>
      </c>
      <c r="K108" s="25">
        <v>6.8820996132841</v>
      </c>
      <c r="L108" s="25">
        <v>6.3120996132841</v>
      </c>
      <c r="M108" s="28">
        <v>0</v>
      </c>
      <c r="N108" s="28">
        <v>0</v>
      </c>
    </row>
    <row r="109" spans="7:14">
      <c r="G109" s="24">
        <v>108</v>
      </c>
      <c r="H109" s="25">
        <f>S0_</f>
        <v>100</v>
      </c>
      <c r="I109" s="25">
        <f ca="1">S0_*EXP((mu_-sigma_^2/2)*Dt_+sigma_*SQRT(Dt_)*_xlfn.NORM.INV(RAND(),0,1))</f>
        <v>120.53011321149</v>
      </c>
      <c r="J109" s="25">
        <f ca="1">MAX(k_-I109,0)*EXP(-rs_*T_)</f>
        <v>0</v>
      </c>
      <c r="K109" s="25">
        <v>19.9333208385055</v>
      </c>
      <c r="L109" s="25">
        <v>19.3633208385055</v>
      </c>
      <c r="M109" s="28">
        <v>0</v>
      </c>
      <c r="N109" s="28">
        <v>0</v>
      </c>
    </row>
    <row r="110" spans="7:14">
      <c r="G110" s="24">
        <v>109</v>
      </c>
      <c r="H110" s="25">
        <f>S0_</f>
        <v>100</v>
      </c>
      <c r="I110" s="25">
        <f ca="1">S0_*EXP((mu_-sigma_^2/2)*Dt_+sigma_*SQRT(Dt_)*_xlfn.NORM.INV(RAND(),0,1))</f>
        <v>105.986807504196</v>
      </c>
      <c r="J110" s="25">
        <f ca="1">MAX(k_-I110,0)*EXP(-rs_*T_)</f>
        <v>0</v>
      </c>
      <c r="K110" s="25">
        <v>5.81277626431763</v>
      </c>
      <c r="L110" s="25">
        <v>5.24277626431763</v>
      </c>
      <c r="M110" s="28">
        <v>0</v>
      </c>
      <c r="N110" s="28">
        <v>0</v>
      </c>
    </row>
    <row r="111" spans="7:14">
      <c r="G111" s="24">
        <v>110</v>
      </c>
      <c r="H111" s="25">
        <f>S0_</f>
        <v>100</v>
      </c>
      <c r="I111" s="25">
        <f ca="1">S0_*EXP((mu_-sigma_^2/2)*Dt_+sigma_*SQRT(Dt_)*_xlfn.NORM.INV(RAND(),0,1))</f>
        <v>108.279840500092</v>
      </c>
      <c r="J111" s="25">
        <f ca="1">MAX(k_-I111,0)*EXP(-rs_*T_)</f>
        <v>0</v>
      </c>
      <c r="K111" s="25">
        <v>8.03915280348344</v>
      </c>
      <c r="L111" s="25">
        <v>7.46915280348344</v>
      </c>
      <c r="M111" s="28">
        <v>0</v>
      </c>
      <c r="N111" s="28">
        <v>0</v>
      </c>
    </row>
    <row r="112" spans="7:14">
      <c r="G112" s="24">
        <v>111</v>
      </c>
      <c r="H112" s="25">
        <f>S0_</f>
        <v>100</v>
      </c>
      <c r="I112" s="25">
        <f ca="1">S0_*EXP((mu_-sigma_^2/2)*Dt_+sigma_*SQRT(Dt_)*_xlfn.NORM.INV(RAND(),0,1))</f>
        <v>96.4160947904286</v>
      </c>
      <c r="J112" s="25">
        <f ca="1">MAX(k_-I112,0)*EXP(-rs_*T_)</f>
        <v>0.566931597588409</v>
      </c>
      <c r="K112" s="25">
        <v>-3.47972423051199</v>
      </c>
      <c r="L112" s="25">
        <v>-3.48279263292358</v>
      </c>
      <c r="M112" s="28">
        <v>1</v>
      </c>
      <c r="N112" s="28">
        <v>1</v>
      </c>
    </row>
    <row r="113" spans="7:14">
      <c r="G113" s="24">
        <v>112</v>
      </c>
      <c r="H113" s="25">
        <f>S0_</f>
        <v>100</v>
      </c>
      <c r="I113" s="25">
        <f ca="1">S0_*EXP((mu_-sigma_^2/2)*Dt_+sigma_*SQRT(Dt_)*_xlfn.NORM.INV(RAND(),0,1))</f>
        <v>107.748118298418</v>
      </c>
      <c r="J113" s="25">
        <f ca="1">MAX(k_-I113,0)*EXP(-rs_*T_)</f>
        <v>0</v>
      </c>
      <c r="K113" s="25">
        <v>7.52288729955065</v>
      </c>
      <c r="L113" s="25">
        <v>6.95288729955065</v>
      </c>
      <c r="M113" s="28">
        <v>0</v>
      </c>
      <c r="N113" s="28">
        <v>0</v>
      </c>
    </row>
    <row r="114" spans="7:14">
      <c r="G114" s="24">
        <v>113</v>
      </c>
      <c r="H114" s="25">
        <f>S0_</f>
        <v>100</v>
      </c>
      <c r="I114" s="25">
        <f ca="1">S0_*EXP((mu_-sigma_^2/2)*Dt_+sigma_*SQRT(Dt_)*_xlfn.NORM.INV(RAND(),0,1))</f>
        <v>96.7679063602971</v>
      </c>
      <c r="J114" s="25">
        <f ca="1">MAX(k_-I114,0)*EXP(-rs_*T_)</f>
        <v>0.225346881291686</v>
      </c>
      <c r="K114" s="25">
        <v>-3.13813951421527</v>
      </c>
      <c r="L114" s="25">
        <v>-3.48279263292358</v>
      </c>
      <c r="M114" s="28">
        <v>1</v>
      </c>
      <c r="N114" s="28">
        <v>1</v>
      </c>
    </row>
    <row r="115" spans="7:14">
      <c r="G115" s="24">
        <v>114</v>
      </c>
      <c r="H115" s="25">
        <f>S0_</f>
        <v>100</v>
      </c>
      <c r="I115" s="25">
        <f ca="1">S0_*EXP((mu_-sigma_^2/2)*Dt_+sigma_*SQRT(Dt_)*_xlfn.NORM.INV(RAND(),0,1))</f>
        <v>111.155053478436</v>
      </c>
      <c r="J115" s="25">
        <f ca="1">MAX(k_-I115,0)*EXP(-rs_*T_)</f>
        <v>0</v>
      </c>
      <c r="K115" s="25">
        <v>10.8307858639527</v>
      </c>
      <c r="L115" s="25">
        <v>10.2607858639527</v>
      </c>
      <c r="M115" s="28">
        <v>0</v>
      </c>
      <c r="N115" s="28">
        <v>0</v>
      </c>
    </row>
    <row r="116" spans="7:14">
      <c r="G116" s="24">
        <v>115</v>
      </c>
      <c r="H116" s="25">
        <f>S0_</f>
        <v>100</v>
      </c>
      <c r="I116" s="25">
        <f ca="1">S0_*EXP((mu_-sigma_^2/2)*Dt_+sigma_*SQRT(Dt_)*_xlfn.NORM.INV(RAND(),0,1))</f>
        <v>100.484468299793</v>
      </c>
      <c r="J116" s="25">
        <f ca="1">MAX(k_-I116,0)*EXP(-rs_*T_)</f>
        <v>0</v>
      </c>
      <c r="K116" s="25">
        <v>0.470385231507556</v>
      </c>
      <c r="L116" s="25">
        <v>-0.0996147684924444</v>
      </c>
      <c r="M116" s="28">
        <v>0</v>
      </c>
      <c r="N116" s="28">
        <v>1</v>
      </c>
    </row>
    <row r="117" spans="7:14">
      <c r="G117" s="24">
        <v>116</v>
      </c>
      <c r="H117" s="25">
        <f>S0_</f>
        <v>100</v>
      </c>
      <c r="I117" s="25">
        <f ca="1">S0_*EXP((mu_-sigma_^2/2)*Dt_+sigma_*SQRT(Dt_)*_xlfn.NORM.INV(RAND(),0,1))</f>
        <v>100.981710989154</v>
      </c>
      <c r="J117" s="25">
        <f ca="1">MAX(k_-I117,0)*EXP(-rs_*T_)</f>
        <v>0</v>
      </c>
      <c r="K117" s="25">
        <v>0.953173512288935</v>
      </c>
      <c r="L117" s="25">
        <v>0.383173512288935</v>
      </c>
      <c r="M117" s="28">
        <v>0</v>
      </c>
      <c r="N117" s="28">
        <v>0</v>
      </c>
    </row>
    <row r="118" spans="7:14">
      <c r="G118" s="24">
        <v>117</v>
      </c>
      <c r="H118" s="25">
        <f>S0_</f>
        <v>100</v>
      </c>
      <c r="I118" s="25">
        <f ca="1">S0_*EXP((mu_-sigma_^2/2)*Dt_+sigma_*SQRT(Dt_)*_xlfn.NORM.INV(RAND(),0,1))</f>
        <v>111.089525634155</v>
      </c>
      <c r="J118" s="25">
        <f ca="1">MAX(k_-I118,0)*EXP(-rs_*T_)</f>
        <v>0</v>
      </c>
      <c r="K118" s="25">
        <v>10.7671628565949</v>
      </c>
      <c r="L118" s="25">
        <v>10.1971628565949</v>
      </c>
      <c r="M118" s="28">
        <v>0</v>
      </c>
      <c r="N118" s="28">
        <v>0</v>
      </c>
    </row>
    <row r="119" spans="7:14">
      <c r="G119" s="24">
        <v>118</v>
      </c>
      <c r="H119" s="25">
        <f>S0_</f>
        <v>100</v>
      </c>
      <c r="I119" s="25">
        <f ca="1">S0_*EXP((mu_-sigma_^2/2)*Dt_+sigma_*SQRT(Dt_)*_xlfn.NORM.INV(RAND(),0,1))</f>
        <v>104.349882006527</v>
      </c>
      <c r="J119" s="25">
        <f ca="1">MAX(k_-I119,0)*EXP(-rs_*T_)</f>
        <v>0</v>
      </c>
      <c r="K119" s="25">
        <v>4.22343475423281</v>
      </c>
      <c r="L119" s="25">
        <v>3.65343475423281</v>
      </c>
      <c r="M119" s="28">
        <v>0</v>
      </c>
      <c r="N119" s="28">
        <v>0</v>
      </c>
    </row>
    <row r="120" spans="7:14">
      <c r="G120" s="24">
        <v>119</v>
      </c>
      <c r="H120" s="25">
        <f>S0_</f>
        <v>100</v>
      </c>
      <c r="I120" s="25">
        <f ca="1">S0_*EXP((mu_-sigma_^2/2)*Dt_+sigma_*SQRT(Dt_)*_xlfn.NORM.INV(RAND(),0,1))</f>
        <v>118.774643164523</v>
      </c>
      <c r="J120" s="25">
        <f ca="1">MAX(k_-I120,0)*EXP(-rs_*T_)</f>
        <v>0</v>
      </c>
      <c r="K120" s="25">
        <v>18.228880765131</v>
      </c>
      <c r="L120" s="25">
        <v>17.658880765131</v>
      </c>
      <c r="M120" s="28">
        <v>0</v>
      </c>
      <c r="N120" s="28">
        <v>0</v>
      </c>
    </row>
    <row r="121" spans="7:14">
      <c r="G121" s="24">
        <v>120</v>
      </c>
      <c r="H121" s="25">
        <f>S0_</f>
        <v>100</v>
      </c>
      <c r="I121" s="25">
        <f ca="1">S0_*EXP((mu_-sigma_^2/2)*Dt_+sigma_*SQRT(Dt_)*_xlfn.NORM.INV(RAND(),0,1))</f>
        <v>96.3837968661624</v>
      </c>
      <c r="J121" s="25">
        <f ca="1">MAX(k_-I121,0)*EXP(-rs_*T_)</f>
        <v>0.598290649542224</v>
      </c>
      <c r="K121" s="25">
        <v>-3.51108328246581</v>
      </c>
      <c r="L121" s="25">
        <v>-3.48279263292358</v>
      </c>
      <c r="M121" s="28">
        <v>1</v>
      </c>
      <c r="N121" s="28">
        <v>1</v>
      </c>
    </row>
    <row r="122" spans="7:14">
      <c r="G122" s="24">
        <v>121</v>
      </c>
      <c r="H122" s="25">
        <f>S0_</f>
        <v>100</v>
      </c>
      <c r="I122" s="25">
        <f ca="1">S0_*EXP((mu_-sigma_^2/2)*Dt_+sigma_*SQRT(Dt_)*_xlfn.NORM.INV(RAND(),0,1))</f>
        <v>115.39123661447</v>
      </c>
      <c r="J122" s="25">
        <f ca="1">MAX(k_-I122,0)*EXP(-rs_*T_)</f>
        <v>0</v>
      </c>
      <c r="K122" s="25">
        <v>14.9438268740704</v>
      </c>
      <c r="L122" s="25">
        <v>14.3738268740704</v>
      </c>
      <c r="M122" s="28">
        <v>0</v>
      </c>
      <c r="N122" s="28">
        <v>0</v>
      </c>
    </row>
    <row r="123" spans="7:14">
      <c r="G123" s="24">
        <v>122</v>
      </c>
      <c r="H123" s="25">
        <f>S0_</f>
        <v>100</v>
      </c>
      <c r="I123" s="25">
        <f ca="1">S0_*EXP((mu_-sigma_^2/2)*Dt_+sigma_*SQRT(Dt_)*_xlfn.NORM.INV(RAND(),0,1))</f>
        <v>109.033987493905</v>
      </c>
      <c r="J123" s="25">
        <f ca="1">MAX(k_-I123,0)*EXP(-rs_*T_)</f>
        <v>0</v>
      </c>
      <c r="K123" s="25">
        <v>8.77137740605671</v>
      </c>
      <c r="L123" s="25">
        <v>8.20137740605671</v>
      </c>
      <c r="M123" s="28">
        <v>0</v>
      </c>
      <c r="N123" s="28">
        <v>0</v>
      </c>
    </row>
    <row r="124" spans="7:14">
      <c r="G124" s="24">
        <v>123</v>
      </c>
      <c r="H124" s="25">
        <f>S0_</f>
        <v>100</v>
      </c>
      <c r="I124" s="25">
        <f ca="1">S0_*EXP((mu_-sigma_^2/2)*Dt_+sigma_*SQRT(Dt_)*_xlfn.NORM.INV(RAND(),0,1))</f>
        <v>122.623834051273</v>
      </c>
      <c r="J124" s="25">
        <f ca="1">MAX(k_-I124,0)*EXP(-rs_*T_)</f>
        <v>0</v>
      </c>
      <c r="K124" s="25">
        <v>21.9661790510111</v>
      </c>
      <c r="L124" s="25">
        <v>21.3961790510111</v>
      </c>
      <c r="M124" s="28">
        <v>0</v>
      </c>
      <c r="N124" s="28">
        <v>0</v>
      </c>
    </row>
    <row r="125" spans="7:14">
      <c r="G125" s="24">
        <v>124</v>
      </c>
      <c r="H125" s="25">
        <f>S0_</f>
        <v>100</v>
      </c>
      <c r="I125" s="25">
        <f ca="1">S0_*EXP((mu_-sigma_^2/2)*Dt_+sigma_*SQRT(Dt_)*_xlfn.NORM.INV(RAND(),0,1))</f>
        <v>103.128718422262</v>
      </c>
      <c r="J125" s="25">
        <f ca="1">MAX(k_-I125,0)*EXP(-rs_*T_)</f>
        <v>0</v>
      </c>
      <c r="K125" s="25">
        <v>3.0377693236186</v>
      </c>
      <c r="L125" s="25">
        <v>2.4677693236186</v>
      </c>
      <c r="M125" s="28">
        <v>0</v>
      </c>
      <c r="N125" s="28">
        <v>0</v>
      </c>
    </row>
    <row r="126" spans="7:14">
      <c r="G126" s="24">
        <v>125</v>
      </c>
      <c r="H126" s="25">
        <f>S0_</f>
        <v>100</v>
      </c>
      <c r="I126" s="25">
        <f ca="1">S0_*EXP((mu_-sigma_^2/2)*Dt_+sigma_*SQRT(Dt_)*_xlfn.NORM.INV(RAND(),0,1))</f>
        <v>99.6662235388415</v>
      </c>
      <c r="J126" s="25">
        <f ca="1">MAX(k_-I126,0)*EXP(-rs_*T_)</f>
        <v>0</v>
      </c>
      <c r="K126" s="25">
        <v>-0.324073872368615</v>
      </c>
      <c r="L126" s="25">
        <v>-0.894073872368615</v>
      </c>
      <c r="M126" s="28">
        <v>1</v>
      </c>
      <c r="N126" s="28">
        <v>1</v>
      </c>
    </row>
    <row r="127" spans="7:14">
      <c r="G127" s="24">
        <v>126</v>
      </c>
      <c r="H127" s="25">
        <f>S0_</f>
        <v>100</v>
      </c>
      <c r="I127" s="25">
        <f ca="1">S0_*EXP((mu_-sigma_^2/2)*Dt_+sigma_*SQRT(Dt_)*_xlfn.NORM.INV(RAND(),0,1))</f>
        <v>105.108307088504</v>
      </c>
      <c r="J127" s="25">
        <f ca="1">MAX(k_-I127,0)*EXP(-rs_*T_)</f>
        <v>0</v>
      </c>
      <c r="K127" s="25">
        <v>4.95981308470234</v>
      </c>
      <c r="L127" s="25">
        <v>4.38981308470234</v>
      </c>
      <c r="M127" s="28">
        <v>0</v>
      </c>
      <c r="N127" s="28">
        <v>0</v>
      </c>
    </row>
    <row r="128" spans="7:14">
      <c r="G128" s="24">
        <v>127</v>
      </c>
      <c r="H128" s="25">
        <f>S0_</f>
        <v>100</v>
      </c>
      <c r="I128" s="25">
        <f ca="1">S0_*EXP((mu_-sigma_^2/2)*Dt_+sigma_*SQRT(Dt_)*_xlfn.NORM.INV(RAND(),0,1))</f>
        <v>100.812305466512</v>
      </c>
      <c r="J128" s="25">
        <f ca="1">MAX(k_-I128,0)*EXP(-rs_*T_)</f>
        <v>0</v>
      </c>
      <c r="K128" s="25">
        <v>0.788692459513099</v>
      </c>
      <c r="L128" s="25">
        <v>0.218692459513099</v>
      </c>
      <c r="M128" s="28">
        <v>0</v>
      </c>
      <c r="N128" s="28">
        <v>0</v>
      </c>
    </row>
    <row r="129" spans="7:14">
      <c r="G129" s="24">
        <v>128</v>
      </c>
      <c r="H129" s="25">
        <f>S0_</f>
        <v>100</v>
      </c>
      <c r="I129" s="25">
        <f ca="1">S0_*EXP((mu_-sigma_^2/2)*Dt_+sigma_*SQRT(Dt_)*_xlfn.NORM.INV(RAND(),0,1))</f>
        <v>105.733709250004</v>
      </c>
      <c r="J129" s="25">
        <f ca="1">MAX(k_-I129,0)*EXP(-rs_*T_)</f>
        <v>0</v>
      </c>
      <c r="K129" s="25">
        <v>5.56703535424591</v>
      </c>
      <c r="L129" s="25">
        <v>4.99703535424591</v>
      </c>
      <c r="M129" s="28">
        <v>0</v>
      </c>
      <c r="N129" s="28">
        <v>0</v>
      </c>
    </row>
    <row r="130" spans="7:14">
      <c r="G130" s="24">
        <v>129</v>
      </c>
      <c r="H130" s="25">
        <f>S0_</f>
        <v>100</v>
      </c>
      <c r="I130" s="25">
        <f ca="1">S0_*EXP((mu_-sigma_^2/2)*Dt_+sigma_*SQRT(Dt_)*_xlfn.NORM.INV(RAND(),0,1))</f>
        <v>107.512694550428</v>
      </c>
      <c r="J130" s="25">
        <f ca="1">MAX(k_-I130,0)*EXP(-rs_*T_)</f>
        <v>0</v>
      </c>
      <c r="K130" s="25">
        <v>7.29430711329713</v>
      </c>
      <c r="L130" s="25">
        <v>6.72430711329713</v>
      </c>
      <c r="M130" s="28">
        <v>0</v>
      </c>
      <c r="N130" s="28">
        <v>0</v>
      </c>
    </row>
    <row r="131" spans="7:14">
      <c r="G131" s="24">
        <v>130</v>
      </c>
      <c r="H131" s="25">
        <f>S0_</f>
        <v>100</v>
      </c>
      <c r="I131" s="25">
        <f ca="1">S0_*EXP((mu_-sigma_^2/2)*Dt_+sigma_*SQRT(Dt_)*_xlfn.NORM.INV(RAND(),0,1))</f>
        <v>114.374415806433</v>
      </c>
      <c r="J131" s="25">
        <f ca="1">MAX(k_-I131,0)*EXP(-rs_*T_)</f>
        <v>0</v>
      </c>
      <c r="K131" s="25">
        <v>13.9565641545196</v>
      </c>
      <c r="L131" s="25">
        <v>13.3865641545196</v>
      </c>
      <c r="M131" s="28">
        <v>0</v>
      </c>
      <c r="N131" s="28">
        <v>0</v>
      </c>
    </row>
    <row r="132" spans="7:14">
      <c r="G132" s="24">
        <v>131</v>
      </c>
      <c r="H132" s="25">
        <f>S0_</f>
        <v>100</v>
      </c>
      <c r="I132" s="25">
        <f ca="1">S0_*EXP((mu_-sigma_^2/2)*Dt_+sigma_*SQRT(Dt_)*_xlfn.NORM.INV(RAND(),0,1))</f>
        <v>98.6841425745496</v>
      </c>
      <c r="J132" s="25">
        <f ca="1">MAX(k_-I132,0)*EXP(-rs_*T_)</f>
        <v>0</v>
      </c>
      <c r="K132" s="25">
        <v>-1.27760660494326</v>
      </c>
      <c r="L132" s="25">
        <v>-1.84760660494326</v>
      </c>
      <c r="M132" s="28">
        <v>1</v>
      </c>
      <c r="N132" s="28">
        <v>1</v>
      </c>
    </row>
    <row r="133" spans="7:14">
      <c r="G133" s="24">
        <v>132</v>
      </c>
      <c r="H133" s="25">
        <f>S0_</f>
        <v>100</v>
      </c>
      <c r="I133" s="25">
        <f ca="1">S0_*EXP((mu_-sigma_^2/2)*Dt_+sigma_*SQRT(Dt_)*_xlfn.NORM.INV(RAND(),0,1))</f>
        <v>91.9825813875271</v>
      </c>
      <c r="J133" s="25">
        <f ca="1">MAX(k_-I133,0)*EXP(-rs_*T_)</f>
        <v>4.87156665690153</v>
      </c>
      <c r="K133" s="25">
        <v>-7.78435928982511</v>
      </c>
      <c r="L133" s="25">
        <v>-3.48279263292358</v>
      </c>
      <c r="M133" s="28">
        <v>1</v>
      </c>
      <c r="N133" s="28">
        <v>1</v>
      </c>
    </row>
    <row r="134" spans="7:14">
      <c r="G134" s="24">
        <v>133</v>
      </c>
      <c r="H134" s="25">
        <f>S0_</f>
        <v>100</v>
      </c>
      <c r="I134" s="25">
        <f ca="1">S0_*EXP((mu_-sigma_^2/2)*Dt_+sigma_*SQRT(Dt_)*_xlfn.NORM.INV(RAND(),0,1))</f>
        <v>119.937101861199</v>
      </c>
      <c r="J134" s="25">
        <f ca="1">MAX(k_-I134,0)*EXP(-rs_*T_)</f>
        <v>0</v>
      </c>
      <c r="K134" s="25">
        <v>19.3575478077157</v>
      </c>
      <c r="L134" s="25">
        <v>18.7875478077157</v>
      </c>
      <c r="M134" s="28">
        <v>0</v>
      </c>
      <c r="N134" s="28">
        <v>0</v>
      </c>
    </row>
    <row r="135" spans="7:14">
      <c r="G135" s="24">
        <v>134</v>
      </c>
      <c r="H135" s="25">
        <f>S0_</f>
        <v>100</v>
      </c>
      <c r="I135" s="25">
        <f ca="1">S0_*EXP((mu_-sigma_^2/2)*Dt_+sigma_*SQRT(Dt_)*_xlfn.NORM.INV(RAND(),0,1))</f>
        <v>95.4285780181367</v>
      </c>
      <c r="J135" s="25">
        <f ca="1">MAX(k_-I135,0)*EXP(-rs_*T_)</f>
        <v>1.52574212399518</v>
      </c>
      <c r="K135" s="25">
        <v>-4.43853475691876</v>
      </c>
      <c r="L135" s="25">
        <v>-3.48279263292358</v>
      </c>
      <c r="M135" s="28">
        <v>1</v>
      </c>
      <c r="N135" s="28">
        <v>1</v>
      </c>
    </row>
    <row r="136" spans="7:14">
      <c r="G136" s="24">
        <v>135</v>
      </c>
      <c r="H136" s="25">
        <f>S0_</f>
        <v>100</v>
      </c>
      <c r="I136" s="25">
        <f ca="1">S0_*EXP((mu_-sigma_^2/2)*Dt_+sigma_*SQRT(Dt_)*_xlfn.NORM.INV(RAND(),0,1))</f>
        <v>102.621472829325</v>
      </c>
      <c r="J136" s="25">
        <f ca="1">MAX(k_-I136,0)*EXP(-rs_*T_)</f>
        <v>0</v>
      </c>
      <c r="K136" s="25">
        <v>2.54526891488882</v>
      </c>
      <c r="L136" s="25">
        <v>1.97526891488882</v>
      </c>
      <c r="M136" s="28">
        <v>0</v>
      </c>
      <c r="N136" s="28">
        <v>0</v>
      </c>
    </row>
    <row r="137" spans="7:14">
      <c r="G137" s="24">
        <v>136</v>
      </c>
      <c r="H137" s="25">
        <f>S0_</f>
        <v>100</v>
      </c>
      <c r="I137" s="25">
        <f ca="1">S0_*EXP((mu_-sigma_^2/2)*Dt_+sigma_*SQRT(Dt_)*_xlfn.NORM.INV(RAND(),0,1))</f>
        <v>100.282633192757</v>
      </c>
      <c r="J137" s="25">
        <f ca="1">MAX(k_-I137,0)*EXP(-rs_*T_)</f>
        <v>0</v>
      </c>
      <c r="K137" s="25">
        <v>0.274417293894532</v>
      </c>
      <c r="L137" s="25">
        <v>-0.295582706105468</v>
      </c>
      <c r="M137" s="28">
        <v>0</v>
      </c>
      <c r="N137" s="28">
        <v>1</v>
      </c>
    </row>
    <row r="138" spans="7:14">
      <c r="G138" s="24">
        <v>137</v>
      </c>
      <c r="H138" s="25">
        <f>S0_</f>
        <v>100</v>
      </c>
      <c r="I138" s="25">
        <f ca="1">S0_*EXP((mu_-sigma_^2/2)*Dt_+sigma_*SQRT(Dt_)*_xlfn.NORM.INV(RAND(),0,1))</f>
        <v>115.221887291066</v>
      </c>
      <c r="J138" s="25">
        <f ca="1">MAX(k_-I138,0)*EXP(-rs_*T_)</f>
        <v>0</v>
      </c>
      <c r="K138" s="25">
        <v>14.7794003868705</v>
      </c>
      <c r="L138" s="25">
        <v>14.2094003868705</v>
      </c>
      <c r="M138" s="28">
        <v>0</v>
      </c>
      <c r="N138" s="28">
        <v>0</v>
      </c>
    </row>
    <row r="139" spans="7:14">
      <c r="G139" s="24">
        <v>138</v>
      </c>
      <c r="H139" s="25">
        <f>S0_</f>
        <v>100</v>
      </c>
      <c r="I139" s="25">
        <f ca="1">S0_*EXP((mu_-sigma_^2/2)*Dt_+sigma_*SQRT(Dt_)*_xlfn.NORM.INV(RAND(),0,1))</f>
        <v>114.694524137752</v>
      </c>
      <c r="J139" s="25">
        <f ca="1">MAX(k_-I139,0)*EXP(-rs_*T_)</f>
        <v>0</v>
      </c>
      <c r="K139" s="25">
        <v>14.2673672175869</v>
      </c>
      <c r="L139" s="25">
        <v>13.6973672175869</v>
      </c>
      <c r="M139" s="28">
        <v>0</v>
      </c>
      <c r="N139" s="28">
        <v>0</v>
      </c>
    </row>
    <row r="140" spans="7:14">
      <c r="G140" s="24">
        <v>139</v>
      </c>
      <c r="H140" s="25">
        <f>S0_</f>
        <v>100</v>
      </c>
      <c r="I140" s="25">
        <f ca="1">S0_*EXP((mu_-sigma_^2/2)*Dt_+sigma_*SQRT(Dt_)*_xlfn.NORM.INV(RAND(),0,1))</f>
        <v>110.785133911714</v>
      </c>
      <c r="J140" s="25">
        <f ca="1">MAX(k_-I140,0)*EXP(-rs_*T_)</f>
        <v>0</v>
      </c>
      <c r="K140" s="25">
        <v>10.4716195343779</v>
      </c>
      <c r="L140" s="25">
        <v>9.90161953437795</v>
      </c>
      <c r="M140" s="28">
        <v>0</v>
      </c>
      <c r="N140" s="28">
        <v>0</v>
      </c>
    </row>
    <row r="141" spans="7:14">
      <c r="G141" s="24">
        <v>140</v>
      </c>
      <c r="H141" s="25">
        <f>S0_</f>
        <v>100</v>
      </c>
      <c r="I141" s="25">
        <f ca="1">S0_*EXP((mu_-sigma_^2/2)*Dt_+sigma_*SQRT(Dt_)*_xlfn.NORM.INV(RAND(),0,1))</f>
        <v>106.539773977477</v>
      </c>
      <c r="J141" s="25">
        <f ca="1">MAX(k_-I141,0)*EXP(-rs_*T_)</f>
        <v>0</v>
      </c>
      <c r="K141" s="25">
        <v>6.34966848752654</v>
      </c>
      <c r="L141" s="25">
        <v>5.77966848752654</v>
      </c>
      <c r="M141" s="28">
        <v>0</v>
      </c>
      <c r="N141" s="28">
        <v>0</v>
      </c>
    </row>
    <row r="142" spans="7:14">
      <c r="G142" s="24">
        <v>141</v>
      </c>
      <c r="H142" s="25">
        <f>S0_</f>
        <v>100</v>
      </c>
      <c r="I142" s="25">
        <f ca="1">S0_*EXP((mu_-sigma_^2/2)*Dt_+sigma_*SQRT(Dt_)*_xlfn.NORM.INV(RAND(),0,1))</f>
        <v>103.953276277104</v>
      </c>
      <c r="J142" s="25">
        <f ca="1">MAX(k_-I142,0)*EXP(-rs_*T_)</f>
        <v>0</v>
      </c>
      <c r="K142" s="25">
        <v>3.83835800528631</v>
      </c>
      <c r="L142" s="25">
        <v>3.26835800528631</v>
      </c>
      <c r="M142" s="28">
        <v>0</v>
      </c>
      <c r="N142" s="28">
        <v>0</v>
      </c>
    </row>
    <row r="143" spans="7:14">
      <c r="G143" s="24">
        <v>142</v>
      </c>
      <c r="H143" s="25">
        <f>S0_</f>
        <v>100</v>
      </c>
      <c r="I143" s="25">
        <f ca="1">S0_*EXP((mu_-sigma_^2/2)*Dt_+sigma_*SQRT(Dt_)*_xlfn.NORM.INV(RAND(),0,1))</f>
        <v>97.2604238104703</v>
      </c>
      <c r="J143" s="25">
        <f ca="1">MAX(k_-I143,0)*EXP(-rs_*T_)</f>
        <v>0</v>
      </c>
      <c r="K143" s="25">
        <v>-2.65993911406498</v>
      </c>
      <c r="L143" s="25">
        <v>-3.22993911406498</v>
      </c>
      <c r="M143" s="28">
        <v>1</v>
      </c>
      <c r="N143" s="28">
        <v>1</v>
      </c>
    </row>
    <row r="144" spans="7:14">
      <c r="G144" s="24">
        <v>143</v>
      </c>
      <c r="H144" s="25">
        <f>S0_</f>
        <v>100</v>
      </c>
      <c r="I144" s="25">
        <f ca="1">S0_*EXP((mu_-sigma_^2/2)*Dt_+sigma_*SQRT(Dt_)*_xlfn.NORM.INV(RAND(),0,1))</f>
        <v>90.7905474661415</v>
      </c>
      <c r="J144" s="25">
        <f ca="1">MAX(k_-I144,0)*EXP(-rs_*T_)</f>
        <v>6.02894919837053</v>
      </c>
      <c r="K144" s="25">
        <v>-8.94174183129411</v>
      </c>
      <c r="L144" s="25">
        <v>-3.48279263292358</v>
      </c>
      <c r="M144" s="28">
        <v>1</v>
      </c>
      <c r="N144" s="28">
        <v>1</v>
      </c>
    </row>
    <row r="145" spans="7:14">
      <c r="G145" s="24">
        <v>144</v>
      </c>
      <c r="H145" s="25">
        <f>S0_</f>
        <v>100</v>
      </c>
      <c r="I145" s="25">
        <f ca="1">S0_*EXP((mu_-sigma_^2/2)*Dt_+sigma_*SQRT(Dt_)*_xlfn.NORM.INV(RAND(),0,1))</f>
        <v>114.158566968713</v>
      </c>
      <c r="J145" s="25">
        <f ca="1">MAX(k_-I145,0)*EXP(-rs_*T_)</f>
        <v>0</v>
      </c>
      <c r="K145" s="25">
        <v>13.7469898530746</v>
      </c>
      <c r="L145" s="25">
        <v>13.1769898530746</v>
      </c>
      <c r="M145" s="28">
        <v>0</v>
      </c>
      <c r="N145" s="28">
        <v>0</v>
      </c>
    </row>
    <row r="146" spans="7:14">
      <c r="G146" s="24">
        <v>145</v>
      </c>
      <c r="H146" s="25">
        <f>S0_</f>
        <v>100</v>
      </c>
      <c r="I146" s="25">
        <f ca="1">S0_*EXP((mu_-sigma_^2/2)*Dt_+sigma_*SQRT(Dt_)*_xlfn.NORM.INV(RAND(),0,1))</f>
        <v>96.8193266420565</v>
      </c>
      <c r="J146" s="25">
        <f ca="1">MAX(k_-I146,0)*EXP(-rs_*T_)</f>
        <v>0.17542134199451</v>
      </c>
      <c r="K146" s="25">
        <v>-3.08821397491809</v>
      </c>
      <c r="L146" s="25">
        <v>-3.48279263292358</v>
      </c>
      <c r="M146" s="28">
        <v>1</v>
      </c>
      <c r="N146" s="28">
        <v>1</v>
      </c>
    </row>
    <row r="147" spans="7:14">
      <c r="G147" s="24">
        <v>146</v>
      </c>
      <c r="H147" s="25">
        <f>S0_</f>
        <v>100</v>
      </c>
      <c r="I147" s="25">
        <f ca="1">S0_*EXP((mu_-sigma_^2/2)*Dt_+sigma_*SQRT(Dt_)*_xlfn.NORM.INV(RAND(),0,1))</f>
        <v>114.281865200912</v>
      </c>
      <c r="J147" s="25">
        <f ca="1">MAX(k_-I147,0)*EXP(-rs_*T_)</f>
        <v>0</v>
      </c>
      <c r="K147" s="25">
        <v>13.8667039138747</v>
      </c>
      <c r="L147" s="25">
        <v>13.2967039138747</v>
      </c>
      <c r="M147" s="28">
        <v>0</v>
      </c>
      <c r="N147" s="28">
        <v>0</v>
      </c>
    </row>
    <row r="148" spans="7:14">
      <c r="G148" s="24">
        <v>147</v>
      </c>
      <c r="H148" s="25">
        <f>S0_</f>
        <v>100</v>
      </c>
      <c r="I148" s="25">
        <f ca="1">S0_*EXP((mu_-sigma_^2/2)*Dt_+sigma_*SQRT(Dt_)*_xlfn.NORM.INV(RAND(),0,1))</f>
        <v>109.828592291924</v>
      </c>
      <c r="J148" s="25">
        <f ca="1">MAX(k_-I148,0)*EXP(-rs_*T_)</f>
        <v>0</v>
      </c>
      <c r="K148" s="25">
        <v>9.54288373997557</v>
      </c>
      <c r="L148" s="25">
        <v>8.97288373997557</v>
      </c>
      <c r="M148" s="28">
        <v>0</v>
      </c>
      <c r="N148" s="28">
        <v>0</v>
      </c>
    </row>
    <row r="149" spans="7:14">
      <c r="G149" s="24">
        <v>148</v>
      </c>
      <c r="H149" s="25">
        <f>S0_</f>
        <v>100</v>
      </c>
      <c r="I149" s="25">
        <f ca="1">S0_*EXP((mu_-sigma_^2/2)*Dt_+sigma_*SQRT(Dt_)*_xlfn.NORM.INV(RAND(),0,1))</f>
        <v>103.869228046985</v>
      </c>
      <c r="J149" s="25">
        <f ca="1">MAX(k_-I149,0)*EXP(-rs_*T_)</f>
        <v>0</v>
      </c>
      <c r="K149" s="25">
        <v>3.75675298345307</v>
      </c>
      <c r="L149" s="25">
        <v>3.18675298345307</v>
      </c>
      <c r="M149" s="28">
        <v>0</v>
      </c>
      <c r="N149" s="28">
        <v>0</v>
      </c>
    </row>
    <row r="150" spans="7:14">
      <c r="G150" s="24">
        <v>149</v>
      </c>
      <c r="H150" s="25">
        <f>S0_</f>
        <v>100</v>
      </c>
      <c r="I150" s="25">
        <f ca="1">S0_*EXP((mu_-sigma_^2/2)*Dt_+sigma_*SQRT(Dt_)*_xlfn.NORM.INV(RAND(),0,1))</f>
        <v>90.3162063242854</v>
      </c>
      <c r="J150" s="25">
        <f ca="1">MAX(k_-I150,0)*EXP(-rs_*T_)</f>
        <v>6.4895016595342</v>
      </c>
      <c r="K150" s="25">
        <v>-9.40229429245778</v>
      </c>
      <c r="L150" s="25">
        <v>-3.48279263292358</v>
      </c>
      <c r="M150" s="28">
        <v>1</v>
      </c>
      <c r="N150" s="28">
        <v>1</v>
      </c>
    </row>
    <row r="151" spans="7:14">
      <c r="G151" s="24">
        <v>150</v>
      </c>
      <c r="H151" s="25">
        <f>S0_</f>
        <v>100</v>
      </c>
      <c r="I151" s="25">
        <f ca="1">S0_*EXP((mu_-sigma_^2/2)*Dt_+sigma_*SQRT(Dt_)*_xlfn.NORM.INV(RAND(),0,1))</f>
        <v>92.9255072210308</v>
      </c>
      <c r="J151" s="25">
        <f ca="1">MAX(k_-I151,0)*EXP(-rs_*T_)</f>
        <v>3.95605084982729</v>
      </c>
      <c r="K151" s="25">
        <v>-6.86884348275087</v>
      </c>
      <c r="L151" s="25">
        <v>-3.48279263292358</v>
      </c>
      <c r="M151" s="28">
        <v>1</v>
      </c>
      <c r="N151" s="28">
        <v>1</v>
      </c>
    </row>
    <row r="152" spans="7:14">
      <c r="G152" s="24">
        <v>151</v>
      </c>
      <c r="H152" s="25">
        <f>S0_</f>
        <v>100</v>
      </c>
      <c r="I152" s="25">
        <f ca="1">S0_*EXP((mu_-sigma_^2/2)*Dt_+sigma_*SQRT(Dt_)*_xlfn.NORM.INV(RAND(),0,1))</f>
        <v>106.988599550737</v>
      </c>
      <c r="J152" s="25">
        <f ca="1">MAX(k_-I152,0)*EXP(-rs_*T_)</f>
        <v>0</v>
      </c>
      <c r="K152" s="25">
        <v>6.78544709527972</v>
      </c>
      <c r="L152" s="25">
        <v>6.21544709527972</v>
      </c>
      <c r="M152" s="28">
        <v>0</v>
      </c>
      <c r="N152" s="28">
        <v>0</v>
      </c>
    </row>
    <row r="153" spans="7:14">
      <c r="G153" s="24">
        <v>152</v>
      </c>
      <c r="H153" s="25">
        <f>S0_</f>
        <v>100</v>
      </c>
      <c r="I153" s="25">
        <f ca="1">S0_*EXP((mu_-sigma_^2/2)*Dt_+sigma_*SQRT(Dt_)*_xlfn.NORM.INV(RAND(),0,1))</f>
        <v>105.543711528908</v>
      </c>
      <c r="J153" s="25">
        <f ca="1">MAX(k_-I153,0)*EXP(-rs_*T_)</f>
        <v>0</v>
      </c>
      <c r="K153" s="25">
        <v>5.38256070015256</v>
      </c>
      <c r="L153" s="25">
        <v>4.81256070015256</v>
      </c>
      <c r="M153" s="28">
        <v>0</v>
      </c>
      <c r="N153" s="28">
        <v>0</v>
      </c>
    </row>
    <row r="154" spans="7:14">
      <c r="G154" s="24">
        <v>153</v>
      </c>
      <c r="H154" s="25">
        <f>S0_</f>
        <v>100</v>
      </c>
      <c r="I154" s="25">
        <f ca="1">S0_*EXP((mu_-sigma_^2/2)*Dt_+sigma_*SQRT(Dt_)*_xlfn.NORM.INV(RAND(),0,1))</f>
        <v>109.060424066099</v>
      </c>
      <c r="J154" s="25">
        <f ca="1">MAX(k_-I154,0)*EXP(-rs_*T_)</f>
        <v>0</v>
      </c>
      <c r="K154" s="25">
        <v>8.79704549029899</v>
      </c>
      <c r="L154" s="25">
        <v>8.22704549029899</v>
      </c>
      <c r="M154" s="28">
        <v>0</v>
      </c>
      <c r="N154" s="28">
        <v>0</v>
      </c>
    </row>
    <row r="155" spans="7:14">
      <c r="G155" s="24">
        <v>154</v>
      </c>
      <c r="H155" s="25">
        <f>S0_</f>
        <v>100</v>
      </c>
      <c r="I155" s="25">
        <f ca="1">S0_*EXP((mu_-sigma_^2/2)*Dt_+sigma_*SQRT(Dt_)*_xlfn.NORM.INV(RAND(),0,1))</f>
        <v>111.661996802186</v>
      </c>
      <c r="J155" s="25">
        <f ca="1">MAX(k_-I155,0)*EXP(-rs_*T_)</f>
        <v>0</v>
      </c>
      <c r="K155" s="25">
        <v>11.3229927901954</v>
      </c>
      <c r="L155" s="25">
        <v>10.7529927901954</v>
      </c>
      <c r="M155" s="28">
        <v>0</v>
      </c>
      <c r="N155" s="28">
        <v>0</v>
      </c>
    </row>
    <row r="156" spans="7:14">
      <c r="G156" s="24">
        <v>155</v>
      </c>
      <c r="H156" s="25">
        <f>S0_</f>
        <v>100</v>
      </c>
      <c r="I156" s="25">
        <f ca="1">S0_*EXP((mu_-sigma_^2/2)*Dt_+sigma_*SQRT(Dt_)*_xlfn.NORM.INV(RAND(),0,1))</f>
        <v>97.4056925957916</v>
      </c>
      <c r="J156" s="25">
        <f ca="1">MAX(k_-I156,0)*EXP(-rs_*T_)</f>
        <v>0</v>
      </c>
      <c r="K156" s="25">
        <v>-2.51889316483913</v>
      </c>
      <c r="L156" s="25">
        <v>-3.08889316483913</v>
      </c>
      <c r="M156" s="28">
        <v>1</v>
      </c>
      <c r="N156" s="28">
        <v>1</v>
      </c>
    </row>
    <row r="157" spans="7:14">
      <c r="G157" s="24">
        <v>156</v>
      </c>
      <c r="H157" s="25">
        <f>S0_</f>
        <v>100</v>
      </c>
      <c r="I157" s="25">
        <f ca="1">S0_*EXP((mu_-sigma_^2/2)*Dt_+sigma_*SQRT(Dt_)*_xlfn.NORM.INV(RAND(),0,1))</f>
        <v>108.065828009546</v>
      </c>
      <c r="J157" s="25">
        <f ca="1">MAX(k_-I157,0)*EXP(-rs_*T_)</f>
        <v>0</v>
      </c>
      <c r="K157" s="25">
        <v>7.83136146821159</v>
      </c>
      <c r="L157" s="25">
        <v>7.26136146821159</v>
      </c>
      <c r="M157" s="28">
        <v>0</v>
      </c>
      <c r="N157" s="28">
        <v>0</v>
      </c>
    </row>
    <row r="158" spans="7:14">
      <c r="G158" s="24">
        <v>157</v>
      </c>
      <c r="H158" s="25">
        <f>S0_</f>
        <v>100</v>
      </c>
      <c r="I158" s="25">
        <f ca="1">S0_*EXP((mu_-sigma_^2/2)*Dt_+sigma_*SQRT(Dt_)*_xlfn.NORM.INV(RAND(),0,1))</f>
        <v>109.66673061042</v>
      </c>
      <c r="J158" s="25">
        <f ca="1">MAX(k_-I158,0)*EXP(-rs_*T_)</f>
        <v>0</v>
      </c>
      <c r="K158" s="25">
        <v>9.38572723549575</v>
      </c>
      <c r="L158" s="25">
        <v>8.81572723549575</v>
      </c>
      <c r="M158" s="28">
        <v>0</v>
      </c>
      <c r="N158" s="28">
        <v>0</v>
      </c>
    </row>
    <row r="159" spans="7:14">
      <c r="G159" s="24">
        <v>158</v>
      </c>
      <c r="H159" s="25">
        <f>S0_</f>
        <v>100</v>
      </c>
      <c r="I159" s="25">
        <f ca="1">S0_*EXP((mu_-sigma_^2/2)*Dt_+sigma_*SQRT(Dt_)*_xlfn.NORM.INV(RAND(),0,1))</f>
        <v>105.650800216666</v>
      </c>
      <c r="J159" s="25">
        <f ca="1">MAX(k_-I159,0)*EXP(-rs_*T_)</f>
        <v>0</v>
      </c>
      <c r="K159" s="25">
        <v>5.48653641374211</v>
      </c>
      <c r="L159" s="25">
        <v>4.91653641374211</v>
      </c>
      <c r="M159" s="28">
        <v>0</v>
      </c>
      <c r="N159" s="28">
        <v>0</v>
      </c>
    </row>
    <row r="160" spans="7:14">
      <c r="G160" s="24">
        <v>159</v>
      </c>
      <c r="H160" s="25">
        <f>S0_</f>
        <v>100</v>
      </c>
      <c r="I160" s="25">
        <f ca="1">S0_*EXP((mu_-sigma_^2/2)*Dt_+sigma_*SQRT(Dt_)*_xlfn.NORM.INV(RAND(),0,1))</f>
        <v>89.3857179668818</v>
      </c>
      <c r="J160" s="25">
        <f ca="1">MAX(k_-I160,0)*EXP(-rs_*T_)</f>
        <v>7.39294153702307</v>
      </c>
      <c r="K160" s="25">
        <v>-10.3057341699467</v>
      </c>
      <c r="L160" s="25">
        <v>-3.48279263292358</v>
      </c>
      <c r="M160" s="28">
        <v>1</v>
      </c>
      <c r="N160" s="28">
        <v>1</v>
      </c>
    </row>
    <row r="161" spans="7:14">
      <c r="G161" s="24">
        <v>160</v>
      </c>
      <c r="H161" s="25">
        <f>S0_</f>
        <v>100</v>
      </c>
      <c r="I161" s="25">
        <f ca="1">S0_*EXP((mu_-sigma_^2/2)*Dt_+sigma_*SQRT(Dt_)*_xlfn.NORM.INV(RAND(),0,1))</f>
        <v>111.780312783748</v>
      </c>
      <c r="J161" s="25">
        <f ca="1">MAX(k_-I161,0)*EXP(-rs_*T_)</f>
        <v>0</v>
      </c>
      <c r="K161" s="25">
        <v>11.4378694300125</v>
      </c>
      <c r="L161" s="25">
        <v>10.8678694300125</v>
      </c>
      <c r="M161" s="28">
        <v>0</v>
      </c>
      <c r="N161" s="28">
        <v>0</v>
      </c>
    </row>
    <row r="162" spans="7:14">
      <c r="G162" s="24">
        <v>161</v>
      </c>
      <c r="H162" s="25">
        <f>S0_</f>
        <v>100</v>
      </c>
      <c r="I162" s="25">
        <f ca="1">S0_*EXP((mu_-sigma_^2/2)*Dt_+sigma_*SQRT(Dt_)*_xlfn.NORM.INV(RAND(),0,1))</f>
        <v>97.049575866249</v>
      </c>
      <c r="J162" s="25">
        <f ca="1">MAX(k_-I162,0)*EXP(-rs_*T_)</f>
        <v>0</v>
      </c>
      <c r="K162" s="25">
        <v>-2.86465789359662</v>
      </c>
      <c r="L162" s="25">
        <v>-3.43465789359662</v>
      </c>
      <c r="M162" s="28">
        <v>1</v>
      </c>
      <c r="N162" s="28">
        <v>1</v>
      </c>
    </row>
    <row r="163" spans="7:14">
      <c r="G163" s="24">
        <v>162</v>
      </c>
      <c r="H163" s="25">
        <f>S0_</f>
        <v>100</v>
      </c>
      <c r="I163" s="25">
        <f ca="1">S0_*EXP((mu_-sigma_^2/2)*Dt_+sigma_*SQRT(Dt_)*_xlfn.NORM.INV(RAND(),0,1))</f>
        <v>103.487897852166</v>
      </c>
      <c r="J163" s="25">
        <f ca="1">MAX(k_-I163,0)*EXP(-rs_*T_)</f>
        <v>0</v>
      </c>
      <c r="K163" s="25">
        <v>3.38650772272669</v>
      </c>
      <c r="L163" s="25">
        <v>2.81650772272669</v>
      </c>
      <c r="M163" s="28">
        <v>0</v>
      </c>
      <c r="N163" s="28">
        <v>0</v>
      </c>
    </row>
    <row r="164" spans="7:14">
      <c r="G164" s="24">
        <v>163</v>
      </c>
      <c r="H164" s="25">
        <f>S0_</f>
        <v>100</v>
      </c>
      <c r="I164" s="25">
        <f ca="1">S0_*EXP((mu_-sigma_^2/2)*Dt_+sigma_*SQRT(Dt_)*_xlfn.NORM.INV(RAND(),0,1))</f>
        <v>103.392891407725</v>
      </c>
      <c r="J164" s="25">
        <f ca="1">MAX(k_-I164,0)*EXP(-rs_*T_)</f>
        <v>0</v>
      </c>
      <c r="K164" s="25">
        <v>3.2942630322434</v>
      </c>
      <c r="L164" s="25">
        <v>2.7242630322434</v>
      </c>
      <c r="M164" s="28">
        <v>0</v>
      </c>
      <c r="N164" s="28">
        <v>0</v>
      </c>
    </row>
    <row r="165" spans="7:14">
      <c r="G165" s="24">
        <v>164</v>
      </c>
      <c r="H165" s="25">
        <f>S0_</f>
        <v>100</v>
      </c>
      <c r="I165" s="25">
        <f ca="1">S0_*EXP((mu_-sigma_^2/2)*Dt_+sigma_*SQRT(Dt_)*_xlfn.NORM.INV(RAND(),0,1))</f>
        <v>106.717407852946</v>
      </c>
      <c r="J165" s="25">
        <f ca="1">MAX(k_-I165,0)*EXP(-rs_*T_)</f>
        <v>0</v>
      </c>
      <c r="K165" s="25">
        <v>6.52213870213479</v>
      </c>
      <c r="L165" s="25">
        <v>5.95213870213479</v>
      </c>
      <c r="M165" s="28">
        <v>0</v>
      </c>
      <c r="N165" s="28">
        <v>0</v>
      </c>
    </row>
    <row r="166" spans="7:14">
      <c r="G166" s="24">
        <v>165</v>
      </c>
      <c r="H166" s="25">
        <f>S0_</f>
        <v>100</v>
      </c>
      <c r="I166" s="25">
        <f ca="1">S0_*EXP((mu_-sigma_^2/2)*Dt_+sigma_*SQRT(Dt_)*_xlfn.NORM.INV(RAND(),0,1))</f>
        <v>106.837897296329</v>
      </c>
      <c r="J166" s="25">
        <f ca="1">MAX(k_-I166,0)*EXP(-rs_*T_)</f>
        <v>0</v>
      </c>
      <c r="K166" s="25">
        <v>6.63912562314515</v>
      </c>
      <c r="L166" s="25">
        <v>6.06912562314515</v>
      </c>
      <c r="M166" s="28">
        <v>0</v>
      </c>
      <c r="N166" s="28">
        <v>0</v>
      </c>
    </row>
    <row r="167" spans="7:14">
      <c r="G167" s="24">
        <v>166</v>
      </c>
      <c r="H167" s="25">
        <f>S0_</f>
        <v>100</v>
      </c>
      <c r="I167" s="25">
        <f ca="1">S0_*EXP((mu_-sigma_^2/2)*Dt_+sigma_*SQRT(Dt_)*_xlfn.NORM.INV(RAND(),0,1))</f>
        <v>107.603712074282</v>
      </c>
      <c r="J167" s="25">
        <f ca="1">MAX(k_-I167,0)*EXP(-rs_*T_)</f>
        <v>0</v>
      </c>
      <c r="K167" s="25">
        <v>7.38267883761347</v>
      </c>
      <c r="L167" s="25">
        <v>6.81267883761347</v>
      </c>
      <c r="M167" s="28">
        <v>0</v>
      </c>
      <c r="N167" s="28">
        <v>0</v>
      </c>
    </row>
    <row r="168" spans="7:14">
      <c r="G168" s="24">
        <v>167</v>
      </c>
      <c r="H168" s="25">
        <f>S0_</f>
        <v>100</v>
      </c>
      <c r="I168" s="25">
        <f ca="1">S0_*EXP((mu_-sigma_^2/2)*Dt_+sigma_*SQRT(Dt_)*_xlfn.NORM.INV(RAND(),0,1))</f>
        <v>90.8298344483037</v>
      </c>
      <c r="J168" s="25">
        <f ca="1">MAX(k_-I168,0)*EXP(-rs_*T_)</f>
        <v>5.99080425429999</v>
      </c>
      <c r="K168" s="25">
        <v>-8.90359688722358</v>
      </c>
      <c r="L168" s="25">
        <v>-3.48279263292358</v>
      </c>
      <c r="M168" s="28">
        <v>1</v>
      </c>
      <c r="N168" s="28">
        <v>1</v>
      </c>
    </row>
    <row r="169" spans="7:14">
      <c r="G169" s="24">
        <v>168</v>
      </c>
      <c r="H169" s="25">
        <f>S0_</f>
        <v>100</v>
      </c>
      <c r="I169" s="25">
        <f ca="1">S0_*EXP((mu_-sigma_^2/2)*Dt_+sigma_*SQRT(Dt_)*_xlfn.NORM.INV(RAND(),0,1))</f>
        <v>112.570351297493</v>
      </c>
      <c r="J169" s="25">
        <f ca="1">MAX(k_-I169,0)*EXP(-rs_*T_)</f>
        <v>0</v>
      </c>
      <c r="K169" s="25">
        <v>12.2049422175327</v>
      </c>
      <c r="L169" s="25">
        <v>11.6349422175327</v>
      </c>
      <c r="M169" s="28">
        <v>0</v>
      </c>
      <c r="N169" s="28">
        <v>0</v>
      </c>
    </row>
    <row r="170" spans="7:14">
      <c r="G170" s="24">
        <v>169</v>
      </c>
      <c r="H170" s="25">
        <f>S0_</f>
        <v>100</v>
      </c>
      <c r="I170" s="25">
        <f ca="1">S0_*EXP((mu_-sigma_^2/2)*Dt_+sigma_*SQRT(Dt_)*_xlfn.NORM.INV(RAND(),0,1))</f>
        <v>97.7111805875479</v>
      </c>
      <c r="J170" s="25">
        <f ca="1">MAX(k_-I170,0)*EXP(-rs_*T_)</f>
        <v>0</v>
      </c>
      <c r="K170" s="25">
        <v>-2.22228544089428</v>
      </c>
      <c r="L170" s="25">
        <v>-2.79228544089428</v>
      </c>
      <c r="M170" s="28">
        <v>1</v>
      </c>
      <c r="N170" s="28">
        <v>1</v>
      </c>
    </row>
    <row r="171" spans="7:14">
      <c r="G171" s="24">
        <v>170</v>
      </c>
      <c r="H171" s="25">
        <f>S0_</f>
        <v>100</v>
      </c>
      <c r="I171" s="25">
        <f ca="1">S0_*EXP((mu_-sigma_^2/2)*Dt_+sigma_*SQRT(Dt_)*_xlfn.NORM.INV(RAND(),0,1))</f>
        <v>111.167810543247</v>
      </c>
      <c r="J171" s="25">
        <f ca="1">MAX(k_-I171,0)*EXP(-rs_*T_)</f>
        <v>0</v>
      </c>
      <c r="K171" s="25">
        <v>10.8431720920857</v>
      </c>
      <c r="L171" s="25">
        <v>10.2731720920857</v>
      </c>
      <c r="M171" s="28">
        <v>0</v>
      </c>
      <c r="N171" s="28">
        <v>0</v>
      </c>
    </row>
    <row r="172" spans="7:14">
      <c r="G172" s="24">
        <v>171</v>
      </c>
      <c r="H172" s="25">
        <f>S0_</f>
        <v>100</v>
      </c>
      <c r="I172" s="25">
        <f ca="1">S0_*EXP((mu_-sigma_^2/2)*Dt_+sigma_*SQRT(Dt_)*_xlfn.NORM.INV(RAND(),0,1))</f>
        <v>101.662627361585</v>
      </c>
      <c r="J172" s="25">
        <f ca="1">MAX(k_-I172,0)*EXP(-rs_*T_)</f>
        <v>0</v>
      </c>
      <c r="K172" s="25">
        <v>1.61429624337394</v>
      </c>
      <c r="L172" s="25">
        <v>1.04429624337394</v>
      </c>
      <c r="M172" s="28">
        <v>0</v>
      </c>
      <c r="N172" s="28">
        <v>0</v>
      </c>
    </row>
    <row r="173" spans="7:14">
      <c r="G173" s="24">
        <v>172</v>
      </c>
      <c r="H173" s="25">
        <f>S0_</f>
        <v>100</v>
      </c>
      <c r="I173" s="25">
        <f ca="1">S0_*EXP((mu_-sigma_^2/2)*Dt_+sigma_*SQRT(Dt_)*_xlfn.NORM.INV(RAND(),0,1))</f>
        <v>99.3553583644237</v>
      </c>
      <c r="J173" s="25">
        <f ca="1">MAX(k_-I173,0)*EXP(-rs_*T_)</f>
        <v>0</v>
      </c>
      <c r="K173" s="25">
        <v>-0.62590246899413</v>
      </c>
      <c r="L173" s="25">
        <v>-1.19590246899413</v>
      </c>
      <c r="M173" s="28">
        <v>1</v>
      </c>
      <c r="N173" s="28">
        <v>1</v>
      </c>
    </row>
    <row r="174" spans="7:14">
      <c r="G174" s="24">
        <v>173</v>
      </c>
      <c r="H174" s="25">
        <f>S0_</f>
        <v>100</v>
      </c>
      <c r="I174" s="25">
        <f ca="1">S0_*EXP((mu_-sigma_^2/2)*Dt_+sigma_*SQRT(Dt_)*_xlfn.NORM.INV(RAND(),0,1))</f>
        <v>114.502179447363</v>
      </c>
      <c r="J174" s="25">
        <f ca="1">MAX(k_-I174,0)*EXP(-rs_*T_)</f>
        <v>0</v>
      </c>
      <c r="K174" s="25">
        <v>14.0806138185378</v>
      </c>
      <c r="L174" s="25">
        <v>13.5106138185378</v>
      </c>
      <c r="M174" s="28">
        <v>0</v>
      </c>
      <c r="N174" s="28">
        <v>0</v>
      </c>
    </row>
    <row r="175" spans="7:14">
      <c r="G175" s="24">
        <v>174</v>
      </c>
      <c r="H175" s="25">
        <f>S0_</f>
        <v>100</v>
      </c>
      <c r="I175" s="25">
        <f ca="1">S0_*EXP((mu_-sigma_^2/2)*Dt_+sigma_*SQRT(Dt_)*_xlfn.NORM.INV(RAND(),0,1))</f>
        <v>108.559151203355</v>
      </c>
      <c r="J175" s="25">
        <f ca="1">MAX(k_-I175,0)*EXP(-rs_*T_)</f>
        <v>0</v>
      </c>
      <c r="K175" s="25">
        <v>8.31034418973758</v>
      </c>
      <c r="L175" s="25">
        <v>7.74034418973758</v>
      </c>
      <c r="M175" s="28">
        <v>0</v>
      </c>
      <c r="N175" s="28">
        <v>0</v>
      </c>
    </row>
    <row r="176" spans="7:14">
      <c r="G176" s="24">
        <v>175</v>
      </c>
      <c r="H176" s="25">
        <f>S0_</f>
        <v>100</v>
      </c>
      <c r="I176" s="25">
        <f ca="1">S0_*EXP((mu_-sigma_^2/2)*Dt_+sigma_*SQRT(Dt_)*_xlfn.NORM.INV(RAND(),0,1))</f>
        <v>125.625295924373</v>
      </c>
      <c r="J176" s="25">
        <f ca="1">MAX(k_-I176,0)*EXP(-rs_*T_)</f>
        <v>0</v>
      </c>
      <c r="K176" s="25">
        <v>24.8803910616667</v>
      </c>
      <c r="L176" s="25">
        <v>24.3103910616667</v>
      </c>
      <c r="M176" s="28">
        <v>0</v>
      </c>
      <c r="N176" s="28">
        <v>0</v>
      </c>
    </row>
    <row r="177" spans="7:14">
      <c r="G177" s="24">
        <v>176</v>
      </c>
      <c r="H177" s="25">
        <f>S0_</f>
        <v>100</v>
      </c>
      <c r="I177" s="25">
        <f ca="1">S0_*EXP((mu_-sigma_^2/2)*Dt_+sigma_*SQRT(Dt_)*_xlfn.NORM.INV(RAND(),0,1))</f>
        <v>102.89842075944</v>
      </c>
      <c r="J177" s="25">
        <f ca="1">MAX(k_-I177,0)*EXP(-rs_*T_)</f>
        <v>0</v>
      </c>
      <c r="K177" s="25">
        <v>2.81416621173637</v>
      </c>
      <c r="L177" s="25">
        <v>2.24416621173637</v>
      </c>
      <c r="M177" s="28">
        <v>0</v>
      </c>
      <c r="N177" s="28">
        <v>0</v>
      </c>
    </row>
    <row r="178" spans="7:14">
      <c r="G178" s="24">
        <v>177</v>
      </c>
      <c r="H178" s="25">
        <f>S0_</f>
        <v>100</v>
      </c>
      <c r="I178" s="25">
        <f ca="1">S0_*EXP((mu_-sigma_^2/2)*Dt_+sigma_*SQRT(Dt_)*_xlfn.NORM.INV(RAND(),0,1))</f>
        <v>106.071670757322</v>
      </c>
      <c r="J178" s="25">
        <f ca="1">MAX(k_-I178,0)*EXP(-rs_*T_)</f>
        <v>0</v>
      </c>
      <c r="K178" s="25">
        <v>5.8951726171547</v>
      </c>
      <c r="L178" s="25">
        <v>5.3251726171547</v>
      </c>
      <c r="M178" s="28">
        <v>0</v>
      </c>
      <c r="N178" s="28">
        <v>0</v>
      </c>
    </row>
    <row r="179" spans="7:14">
      <c r="G179" s="24">
        <v>178</v>
      </c>
      <c r="H179" s="25">
        <f>S0_</f>
        <v>100</v>
      </c>
      <c r="I179" s="25">
        <f ca="1">S0_*EXP((mu_-sigma_^2/2)*Dt_+sigma_*SQRT(Dt_)*_xlfn.NORM.INV(RAND(),0,1))</f>
        <v>111.772818034846</v>
      </c>
      <c r="J179" s="25">
        <f ca="1">MAX(k_-I179,0)*EXP(-rs_*T_)</f>
        <v>0</v>
      </c>
      <c r="K179" s="25">
        <v>11.4305925468833</v>
      </c>
      <c r="L179" s="25">
        <v>10.8605925468833</v>
      </c>
      <c r="M179" s="28">
        <v>0</v>
      </c>
      <c r="N179" s="28">
        <v>0</v>
      </c>
    </row>
    <row r="180" spans="7:14">
      <c r="G180" s="24">
        <v>179</v>
      </c>
      <c r="H180" s="25">
        <f>S0_</f>
        <v>100</v>
      </c>
      <c r="I180" s="25">
        <f ca="1">S0_*EXP((mu_-sigma_^2/2)*Dt_+sigma_*SQRT(Dt_)*_xlfn.NORM.INV(RAND(),0,1))</f>
        <v>94.2230406918118</v>
      </c>
      <c r="J180" s="25">
        <f ca="1">MAX(k_-I180,0)*EXP(-rs_*T_)</f>
        <v>2.69623553827304</v>
      </c>
      <c r="K180" s="25">
        <v>-5.60902817119662</v>
      </c>
      <c r="L180" s="25">
        <v>-3.48279263292358</v>
      </c>
      <c r="M180" s="28">
        <v>1</v>
      </c>
      <c r="N180" s="28">
        <v>1</v>
      </c>
    </row>
    <row r="181" spans="7:14">
      <c r="G181" s="24">
        <v>180</v>
      </c>
      <c r="H181" s="25">
        <f>S0_</f>
        <v>100</v>
      </c>
      <c r="I181" s="25">
        <f ca="1">S0_*EXP((mu_-sigma_^2/2)*Dt_+sigma_*SQRT(Dt_)*_xlfn.NORM.INV(RAND(),0,1))</f>
        <v>117.412159566989</v>
      </c>
      <c r="J181" s="25">
        <f ca="1">MAX(k_-I181,0)*EXP(-rs_*T_)</f>
        <v>0</v>
      </c>
      <c r="K181" s="25">
        <v>16.9060033700048</v>
      </c>
      <c r="L181" s="25">
        <v>16.3360033700048</v>
      </c>
      <c r="M181" s="28">
        <v>0</v>
      </c>
      <c r="N181" s="28">
        <v>0</v>
      </c>
    </row>
    <row r="182" spans="7:14">
      <c r="G182" s="24">
        <v>181</v>
      </c>
      <c r="H182" s="25">
        <f>S0_</f>
        <v>100</v>
      </c>
      <c r="I182" s="25">
        <f ca="1">S0_*EXP((mu_-sigma_^2/2)*Dt_+sigma_*SQRT(Dt_)*_xlfn.NORM.INV(RAND(),0,1))</f>
        <v>110.47674780863</v>
      </c>
      <c r="J182" s="25">
        <f ca="1">MAX(k_-I182,0)*EXP(-rs_*T_)</f>
        <v>0</v>
      </c>
      <c r="K182" s="25">
        <v>10.1721979446588</v>
      </c>
      <c r="L182" s="25">
        <v>9.60219794465884</v>
      </c>
      <c r="M182" s="28">
        <v>0</v>
      </c>
      <c r="N182" s="28">
        <v>0</v>
      </c>
    </row>
    <row r="183" spans="7:14">
      <c r="G183" s="24">
        <v>182</v>
      </c>
      <c r="H183" s="25">
        <f>S0_</f>
        <v>100</v>
      </c>
      <c r="I183" s="25">
        <f ca="1">S0_*EXP((mu_-sigma_^2/2)*Dt_+sigma_*SQRT(Dt_)*_xlfn.NORM.INV(RAND(),0,1))</f>
        <v>110.189002710577</v>
      </c>
      <c r="J183" s="25">
        <f ca="1">MAX(k_-I183,0)*EXP(-rs_*T_)</f>
        <v>0</v>
      </c>
      <c r="K183" s="25">
        <v>9.89281734406863</v>
      </c>
      <c r="L183" s="25">
        <v>9.32281734406863</v>
      </c>
      <c r="M183" s="28">
        <v>0</v>
      </c>
      <c r="N183" s="28">
        <v>0</v>
      </c>
    </row>
    <row r="184" spans="7:14">
      <c r="G184" s="24">
        <v>183</v>
      </c>
      <c r="H184" s="25">
        <f>S0_</f>
        <v>100</v>
      </c>
      <c r="I184" s="25">
        <f ca="1">S0_*EXP((mu_-sigma_^2/2)*Dt_+sigma_*SQRT(Dt_)*_xlfn.NORM.INV(RAND(),0,1))</f>
        <v>97.6870843518691</v>
      </c>
      <c r="J184" s="25">
        <f ca="1">MAX(k_-I184,0)*EXP(-rs_*T_)</f>
        <v>0</v>
      </c>
      <c r="K184" s="25">
        <v>-2.2456812201498</v>
      </c>
      <c r="L184" s="25">
        <v>-2.8156812201498</v>
      </c>
      <c r="M184" s="28">
        <v>1</v>
      </c>
      <c r="N184" s="28">
        <v>1</v>
      </c>
    </row>
    <row r="185" spans="7:14">
      <c r="G185" s="24">
        <v>184</v>
      </c>
      <c r="H185" s="25">
        <f>S0_</f>
        <v>100</v>
      </c>
      <c r="I185" s="25">
        <f ca="1">S0_*EXP((mu_-sigma_^2/2)*Dt_+sigma_*SQRT(Dt_)*_xlfn.NORM.INV(RAND(),0,1))</f>
        <v>98.6816044492281</v>
      </c>
      <c r="J185" s="25">
        <f ca="1">MAX(k_-I185,0)*EXP(-rs_*T_)</f>
        <v>0</v>
      </c>
      <c r="K185" s="25">
        <v>-1.28007094918918</v>
      </c>
      <c r="L185" s="25">
        <v>-1.85007094918918</v>
      </c>
      <c r="M185" s="28">
        <v>1</v>
      </c>
      <c r="N185" s="28">
        <v>1</v>
      </c>
    </row>
    <row r="186" spans="7:14">
      <c r="G186" s="24">
        <v>185</v>
      </c>
      <c r="H186" s="25">
        <f>S0_</f>
        <v>100</v>
      </c>
      <c r="I186" s="25">
        <f ca="1">S0_*EXP((mu_-sigma_^2/2)*Dt_+sigma_*SQRT(Dt_)*_xlfn.NORM.INV(RAND(),0,1))</f>
        <v>102.951997838349</v>
      </c>
      <c r="J186" s="25">
        <f ca="1">MAX(k_-I186,0)*EXP(-rs_*T_)</f>
        <v>0</v>
      </c>
      <c r="K186" s="25">
        <v>2.86618585198348</v>
      </c>
      <c r="L186" s="25">
        <v>2.29618585198348</v>
      </c>
      <c r="M186" s="28">
        <v>0</v>
      </c>
      <c r="N186" s="28">
        <v>0</v>
      </c>
    </row>
    <row r="187" spans="7:14">
      <c r="G187" s="24">
        <v>186</v>
      </c>
      <c r="H187" s="25">
        <f>S0_</f>
        <v>100</v>
      </c>
      <c r="I187" s="25">
        <f ca="1">S0_*EXP((mu_-sigma_^2/2)*Dt_+sigma_*SQRT(Dt_)*_xlfn.NORM.INV(RAND(),0,1))</f>
        <v>102.011854544876</v>
      </c>
      <c r="J187" s="25">
        <f ca="1">MAX(k_-I187,0)*EXP(-rs_*T_)</f>
        <v>0</v>
      </c>
      <c r="K187" s="25">
        <v>1.95337169894288</v>
      </c>
      <c r="L187" s="25">
        <v>1.38337169894288</v>
      </c>
      <c r="M187" s="28">
        <v>0</v>
      </c>
      <c r="N187" s="28">
        <v>0</v>
      </c>
    </row>
    <row r="188" spans="7:14">
      <c r="G188" s="24">
        <v>187</v>
      </c>
      <c r="H188" s="25">
        <f>S0_</f>
        <v>100</v>
      </c>
      <c r="I188" s="25">
        <f ca="1">S0_*EXP((mu_-sigma_^2/2)*Dt_+sigma_*SQRT(Dt_)*_xlfn.NORM.INV(RAND(),0,1))</f>
        <v>94.1060389850363</v>
      </c>
      <c r="J188" s="25">
        <f ca="1">MAX(k_-I188,0)*EXP(-rs_*T_)</f>
        <v>2.80983610811807</v>
      </c>
      <c r="K188" s="25">
        <v>-5.72262874104165</v>
      </c>
      <c r="L188" s="25">
        <v>-3.48279263292358</v>
      </c>
      <c r="M188" s="28">
        <v>1</v>
      </c>
      <c r="N188" s="28">
        <v>1</v>
      </c>
    </row>
    <row r="189" spans="7:14">
      <c r="G189" s="24">
        <v>188</v>
      </c>
      <c r="H189" s="25">
        <f>S0_</f>
        <v>100</v>
      </c>
      <c r="I189" s="25">
        <f ca="1">S0_*EXP((mu_-sigma_^2/2)*Dt_+sigma_*SQRT(Dt_)*_xlfn.NORM.INV(RAND(),0,1))</f>
        <v>103.785939561179</v>
      </c>
      <c r="J189" s="25">
        <f ca="1">MAX(k_-I189,0)*EXP(-rs_*T_)</f>
        <v>0</v>
      </c>
      <c r="K189" s="25">
        <v>3.67588562083216</v>
      </c>
      <c r="L189" s="25">
        <v>3.10588562083216</v>
      </c>
      <c r="M189" s="28">
        <v>0</v>
      </c>
      <c r="N189" s="28">
        <v>0</v>
      </c>
    </row>
    <row r="190" spans="7:14">
      <c r="G190" s="24">
        <v>189</v>
      </c>
      <c r="H190" s="25">
        <f>S0_</f>
        <v>100</v>
      </c>
      <c r="I190" s="25">
        <f ca="1">S0_*EXP((mu_-sigma_^2/2)*Dt_+sigma_*SQRT(Dt_)*_xlfn.NORM.INV(RAND(),0,1))</f>
        <v>100.969242326349</v>
      </c>
      <c r="J190" s="25">
        <f ca="1">MAX(k_-I190,0)*EXP(-rs_*T_)</f>
        <v>0</v>
      </c>
      <c r="K190" s="25">
        <v>0.941067302569363</v>
      </c>
      <c r="L190" s="25">
        <v>0.371067302569363</v>
      </c>
      <c r="M190" s="28">
        <v>0</v>
      </c>
      <c r="N190" s="28">
        <v>0</v>
      </c>
    </row>
    <row r="191" spans="7:14">
      <c r="G191" s="24">
        <v>190</v>
      </c>
      <c r="H191" s="25">
        <f>S0_</f>
        <v>100</v>
      </c>
      <c r="I191" s="25">
        <f ca="1">S0_*EXP((mu_-sigma_^2/2)*Dt_+sigma_*SQRT(Dt_)*_xlfn.NORM.INV(RAND(),0,1))</f>
        <v>96.9962363906577</v>
      </c>
      <c r="J191" s="25">
        <f ca="1">MAX(k_-I191,0)*EXP(-rs_*T_)</f>
        <v>0.00365420452177689</v>
      </c>
      <c r="K191" s="25">
        <v>-2.91644683744536</v>
      </c>
      <c r="L191" s="25">
        <v>-3.48279263292358</v>
      </c>
      <c r="M191" s="28">
        <v>1</v>
      </c>
      <c r="N191" s="28">
        <v>1</v>
      </c>
    </row>
    <row r="192" spans="7:14">
      <c r="G192" s="24">
        <v>191</v>
      </c>
      <c r="H192" s="25">
        <f>S0_</f>
        <v>100</v>
      </c>
      <c r="I192" s="25">
        <f ca="1">S0_*EXP((mu_-sigma_^2/2)*Dt_+sigma_*SQRT(Dt_)*_xlfn.NORM.INV(RAND(),0,1))</f>
        <v>113.831456398216</v>
      </c>
      <c r="J192" s="25">
        <f ca="1">MAX(k_-I192,0)*EXP(-rs_*T_)</f>
        <v>0</v>
      </c>
      <c r="K192" s="25">
        <v>13.4293880997757</v>
      </c>
      <c r="L192" s="25">
        <v>12.8593880997757</v>
      </c>
      <c r="M192" s="28">
        <v>0</v>
      </c>
      <c r="N192" s="28">
        <v>0</v>
      </c>
    </row>
    <row r="193" spans="7:14">
      <c r="G193" s="24">
        <v>192</v>
      </c>
      <c r="H193" s="25">
        <f>S0_</f>
        <v>100</v>
      </c>
      <c r="I193" s="25">
        <f ca="1">S0_*EXP((mu_-sigma_^2/2)*Dt_+sigma_*SQRT(Dt_)*_xlfn.NORM.INV(RAND(),0,1))</f>
        <v>90.2341401825885</v>
      </c>
      <c r="J193" s="25">
        <f ca="1">MAX(k_-I193,0)*EXP(-rs_*T_)</f>
        <v>6.56918221051662</v>
      </c>
      <c r="K193" s="25">
        <v>-9.4819748434402</v>
      </c>
      <c r="L193" s="25">
        <v>-3.48279263292358</v>
      </c>
      <c r="M193" s="28">
        <v>1</v>
      </c>
      <c r="N193" s="28">
        <v>1</v>
      </c>
    </row>
    <row r="194" spans="7:14">
      <c r="G194" s="24">
        <v>193</v>
      </c>
      <c r="H194" s="25">
        <f>S0_</f>
        <v>100</v>
      </c>
      <c r="I194" s="25">
        <f ca="1">S0_*EXP((mu_-sigma_^2/2)*Dt_+sigma_*SQRT(Dt_)*_xlfn.NORM.INV(RAND(),0,1))</f>
        <v>93.2058518490894</v>
      </c>
      <c r="J194" s="25">
        <f ca="1">MAX(k_-I194,0)*EXP(-rs_*T_)</f>
        <v>3.68385559406433</v>
      </c>
      <c r="K194" s="25">
        <v>-6.59664822698791</v>
      </c>
      <c r="L194" s="25">
        <v>-3.48279263292358</v>
      </c>
      <c r="M194" s="28">
        <v>1</v>
      </c>
      <c r="N194" s="28">
        <v>1</v>
      </c>
    </row>
    <row r="195" spans="7:14">
      <c r="G195" s="24">
        <v>194</v>
      </c>
      <c r="H195" s="25">
        <f>S0_</f>
        <v>100</v>
      </c>
      <c r="I195" s="25">
        <f ca="1">S0_*EXP((mu_-sigma_^2/2)*Dt_+sigma_*SQRT(Dt_)*_xlfn.NORM.INV(RAND(),0,1))</f>
        <v>103.183867351304</v>
      </c>
      <c r="J195" s="25">
        <f ca="1">MAX(k_-I195,0)*EXP(-rs_*T_)</f>
        <v>0</v>
      </c>
      <c r="K195" s="25">
        <v>3.09131512169493</v>
      </c>
      <c r="L195" s="25">
        <v>2.52131512169493</v>
      </c>
      <c r="M195" s="28">
        <v>0</v>
      </c>
      <c r="N195" s="28">
        <v>0</v>
      </c>
    </row>
    <row r="196" spans="7:14">
      <c r="G196" s="24">
        <v>195</v>
      </c>
      <c r="H196" s="25">
        <f>S0_</f>
        <v>100</v>
      </c>
      <c r="I196" s="25">
        <f ca="1">S0_*EXP((mu_-sigma_^2/2)*Dt_+sigma_*SQRT(Dt_)*_xlfn.NORM.INV(RAND(),0,1))</f>
        <v>114.941003385645</v>
      </c>
      <c r="J196" s="25">
        <f ca="1">MAX(k_-I196,0)*EXP(-rs_*T_)</f>
        <v>0</v>
      </c>
      <c r="K196" s="25">
        <v>14.5066815300639</v>
      </c>
      <c r="L196" s="25">
        <v>13.9366815300639</v>
      </c>
      <c r="M196" s="28">
        <v>0</v>
      </c>
      <c r="N196" s="28">
        <v>0</v>
      </c>
    </row>
    <row r="197" spans="7:14">
      <c r="G197" s="24">
        <v>196</v>
      </c>
      <c r="H197" s="25">
        <f>S0_</f>
        <v>100</v>
      </c>
      <c r="I197" s="25">
        <f ca="1">S0_*EXP((mu_-sigma_^2/2)*Dt_+sigma_*SQRT(Dt_)*_xlfn.NORM.INV(RAND(),0,1))</f>
        <v>109.61736909833</v>
      </c>
      <c r="J197" s="25">
        <f ca="1">MAX(k_-I197,0)*EXP(-rs_*T_)</f>
        <v>0</v>
      </c>
      <c r="K197" s="25">
        <v>9.33780061924108</v>
      </c>
      <c r="L197" s="25">
        <v>8.76780061924108</v>
      </c>
      <c r="M197" s="28">
        <v>0</v>
      </c>
      <c r="N197" s="28">
        <v>0</v>
      </c>
    </row>
    <row r="198" spans="7:14">
      <c r="G198" s="24">
        <v>197</v>
      </c>
      <c r="H198" s="25">
        <f>S0_</f>
        <v>100</v>
      </c>
      <c r="I198" s="25">
        <f ca="1">S0_*EXP((mu_-sigma_^2/2)*Dt_+sigma_*SQRT(Dt_)*_xlfn.NORM.INV(RAND(),0,1))</f>
        <v>105.391453072852</v>
      </c>
      <c r="J198" s="25">
        <f ca="1">MAX(k_-I198,0)*EXP(-rs_*T_)</f>
        <v>0</v>
      </c>
      <c r="K198" s="25">
        <v>5.2347282637853</v>
      </c>
      <c r="L198" s="25">
        <v>4.6647282637853</v>
      </c>
      <c r="M198" s="28">
        <v>0</v>
      </c>
      <c r="N198" s="28">
        <v>0</v>
      </c>
    </row>
    <row r="199" spans="7:14">
      <c r="G199" s="24">
        <v>198</v>
      </c>
      <c r="H199" s="25">
        <f>S0_</f>
        <v>100</v>
      </c>
      <c r="I199" s="25">
        <f ca="1">S0_*EXP((mu_-sigma_^2/2)*Dt_+sigma_*SQRT(Dt_)*_xlfn.NORM.INV(RAND(),0,1))</f>
        <v>91.4672309414386</v>
      </c>
      <c r="J199" s="25">
        <f ca="1">MAX(k_-I199,0)*EXP(-rs_*T_)</f>
        <v>5.3719363178151</v>
      </c>
      <c r="K199" s="25">
        <v>-8.28472895073869</v>
      </c>
      <c r="L199" s="25">
        <v>-3.48279263292358</v>
      </c>
      <c r="M199" s="28">
        <v>1</v>
      </c>
      <c r="N199" s="28">
        <v>1</v>
      </c>
    </row>
    <row r="200" spans="7:14">
      <c r="G200" s="24">
        <v>199</v>
      </c>
      <c r="H200" s="25">
        <f>S0_</f>
        <v>100</v>
      </c>
      <c r="I200" s="25">
        <f ca="1">S0_*EXP((mu_-sigma_^2/2)*Dt_+sigma_*SQRT(Dt_)*_xlfn.NORM.INV(RAND(),0,1))</f>
        <v>104.6632749142</v>
      </c>
      <c r="J200" s="25">
        <f ca="1">MAX(k_-I200,0)*EXP(-rs_*T_)</f>
        <v>0</v>
      </c>
      <c r="K200" s="25">
        <v>4.52771760512624</v>
      </c>
      <c r="L200" s="25">
        <v>3.95771760512624</v>
      </c>
      <c r="M200" s="28">
        <v>0</v>
      </c>
      <c r="N200" s="28">
        <v>0</v>
      </c>
    </row>
    <row r="201" spans="7:14">
      <c r="G201" s="24">
        <v>200</v>
      </c>
      <c r="H201" s="25">
        <f>S0_</f>
        <v>100</v>
      </c>
      <c r="I201" s="25">
        <f ca="1">S0_*EXP((mu_-sigma_^2/2)*Dt_+sigma_*SQRT(Dt_)*_xlfn.NORM.INV(RAND(),0,1))</f>
        <v>126.032069220434</v>
      </c>
      <c r="J201" s="25">
        <f ca="1">MAX(k_-I201,0)*EXP(-rs_*T_)</f>
        <v>0</v>
      </c>
      <c r="K201" s="25">
        <v>25.2753398150127</v>
      </c>
      <c r="L201" s="25">
        <v>24.7053398150127</v>
      </c>
      <c r="M201" s="28">
        <v>0</v>
      </c>
      <c r="N201" s="28">
        <v>0</v>
      </c>
    </row>
    <row r="202" spans="7:14">
      <c r="G202" s="24">
        <v>201</v>
      </c>
      <c r="H202" s="25">
        <f>S0_</f>
        <v>100</v>
      </c>
      <c r="I202" s="25">
        <f ca="1">S0_*EXP((mu_-sigma_^2/2)*Dt_+sigma_*SQRT(Dt_)*_xlfn.NORM.INV(RAND(),0,1))</f>
        <v>113.104886526517</v>
      </c>
      <c r="J202" s="25">
        <f ca="1">MAX(k_-I202,0)*EXP(-rs_*T_)</f>
        <v>0</v>
      </c>
      <c r="K202" s="25">
        <v>12.7239389765798</v>
      </c>
      <c r="L202" s="25">
        <v>12.1539389765798</v>
      </c>
      <c r="M202" s="28">
        <v>0</v>
      </c>
      <c r="N202" s="28">
        <v>0</v>
      </c>
    </row>
    <row r="203" spans="7:14">
      <c r="G203" s="24">
        <v>202</v>
      </c>
      <c r="H203" s="25">
        <f>S0_</f>
        <v>100</v>
      </c>
      <c r="I203" s="25">
        <f ca="1">S0_*EXP((mu_-sigma_^2/2)*Dt_+sigma_*SQRT(Dt_)*_xlfn.NORM.INV(RAND(),0,1))</f>
        <v>116.22553841423</v>
      </c>
      <c r="J203" s="25">
        <f ca="1">MAX(k_-I203,0)*EXP(-rs_*T_)</f>
        <v>0</v>
      </c>
      <c r="K203" s="25">
        <v>15.7538762527295</v>
      </c>
      <c r="L203" s="25">
        <v>15.1838762527295</v>
      </c>
      <c r="M203" s="28">
        <v>0</v>
      </c>
      <c r="N203" s="28">
        <v>0</v>
      </c>
    </row>
    <row r="204" spans="7:14">
      <c r="G204" s="24">
        <v>203</v>
      </c>
      <c r="H204" s="25">
        <f>S0_</f>
        <v>100</v>
      </c>
      <c r="I204" s="25">
        <f ca="1">S0_*EXP((mu_-sigma_^2/2)*Dt_+sigma_*SQRT(Dt_)*_xlfn.NORM.INV(RAND(),0,1))</f>
        <v>96.710955693661</v>
      </c>
      <c r="J204" s="25">
        <f ca="1">MAX(k_-I204,0)*EXP(-rs_*T_)</f>
        <v>0.280642042030896</v>
      </c>
      <c r="K204" s="25">
        <v>-3.19343467495448</v>
      </c>
      <c r="L204" s="25">
        <v>-3.48279263292358</v>
      </c>
      <c r="M204" s="28">
        <v>1</v>
      </c>
      <c r="N204" s="28">
        <v>1</v>
      </c>
    </row>
    <row r="205" spans="7:14">
      <c r="G205" s="24">
        <v>204</v>
      </c>
      <c r="H205" s="25">
        <f>S0_</f>
        <v>100</v>
      </c>
      <c r="I205" s="25">
        <f ca="1">S0_*EXP((mu_-sigma_^2/2)*Dt_+sigma_*SQRT(Dt_)*_xlfn.NORM.INV(RAND(),0,1))</f>
        <v>103.420701097181</v>
      </c>
      <c r="J205" s="25">
        <f ca="1">MAX(k_-I205,0)*EXP(-rs_*T_)</f>
        <v>0</v>
      </c>
      <c r="K205" s="25">
        <v>3.32126431843425</v>
      </c>
      <c r="L205" s="25">
        <v>2.75126431843425</v>
      </c>
      <c r="M205" s="28">
        <v>0</v>
      </c>
      <c r="N205" s="28">
        <v>0</v>
      </c>
    </row>
    <row r="206" spans="7:14">
      <c r="G206" s="24">
        <v>205</v>
      </c>
      <c r="H206" s="25">
        <f>S0_</f>
        <v>100</v>
      </c>
      <c r="I206" s="25">
        <f ca="1">S0_*EXP((mu_-sigma_^2/2)*Dt_+sigma_*SQRT(Dt_)*_xlfn.NORM.INV(RAND(),0,1))</f>
        <v>102.402559042221</v>
      </c>
      <c r="J206" s="25">
        <f ca="1">MAX(k_-I206,0)*EXP(-rs_*T_)</f>
        <v>0</v>
      </c>
      <c r="K206" s="25">
        <v>2.33271875944819</v>
      </c>
      <c r="L206" s="25">
        <v>1.76271875944819</v>
      </c>
      <c r="M206" s="28">
        <v>0</v>
      </c>
      <c r="N206" s="28">
        <v>0</v>
      </c>
    </row>
    <row r="207" spans="7:14">
      <c r="G207" s="24">
        <v>206</v>
      </c>
      <c r="H207" s="25">
        <f>S0_</f>
        <v>100</v>
      </c>
      <c r="I207" s="25">
        <f ca="1">S0_*EXP((mu_-sigma_^2/2)*Dt_+sigma_*SQRT(Dt_)*_xlfn.NORM.INV(RAND(),0,1))</f>
        <v>96.7456136715447</v>
      </c>
      <c r="J207" s="25">
        <f ca="1">MAX(k_-I207,0)*EXP(-rs_*T_)</f>
        <v>0.246991541147023</v>
      </c>
      <c r="K207" s="25">
        <v>-3.15978417407061</v>
      </c>
      <c r="L207" s="25">
        <v>-3.48279263292358</v>
      </c>
      <c r="M207" s="28">
        <v>1</v>
      </c>
      <c r="N207" s="28">
        <v>1</v>
      </c>
    </row>
    <row r="208" spans="7:14">
      <c r="G208" s="24">
        <v>207</v>
      </c>
      <c r="H208" s="25">
        <f>S0_</f>
        <v>100</v>
      </c>
      <c r="I208" s="25">
        <f ca="1">S0_*EXP((mu_-sigma_^2/2)*Dt_+sigma_*SQRT(Dt_)*_xlfn.NORM.INV(RAND(),0,1))</f>
        <v>112.000981502348</v>
      </c>
      <c r="J208" s="25">
        <f ca="1">MAX(k_-I208,0)*EXP(-rs_*T_)</f>
        <v>0</v>
      </c>
      <c r="K208" s="25">
        <v>11.6521235026305</v>
      </c>
      <c r="L208" s="25">
        <v>11.0821235026305</v>
      </c>
      <c r="M208" s="28">
        <v>0</v>
      </c>
      <c r="N208" s="28">
        <v>0</v>
      </c>
    </row>
    <row r="209" spans="7:14">
      <c r="G209" s="24">
        <v>208</v>
      </c>
      <c r="H209" s="25">
        <f>S0_</f>
        <v>100</v>
      </c>
      <c r="I209" s="25">
        <f ca="1">S0_*EXP((mu_-sigma_^2/2)*Dt_+sigma_*SQRT(Dt_)*_xlfn.NORM.INV(RAND(),0,1))</f>
        <v>104.203523437155</v>
      </c>
      <c r="J209" s="25">
        <f ca="1">MAX(k_-I209,0)*EXP(-rs_*T_)</f>
        <v>0</v>
      </c>
      <c r="K209" s="25">
        <v>4.08133070002201</v>
      </c>
      <c r="L209" s="25">
        <v>3.51133070002201</v>
      </c>
      <c r="M209" s="28">
        <v>0</v>
      </c>
      <c r="N209" s="28">
        <v>0</v>
      </c>
    </row>
    <row r="210" spans="7:14">
      <c r="G210" s="24">
        <v>209</v>
      </c>
      <c r="H210" s="25">
        <f>S0_</f>
        <v>100</v>
      </c>
      <c r="I210" s="25">
        <f ca="1">S0_*EXP((mu_-sigma_^2/2)*Dt_+sigma_*SQRT(Dt_)*_xlfn.NORM.INV(RAND(),0,1))</f>
        <v>111.809218624596</v>
      </c>
      <c r="J210" s="25">
        <f ca="1">MAX(k_-I210,0)*EXP(-rs_*T_)</f>
        <v>0</v>
      </c>
      <c r="K210" s="25">
        <v>11.4659350034359</v>
      </c>
      <c r="L210" s="25">
        <v>10.8959350034359</v>
      </c>
      <c r="M210" s="28">
        <v>0</v>
      </c>
      <c r="N210" s="28">
        <v>0</v>
      </c>
    </row>
    <row r="211" spans="7:14">
      <c r="G211" s="24">
        <v>210</v>
      </c>
      <c r="H211" s="25">
        <f>S0_</f>
        <v>100</v>
      </c>
      <c r="I211" s="25">
        <f ca="1">S0_*EXP((mu_-sigma_^2/2)*Dt_+sigma_*SQRT(Dt_)*_xlfn.NORM.INV(RAND(),0,1))</f>
        <v>108.67322593238</v>
      </c>
      <c r="J211" s="25">
        <f ca="1">MAX(k_-I211,0)*EXP(-rs_*T_)</f>
        <v>0</v>
      </c>
      <c r="K211" s="25">
        <v>8.42110286650617</v>
      </c>
      <c r="L211" s="25">
        <v>7.85110286650617</v>
      </c>
      <c r="M211" s="28">
        <v>0</v>
      </c>
      <c r="N211" s="28">
        <v>0</v>
      </c>
    </row>
    <row r="212" spans="7:14">
      <c r="G212" s="24">
        <v>211</v>
      </c>
      <c r="H212" s="25">
        <f>S0_</f>
        <v>100</v>
      </c>
      <c r="I212" s="25">
        <f ca="1">S0_*EXP((mu_-sigma_^2/2)*Dt_+sigma_*SQRT(Dt_)*_xlfn.NORM.INV(RAND(),0,1))</f>
        <v>97.947745121679</v>
      </c>
      <c r="J212" s="25">
        <f ca="1">MAX(k_-I212,0)*EXP(-rs_*T_)</f>
        <v>0</v>
      </c>
      <c r="K212" s="25">
        <v>-1.99259763015165</v>
      </c>
      <c r="L212" s="25">
        <v>-2.56259763015165</v>
      </c>
      <c r="M212" s="28">
        <v>1</v>
      </c>
      <c r="N212" s="28">
        <v>1</v>
      </c>
    </row>
    <row r="213" spans="7:14">
      <c r="G213" s="24">
        <v>212</v>
      </c>
      <c r="H213" s="25">
        <f>S0_</f>
        <v>100</v>
      </c>
      <c r="I213" s="25">
        <f ca="1">S0_*EXP((mu_-sigma_^2/2)*Dt_+sigma_*SQRT(Dt_)*_xlfn.NORM.INV(RAND(),0,1))</f>
        <v>101.229027021506</v>
      </c>
      <c r="J213" s="25">
        <f ca="1">MAX(k_-I213,0)*EXP(-rs_*T_)</f>
        <v>0</v>
      </c>
      <c r="K213" s="25">
        <v>1.19330028463563</v>
      </c>
      <c r="L213" s="25">
        <v>0.623300284635632</v>
      </c>
      <c r="M213" s="28">
        <v>0</v>
      </c>
      <c r="N213" s="28">
        <v>0</v>
      </c>
    </row>
    <row r="214" spans="7:14">
      <c r="G214" s="24">
        <v>213</v>
      </c>
      <c r="H214" s="25">
        <f>S0_</f>
        <v>100</v>
      </c>
      <c r="I214" s="25">
        <f ca="1">S0_*EXP((mu_-sigma_^2/2)*Dt_+sigma_*SQRT(Dt_)*_xlfn.NORM.INV(RAND(),0,1))</f>
        <v>107.250626815665</v>
      </c>
      <c r="J214" s="25">
        <f ca="1">MAX(k_-I214,0)*EXP(-rs_*T_)</f>
        <v>0</v>
      </c>
      <c r="K214" s="25">
        <v>7.0398574575824</v>
      </c>
      <c r="L214" s="25">
        <v>6.4698574575824</v>
      </c>
      <c r="M214" s="28">
        <v>0</v>
      </c>
      <c r="N214" s="28">
        <v>0</v>
      </c>
    </row>
    <row r="215" spans="7:14">
      <c r="G215" s="24">
        <v>214</v>
      </c>
      <c r="H215" s="25">
        <f>S0_</f>
        <v>100</v>
      </c>
      <c r="I215" s="25">
        <f ca="1">S0_*EXP((mu_-sigma_^2/2)*Dt_+sigma_*SQRT(Dt_)*_xlfn.NORM.INV(RAND(),0,1))</f>
        <v>104.922986396512</v>
      </c>
      <c r="J215" s="25">
        <f ca="1">MAX(k_-I215,0)*EXP(-rs_*T_)</f>
        <v>0</v>
      </c>
      <c r="K215" s="25">
        <v>4.77987950258089</v>
      </c>
      <c r="L215" s="25">
        <v>4.20987950258089</v>
      </c>
      <c r="M215" s="28">
        <v>0</v>
      </c>
      <c r="N215" s="28">
        <v>0</v>
      </c>
    </row>
    <row r="216" spans="7:14">
      <c r="G216" s="24">
        <v>215</v>
      </c>
      <c r="H216" s="25">
        <f>S0_</f>
        <v>100</v>
      </c>
      <c r="I216" s="25">
        <f ca="1">S0_*EXP((mu_-sigma_^2/2)*Dt_+sigma_*SQRT(Dt_)*_xlfn.NORM.INV(RAND(),0,1))</f>
        <v>107.305365341301</v>
      </c>
      <c r="J216" s="25">
        <f ca="1">MAX(k_-I216,0)*EXP(-rs_*T_)</f>
        <v>0</v>
      </c>
      <c r="K216" s="25">
        <v>7.09300478231909</v>
      </c>
      <c r="L216" s="25">
        <v>6.52300478231909</v>
      </c>
      <c r="M216" s="28">
        <v>0</v>
      </c>
      <c r="N216" s="28">
        <v>0</v>
      </c>
    </row>
    <row r="217" spans="7:14">
      <c r="G217" s="24">
        <v>216</v>
      </c>
      <c r="H217" s="25">
        <f>S0_</f>
        <v>100</v>
      </c>
      <c r="I217" s="25">
        <f ca="1">S0_*EXP((mu_-sigma_^2/2)*Dt_+sigma_*SQRT(Dt_)*_xlfn.NORM.INV(RAND(),0,1))</f>
        <v>101.559502816458</v>
      </c>
      <c r="J217" s="25">
        <f ca="1">MAX(k_-I217,0)*EXP(-rs_*T_)</f>
        <v>0</v>
      </c>
      <c r="K217" s="25">
        <v>1.51416943826711</v>
      </c>
      <c r="L217" s="25">
        <v>0.944169438267115</v>
      </c>
      <c r="M217" s="28">
        <v>0</v>
      </c>
      <c r="N217" s="28">
        <v>0</v>
      </c>
    </row>
    <row r="218" spans="7:14">
      <c r="G218" s="24">
        <v>217</v>
      </c>
      <c r="H218" s="25">
        <f>S0_</f>
        <v>100</v>
      </c>
      <c r="I218" s="25">
        <f ca="1">S0_*EXP((mu_-sigma_^2/2)*Dt_+sigma_*SQRT(Dt_)*_xlfn.NORM.INV(RAND(),0,1))</f>
        <v>100.470929496556</v>
      </c>
      <c r="J218" s="25">
        <f ca="1">MAX(k_-I218,0)*EXP(-rs_*T_)</f>
        <v>0</v>
      </c>
      <c r="K218" s="25">
        <v>0.457239989398143</v>
      </c>
      <c r="L218" s="25">
        <v>-0.112760010601857</v>
      </c>
      <c r="M218" s="28">
        <v>0</v>
      </c>
      <c r="N218" s="28">
        <v>1</v>
      </c>
    </row>
    <row r="219" spans="7:14">
      <c r="G219" s="24">
        <v>218</v>
      </c>
      <c r="H219" s="25">
        <f>S0_</f>
        <v>100</v>
      </c>
      <c r="I219" s="25">
        <f ca="1">S0_*EXP((mu_-sigma_^2/2)*Dt_+sigma_*SQRT(Dt_)*_xlfn.NORM.INV(RAND(),0,1))</f>
        <v>109.107149221196</v>
      </c>
      <c r="J219" s="25">
        <f ca="1">MAX(k_-I219,0)*EXP(-rs_*T_)</f>
        <v>0</v>
      </c>
      <c r="K219" s="25">
        <v>8.84241238614518</v>
      </c>
      <c r="L219" s="25">
        <v>8.27241238614518</v>
      </c>
      <c r="M219" s="28">
        <v>0</v>
      </c>
      <c r="N219" s="28">
        <v>0</v>
      </c>
    </row>
    <row r="220" spans="7:14">
      <c r="G220" s="24">
        <v>219</v>
      </c>
      <c r="H220" s="25">
        <f>S0_</f>
        <v>100</v>
      </c>
      <c r="I220" s="25">
        <f ca="1">S0_*EXP((mu_-sigma_^2/2)*Dt_+sigma_*SQRT(Dt_)*_xlfn.NORM.INV(RAND(),0,1))</f>
        <v>100.610731436939</v>
      </c>
      <c r="J220" s="25">
        <f ca="1">MAX(k_-I220,0)*EXP(-rs_*T_)</f>
        <v>0</v>
      </c>
      <c r="K220" s="25">
        <v>0.592978010070532</v>
      </c>
      <c r="L220" s="25">
        <v>0.0229780100705321</v>
      </c>
      <c r="M220" s="28">
        <v>0</v>
      </c>
      <c r="N220" s="28">
        <v>0</v>
      </c>
    </row>
    <row r="221" spans="7:14">
      <c r="G221" s="24">
        <v>220</v>
      </c>
      <c r="H221" s="25">
        <f>S0_</f>
        <v>100</v>
      </c>
      <c r="I221" s="25">
        <f ca="1">S0_*EXP((mu_-sigma_^2/2)*Dt_+sigma_*SQRT(Dt_)*_xlfn.NORM.INV(RAND(),0,1))</f>
        <v>100.264414626513</v>
      </c>
      <c r="J221" s="25">
        <f ca="1">MAX(k_-I221,0)*EXP(-rs_*T_)</f>
        <v>0</v>
      </c>
      <c r="K221" s="25">
        <v>0.256728325381658</v>
      </c>
      <c r="L221" s="25">
        <v>-0.313271674618342</v>
      </c>
      <c r="M221" s="28">
        <v>0</v>
      </c>
      <c r="N221" s="28">
        <v>1</v>
      </c>
    </row>
    <row r="222" spans="7:14">
      <c r="G222" s="24">
        <v>221</v>
      </c>
      <c r="H222" s="25">
        <f>S0_</f>
        <v>100</v>
      </c>
      <c r="I222" s="25">
        <f ca="1">S0_*EXP((mu_-sigma_^2/2)*Dt_+sigma_*SQRT(Dt_)*_xlfn.NORM.INV(RAND(),0,1))</f>
        <v>110.023307921544</v>
      </c>
      <c r="J222" s="25">
        <f ca="1">MAX(k_-I222,0)*EXP(-rs_*T_)</f>
        <v>0</v>
      </c>
      <c r="K222" s="25">
        <v>9.73193915713257</v>
      </c>
      <c r="L222" s="25">
        <v>9.16193915713257</v>
      </c>
      <c r="M222" s="28">
        <v>0</v>
      </c>
      <c r="N222" s="28">
        <v>0</v>
      </c>
    </row>
    <row r="223" spans="7:14">
      <c r="G223" s="24">
        <v>222</v>
      </c>
      <c r="H223" s="25">
        <f>S0_</f>
        <v>100</v>
      </c>
      <c r="I223" s="25">
        <f ca="1">S0_*EXP((mu_-sigma_^2/2)*Dt_+sigma_*SQRT(Dt_)*_xlfn.NORM.INV(RAND(),0,1))</f>
        <v>97.3298067982229</v>
      </c>
      <c r="J223" s="25">
        <f ca="1">MAX(k_-I223,0)*EXP(-rs_*T_)</f>
        <v>0</v>
      </c>
      <c r="K223" s="25">
        <v>-2.592573028873</v>
      </c>
      <c r="L223" s="25">
        <v>-3.162573028873</v>
      </c>
      <c r="M223" s="28">
        <v>1</v>
      </c>
      <c r="N223" s="28">
        <v>1</v>
      </c>
    </row>
    <row r="224" spans="7:14">
      <c r="G224" s="24">
        <v>223</v>
      </c>
      <c r="H224" s="25">
        <f>S0_</f>
        <v>100</v>
      </c>
      <c r="I224" s="25">
        <f ca="1">S0_*EXP((mu_-sigma_^2/2)*Dt_+sigma_*SQRT(Dt_)*_xlfn.NORM.INV(RAND(),0,1))</f>
        <v>112.130280408103</v>
      </c>
      <c r="J224" s="25">
        <f ca="1">MAX(k_-I224,0)*EXP(-rs_*T_)</f>
        <v>0</v>
      </c>
      <c r="K224" s="25">
        <v>11.7776638026735</v>
      </c>
      <c r="L224" s="25">
        <v>11.2076638026735</v>
      </c>
      <c r="M224" s="28">
        <v>0</v>
      </c>
      <c r="N224" s="28">
        <v>0</v>
      </c>
    </row>
    <row r="225" spans="7:14">
      <c r="G225" s="24">
        <v>224</v>
      </c>
      <c r="H225" s="25">
        <f>S0_</f>
        <v>100</v>
      </c>
      <c r="I225" s="25">
        <f ca="1">S0_*EXP((mu_-sigma_^2/2)*Dt_+sigma_*SQRT(Dt_)*_xlfn.NORM.INV(RAND(),0,1))</f>
        <v>93.106991118651</v>
      </c>
      <c r="J225" s="25">
        <f ca="1">MAX(k_-I225,0)*EXP(-rs_*T_)</f>
        <v>3.77984252983311</v>
      </c>
      <c r="K225" s="25">
        <v>-6.69263516275669</v>
      </c>
      <c r="L225" s="25">
        <v>-3.48279263292358</v>
      </c>
      <c r="M225" s="28">
        <v>1</v>
      </c>
      <c r="N225" s="28">
        <v>1</v>
      </c>
    </row>
    <row r="226" spans="7:14">
      <c r="G226" s="24">
        <v>225</v>
      </c>
      <c r="H226" s="25">
        <f>S0_</f>
        <v>100</v>
      </c>
      <c r="I226" s="25">
        <f ca="1">S0_*EXP((mu_-sigma_^2/2)*Dt_+sigma_*SQRT(Dt_)*_xlfn.NORM.INV(RAND(),0,1))</f>
        <v>99.6660448713894</v>
      </c>
      <c r="J226" s="25">
        <f ca="1">MAX(k_-I226,0)*EXP(-rs_*T_)</f>
        <v>0</v>
      </c>
      <c r="K226" s="25">
        <v>-0.324247346114638</v>
      </c>
      <c r="L226" s="25">
        <v>-0.894247346114637</v>
      </c>
      <c r="M226" s="28">
        <v>1</v>
      </c>
      <c r="N226" s="28">
        <v>1</v>
      </c>
    </row>
    <row r="227" spans="7:14">
      <c r="G227" s="24">
        <v>226</v>
      </c>
      <c r="H227" s="25">
        <f>S0_</f>
        <v>100</v>
      </c>
      <c r="I227" s="25">
        <f ca="1">S0_*EXP((mu_-sigma_^2/2)*Dt_+sigma_*SQRT(Dt_)*_xlfn.NORM.INV(RAND(),0,1))</f>
        <v>116.274775663654</v>
      </c>
      <c r="J227" s="25">
        <f ca="1">MAX(k_-I227,0)*EXP(-rs_*T_)</f>
        <v>0</v>
      </c>
      <c r="K227" s="25">
        <v>15.8016822185256</v>
      </c>
      <c r="L227" s="25">
        <v>15.2316822185256</v>
      </c>
      <c r="M227" s="28">
        <v>0</v>
      </c>
      <c r="N227" s="28">
        <v>0</v>
      </c>
    </row>
    <row r="228" spans="7:14">
      <c r="G228" s="24">
        <v>227</v>
      </c>
      <c r="H228" s="25">
        <f>S0_</f>
        <v>100</v>
      </c>
      <c r="I228" s="25">
        <f ca="1">S0_*EXP((mu_-sigma_^2/2)*Dt_+sigma_*SQRT(Dt_)*_xlfn.NORM.INV(RAND(),0,1))</f>
        <v>102.869318965296</v>
      </c>
      <c r="J228" s="25">
        <f ca="1">MAX(k_-I228,0)*EXP(-rs_*T_)</f>
        <v>0</v>
      </c>
      <c r="K228" s="25">
        <v>2.78591038120767</v>
      </c>
      <c r="L228" s="25">
        <v>2.21591038120768</v>
      </c>
      <c r="M228" s="28">
        <v>0</v>
      </c>
      <c r="N228" s="28">
        <v>0</v>
      </c>
    </row>
    <row r="229" spans="7:14">
      <c r="G229" s="24">
        <v>228</v>
      </c>
      <c r="H229" s="25">
        <f>S0_</f>
        <v>100</v>
      </c>
      <c r="I229" s="25">
        <f ca="1">S0_*EXP((mu_-sigma_^2/2)*Dt_+sigma_*SQRT(Dt_)*_xlfn.NORM.INV(RAND(),0,1))</f>
        <v>98.1345567308272</v>
      </c>
      <c r="J229" s="25">
        <f ca="1">MAX(k_-I229,0)*EXP(-rs_*T_)</f>
        <v>0</v>
      </c>
      <c r="K229" s="25">
        <v>-1.81121647052781</v>
      </c>
      <c r="L229" s="25">
        <v>-2.38121647052781</v>
      </c>
      <c r="M229" s="28">
        <v>1</v>
      </c>
      <c r="N229" s="28">
        <v>1</v>
      </c>
    </row>
    <row r="230" spans="7:14">
      <c r="G230" s="24">
        <v>229</v>
      </c>
      <c r="H230" s="25">
        <f>S0_</f>
        <v>100</v>
      </c>
      <c r="I230" s="25">
        <f ca="1">S0_*EXP((mu_-sigma_^2/2)*Dt_+sigma_*SQRT(Dt_)*_xlfn.NORM.INV(RAND(),0,1))</f>
        <v>110.58079204923</v>
      </c>
      <c r="J230" s="25">
        <f ca="1">MAX(k_-I230,0)*EXP(-rs_*T_)</f>
        <v>0</v>
      </c>
      <c r="K230" s="25">
        <v>10.2732177104982</v>
      </c>
      <c r="L230" s="25">
        <v>9.70321771049821</v>
      </c>
      <c r="M230" s="28">
        <v>0</v>
      </c>
      <c r="N230" s="28">
        <v>0</v>
      </c>
    </row>
    <row r="231" spans="7:14">
      <c r="G231" s="24">
        <v>230</v>
      </c>
      <c r="H231" s="25">
        <f>S0_</f>
        <v>100</v>
      </c>
      <c r="I231" s="25">
        <f ca="1">S0_*EXP((mu_-sigma_^2/2)*Dt_+sigma_*SQRT(Dt_)*_xlfn.NORM.INV(RAND(),0,1))</f>
        <v>98.5433186177142</v>
      </c>
      <c r="J231" s="25">
        <f ca="1">MAX(k_-I231,0)*EXP(-rs_*T_)</f>
        <v>0</v>
      </c>
      <c r="K231" s="25">
        <v>-1.41433693294635</v>
      </c>
      <c r="L231" s="25">
        <v>-1.98433693294635</v>
      </c>
      <c r="M231" s="28">
        <v>1</v>
      </c>
      <c r="N231" s="28">
        <v>1</v>
      </c>
    </row>
    <row r="232" spans="7:14">
      <c r="G232" s="24">
        <v>231</v>
      </c>
      <c r="H232" s="25">
        <f>S0_</f>
        <v>100</v>
      </c>
      <c r="I232" s="25">
        <f ca="1">S0_*EXP((mu_-sigma_^2/2)*Dt_+sigma_*SQRT(Dt_)*_xlfn.NORM.INV(RAND(),0,1))</f>
        <v>98.85658045302</v>
      </c>
      <c r="J232" s="25">
        <f ca="1">MAX(k_-I232,0)*EXP(-rs_*T_)</f>
        <v>0</v>
      </c>
      <c r="K232" s="25">
        <v>-1.1101813442614</v>
      </c>
      <c r="L232" s="25">
        <v>-1.6801813442614</v>
      </c>
      <c r="M232" s="28">
        <v>1</v>
      </c>
      <c r="N232" s="28">
        <v>1</v>
      </c>
    </row>
    <row r="233" spans="7:14">
      <c r="G233" s="24">
        <v>232</v>
      </c>
      <c r="H233" s="25">
        <f>S0_</f>
        <v>100</v>
      </c>
      <c r="I233" s="25">
        <f ca="1">S0_*EXP((mu_-sigma_^2/2)*Dt_+sigma_*SQRT(Dt_)*_xlfn.NORM.INV(RAND(),0,1))</f>
        <v>97.9178467301601</v>
      </c>
      <c r="J233" s="25">
        <f ca="1">MAX(k_-I233,0)*EXP(-rs_*T_)</f>
        <v>0</v>
      </c>
      <c r="K233" s="25">
        <v>-2.02162690166914</v>
      </c>
      <c r="L233" s="25">
        <v>-2.59162690166914</v>
      </c>
      <c r="M233" s="28">
        <v>1</v>
      </c>
      <c r="N233" s="28">
        <v>1</v>
      </c>
    </row>
    <row r="234" spans="7:14">
      <c r="G234" s="24">
        <v>233</v>
      </c>
      <c r="H234" s="25">
        <f>S0_</f>
        <v>100</v>
      </c>
      <c r="I234" s="25">
        <f ca="1">S0_*EXP((mu_-sigma_^2/2)*Dt_+sigma_*SQRT(Dt_)*_xlfn.NORM.INV(RAND(),0,1))</f>
        <v>98.6831950713454</v>
      </c>
      <c r="J234" s="25">
        <f ca="1">MAX(k_-I234,0)*EXP(-rs_*T_)</f>
        <v>0</v>
      </c>
      <c r="K234" s="25">
        <v>-1.27852656506082</v>
      </c>
      <c r="L234" s="25">
        <v>-1.84852656506082</v>
      </c>
      <c r="M234" s="28">
        <v>1</v>
      </c>
      <c r="N234" s="28">
        <v>1</v>
      </c>
    </row>
    <row r="235" spans="7:14">
      <c r="G235" s="24">
        <v>234</v>
      </c>
      <c r="H235" s="25">
        <f>S0_</f>
        <v>100</v>
      </c>
      <c r="I235" s="25">
        <f ca="1">S0_*EXP((mu_-sigma_^2/2)*Dt_+sigma_*SQRT(Dt_)*_xlfn.NORM.INV(RAND(),0,1))</f>
        <v>104.173698853397</v>
      </c>
      <c r="J235" s="25">
        <f ca="1">MAX(k_-I235,0)*EXP(-rs_*T_)</f>
        <v>0</v>
      </c>
      <c r="K235" s="25">
        <v>4.05237309073879</v>
      </c>
      <c r="L235" s="25">
        <v>3.48237309073879</v>
      </c>
      <c r="M235" s="28">
        <v>0</v>
      </c>
      <c r="N235" s="28">
        <v>0</v>
      </c>
    </row>
    <row r="236" spans="7:14">
      <c r="G236" s="24">
        <v>235</v>
      </c>
      <c r="H236" s="25">
        <f>S0_</f>
        <v>100</v>
      </c>
      <c r="I236" s="25">
        <f ca="1">S0_*EXP((mu_-sigma_^2/2)*Dt_+sigma_*SQRT(Dt_)*_xlfn.NORM.INV(RAND(),0,1))</f>
        <v>97.5371966436788</v>
      </c>
      <c r="J236" s="25">
        <f ca="1">MAX(k_-I236,0)*EXP(-rs_*T_)</f>
        <v>0</v>
      </c>
      <c r="K236" s="25">
        <v>-2.39121182421062</v>
      </c>
      <c r="L236" s="25">
        <v>-2.96121182421062</v>
      </c>
      <c r="M236" s="28">
        <v>1</v>
      </c>
      <c r="N236" s="28">
        <v>1</v>
      </c>
    </row>
    <row r="237" spans="7:14">
      <c r="G237" s="24">
        <v>236</v>
      </c>
      <c r="H237" s="25">
        <f>S0_</f>
        <v>100</v>
      </c>
      <c r="I237" s="25">
        <f ca="1">S0_*EXP((mu_-sigma_^2/2)*Dt_+sigma_*SQRT(Dt_)*_xlfn.NORM.INV(RAND(),0,1))</f>
        <v>116.485718833036</v>
      </c>
      <c r="J237" s="25">
        <f ca="1">MAX(k_-I237,0)*EXP(-rs_*T_)</f>
        <v>0</v>
      </c>
      <c r="K237" s="25">
        <v>16.0064934551057</v>
      </c>
      <c r="L237" s="25">
        <v>15.4364934551057</v>
      </c>
      <c r="M237" s="28">
        <v>0</v>
      </c>
      <c r="N237" s="28">
        <v>0</v>
      </c>
    </row>
    <row r="238" spans="7:14">
      <c r="G238" s="24">
        <v>237</v>
      </c>
      <c r="H238" s="25">
        <f>S0_</f>
        <v>100</v>
      </c>
      <c r="I238" s="25">
        <f ca="1">S0_*EXP((mu_-sigma_^2/2)*Dt_+sigma_*SQRT(Dt_)*_xlfn.NORM.INV(RAND(),0,1))</f>
        <v>107.837152000618</v>
      </c>
      <c r="J238" s="25">
        <f ca="1">MAX(k_-I238,0)*EXP(-rs_*T_)</f>
        <v>0</v>
      </c>
      <c r="K238" s="25">
        <v>7.60933287016718</v>
      </c>
      <c r="L238" s="25">
        <v>7.03933287016718</v>
      </c>
      <c r="M238" s="28">
        <v>0</v>
      </c>
      <c r="N238" s="28">
        <v>0</v>
      </c>
    </row>
    <row r="239" spans="7:14">
      <c r="G239" s="24">
        <v>238</v>
      </c>
      <c r="H239" s="25">
        <f>S0_</f>
        <v>100</v>
      </c>
      <c r="I239" s="25">
        <f ca="1">S0_*EXP((mu_-sigma_^2/2)*Dt_+sigma_*SQRT(Dt_)*_xlfn.NORM.INV(RAND(),0,1))</f>
        <v>113.324362040157</v>
      </c>
      <c r="J239" s="25">
        <f ca="1">MAX(k_-I239,0)*EXP(-rs_*T_)</f>
        <v>0</v>
      </c>
      <c r="K239" s="25">
        <v>12.9370345296584</v>
      </c>
      <c r="L239" s="25">
        <v>12.3670345296584</v>
      </c>
      <c r="M239" s="28">
        <v>0</v>
      </c>
      <c r="N239" s="28">
        <v>0</v>
      </c>
    </row>
    <row r="240" spans="7:14">
      <c r="G240" s="24">
        <v>239</v>
      </c>
      <c r="H240" s="25">
        <f>S0_</f>
        <v>100</v>
      </c>
      <c r="I240" s="25">
        <f ca="1">S0_*EXP((mu_-sigma_^2/2)*Dt_+sigma_*SQRT(Dt_)*_xlfn.NORM.INV(RAND(),0,1))</f>
        <v>102.673524447342</v>
      </c>
      <c r="J240" s="25">
        <f ca="1">MAX(k_-I240,0)*EXP(-rs_*T_)</f>
        <v>0</v>
      </c>
      <c r="K240" s="25">
        <v>2.59580743805337</v>
      </c>
      <c r="L240" s="25">
        <v>2.02580743805337</v>
      </c>
      <c r="M240" s="28">
        <v>0</v>
      </c>
      <c r="N240" s="28">
        <v>0</v>
      </c>
    </row>
    <row r="241" spans="7:14">
      <c r="G241" s="24">
        <v>240</v>
      </c>
      <c r="H241" s="25">
        <f>S0_</f>
        <v>100</v>
      </c>
      <c r="I241" s="25">
        <f ca="1">S0_*EXP((mu_-sigma_^2/2)*Dt_+sigma_*SQRT(Dt_)*_xlfn.NORM.INV(RAND(),0,1))</f>
        <v>102.42813812999</v>
      </c>
      <c r="J241" s="25">
        <f ca="1">MAX(k_-I241,0)*EXP(-rs_*T_)</f>
        <v>0</v>
      </c>
      <c r="K241" s="25">
        <v>2.35755428558542</v>
      </c>
      <c r="L241" s="25">
        <v>1.78755428558542</v>
      </c>
      <c r="M241" s="28">
        <v>0</v>
      </c>
      <c r="N241" s="28">
        <v>0</v>
      </c>
    </row>
    <row r="242" spans="7:14">
      <c r="G242" s="24">
        <v>241</v>
      </c>
      <c r="H242" s="25">
        <f>S0_</f>
        <v>100</v>
      </c>
      <c r="I242" s="25">
        <f ca="1">S0_*EXP((mu_-sigma_^2/2)*Dt_+sigma_*SQRT(Dt_)*_xlfn.NORM.INV(RAND(),0,1))</f>
        <v>114.801640195503</v>
      </c>
      <c r="J242" s="25">
        <f ca="1">MAX(k_-I242,0)*EXP(-rs_*T_)</f>
        <v>0</v>
      </c>
      <c r="K242" s="25">
        <v>14.3713695055488</v>
      </c>
      <c r="L242" s="25">
        <v>13.8013695055488</v>
      </c>
      <c r="M242" s="28">
        <v>0</v>
      </c>
      <c r="N242" s="28">
        <v>0</v>
      </c>
    </row>
    <row r="243" spans="7:14">
      <c r="G243" s="24">
        <v>242</v>
      </c>
      <c r="H243" s="25">
        <f>S0_</f>
        <v>100</v>
      </c>
      <c r="I243" s="25">
        <f ca="1">S0_*EXP((mu_-sigma_^2/2)*Dt_+sigma_*SQRT(Dt_)*_xlfn.NORM.INV(RAND(),0,1))</f>
        <v>110.055643972561</v>
      </c>
      <c r="J243" s="25">
        <f ca="1">MAX(k_-I243,0)*EXP(-rs_*T_)</f>
        <v>0</v>
      </c>
      <c r="K243" s="25">
        <v>9.76333522752591</v>
      </c>
      <c r="L243" s="25">
        <v>9.19333522752591</v>
      </c>
      <c r="M243" s="28">
        <v>0</v>
      </c>
      <c r="N243" s="28">
        <v>0</v>
      </c>
    </row>
    <row r="244" spans="7:14">
      <c r="G244" s="24">
        <v>243</v>
      </c>
      <c r="H244" s="25">
        <f>S0_</f>
        <v>100</v>
      </c>
      <c r="I244" s="25">
        <f ca="1">S0_*EXP((mu_-sigma_^2/2)*Dt_+sigma_*SQRT(Dt_)*_xlfn.NORM.INV(RAND(),0,1))</f>
        <v>96.6641383215442</v>
      </c>
      <c r="J244" s="25">
        <f ca="1">MAX(k_-I244,0)*EXP(-rs_*T_)</f>
        <v>0.326098474229148</v>
      </c>
      <c r="K244" s="25">
        <v>-3.23889110715273</v>
      </c>
      <c r="L244" s="25">
        <v>-3.48279263292358</v>
      </c>
      <c r="M244" s="28">
        <v>1</v>
      </c>
      <c r="N244" s="28">
        <v>1</v>
      </c>
    </row>
    <row r="245" spans="7:14">
      <c r="G245" s="24">
        <v>244</v>
      </c>
      <c r="H245" s="25">
        <f>S0_</f>
        <v>100</v>
      </c>
      <c r="I245" s="25">
        <f ca="1">S0_*EXP((mu_-sigma_^2/2)*Dt_+sigma_*SQRT(Dt_)*_xlfn.NORM.INV(RAND(),0,1))</f>
        <v>104.000675060972</v>
      </c>
      <c r="J245" s="25">
        <f ca="1">MAX(k_-I245,0)*EXP(-rs_*T_)</f>
        <v>0</v>
      </c>
      <c r="K245" s="25">
        <v>3.88437894810669</v>
      </c>
      <c r="L245" s="25">
        <v>3.31437894810669</v>
      </c>
      <c r="M245" s="28">
        <v>0</v>
      </c>
      <c r="N245" s="28">
        <v>0</v>
      </c>
    </row>
    <row r="246" spans="7:14">
      <c r="G246" s="24">
        <v>245</v>
      </c>
      <c r="H246" s="25">
        <f>S0_</f>
        <v>100</v>
      </c>
      <c r="I246" s="25">
        <f ca="1">S0_*EXP((mu_-sigma_^2/2)*Dt_+sigma_*SQRT(Dt_)*_xlfn.NORM.INV(RAND(),0,1))</f>
        <v>106.894959604021</v>
      </c>
      <c r="J246" s="25">
        <f ca="1">MAX(k_-I246,0)*EXP(-rs_*T_)</f>
        <v>0</v>
      </c>
      <c r="K246" s="25">
        <v>6.69452917963252</v>
      </c>
      <c r="L246" s="25">
        <v>6.12452917963252</v>
      </c>
      <c r="M246" s="28">
        <v>0</v>
      </c>
      <c r="N246" s="28">
        <v>0</v>
      </c>
    </row>
    <row r="247" spans="7:14">
      <c r="G247" s="24">
        <v>246</v>
      </c>
      <c r="H247" s="25">
        <f>S0_</f>
        <v>100</v>
      </c>
      <c r="I247" s="25">
        <f ca="1">S0_*EXP((mu_-sigma_^2/2)*Dt_+sigma_*SQRT(Dt_)*_xlfn.NORM.INV(RAND(),0,1))</f>
        <v>94.7235194319471</v>
      </c>
      <c r="J247" s="25">
        <f ca="1">MAX(k_-I247,0)*EXP(-rs_*T_)</f>
        <v>2.21030527587274</v>
      </c>
      <c r="K247" s="25">
        <v>-5.12309790879633</v>
      </c>
      <c r="L247" s="25">
        <v>-3.48279263292358</v>
      </c>
      <c r="M247" s="28">
        <v>1</v>
      </c>
      <c r="N247" s="28">
        <v>1</v>
      </c>
    </row>
    <row r="248" spans="7:14">
      <c r="G248" s="24">
        <v>247</v>
      </c>
      <c r="H248" s="25">
        <f>S0_</f>
        <v>100</v>
      </c>
      <c r="I248" s="25">
        <f ca="1">S0_*EXP((mu_-sigma_^2/2)*Dt_+sigma_*SQRT(Dt_)*_xlfn.NORM.INV(RAND(),0,1))</f>
        <v>96.8308680201614</v>
      </c>
      <c r="J248" s="25">
        <f ca="1">MAX(k_-I248,0)*EXP(-rs_*T_)</f>
        <v>0.164215461621881</v>
      </c>
      <c r="K248" s="25">
        <v>-3.07700809454546</v>
      </c>
      <c r="L248" s="25">
        <v>-3.48279263292358</v>
      </c>
      <c r="M248" s="28">
        <v>1</v>
      </c>
      <c r="N248" s="28">
        <v>1</v>
      </c>
    </row>
    <row r="249" spans="7:14">
      <c r="G249" s="24">
        <v>248</v>
      </c>
      <c r="H249" s="25">
        <f>S0_</f>
        <v>100</v>
      </c>
      <c r="I249" s="25">
        <f ca="1">S0_*EXP((mu_-sigma_^2/2)*Dt_+sigma_*SQRT(Dt_)*_xlfn.NORM.INV(RAND(),0,1))</f>
        <v>100.401554866963</v>
      </c>
      <c r="J249" s="25">
        <f ca="1">MAX(k_-I249,0)*EXP(-rs_*T_)</f>
        <v>0</v>
      </c>
      <c r="K249" s="25">
        <v>0.389882019401737</v>
      </c>
      <c r="L249" s="25">
        <v>-0.180117980598263</v>
      </c>
      <c r="M249" s="28">
        <v>0</v>
      </c>
      <c r="N249" s="28">
        <v>1</v>
      </c>
    </row>
    <row r="250" spans="7:14">
      <c r="G250" s="24">
        <v>249</v>
      </c>
      <c r="H250" s="25">
        <f>S0_</f>
        <v>100</v>
      </c>
      <c r="I250" s="25">
        <f ca="1">S0_*EXP((mu_-sigma_^2/2)*Dt_+sigma_*SQRT(Dt_)*_xlfn.NORM.INV(RAND(),0,1))</f>
        <v>99.0024047280202</v>
      </c>
      <c r="J250" s="25">
        <f ca="1">MAX(k_-I250,0)*EXP(-rs_*T_)</f>
        <v>0</v>
      </c>
      <c r="K250" s="25">
        <v>-0.968596052954085</v>
      </c>
      <c r="L250" s="25">
        <v>-1.53859605295408</v>
      </c>
      <c r="M250" s="28">
        <v>1</v>
      </c>
      <c r="N250" s="28">
        <v>1</v>
      </c>
    </row>
    <row r="251" spans="7:14">
      <c r="G251" s="24">
        <v>250</v>
      </c>
      <c r="H251" s="25">
        <f>S0_</f>
        <v>100</v>
      </c>
      <c r="I251" s="25">
        <f ca="1">S0_*EXP((mu_-sigma_^2/2)*Dt_+sigma_*SQRT(Dt_)*_xlfn.NORM.INV(RAND(),0,1))</f>
        <v>109.229525421069</v>
      </c>
      <c r="J251" s="25">
        <f ca="1">MAX(k_-I251,0)*EXP(-rs_*T_)</f>
        <v>0</v>
      </c>
      <c r="K251" s="25">
        <v>8.96123121729041</v>
      </c>
      <c r="L251" s="25">
        <v>8.39123121729041</v>
      </c>
      <c r="M251" s="28">
        <v>0</v>
      </c>
      <c r="N251" s="28">
        <v>0</v>
      </c>
    </row>
    <row r="252" spans="7:14">
      <c r="G252" s="24">
        <v>251</v>
      </c>
      <c r="H252" s="25">
        <f>S0_</f>
        <v>100</v>
      </c>
      <c r="I252" s="25">
        <f ca="1">S0_*EXP((mu_-sigma_^2/2)*Dt_+sigma_*SQRT(Dt_)*_xlfn.NORM.INV(RAND(),0,1))</f>
        <v>112.387501111367</v>
      </c>
      <c r="J252" s="25">
        <f ca="1">MAX(k_-I252,0)*EXP(-rs_*T_)</f>
        <v>0</v>
      </c>
      <c r="K252" s="25">
        <v>12.0274073258411</v>
      </c>
      <c r="L252" s="25">
        <v>11.4574073258411</v>
      </c>
      <c r="M252" s="28">
        <v>0</v>
      </c>
      <c r="N252" s="28">
        <v>0</v>
      </c>
    </row>
    <row r="253" spans="7:14">
      <c r="G253" s="24">
        <v>252</v>
      </c>
      <c r="H253" s="25">
        <f>S0_</f>
        <v>100</v>
      </c>
      <c r="I253" s="25">
        <f ca="1">S0_*EXP((mu_-sigma_^2/2)*Dt_+sigma_*SQRT(Dt_)*_xlfn.NORM.INV(RAND(),0,1))</f>
        <v>100.979986367533</v>
      </c>
      <c r="J253" s="25">
        <f ca="1">MAX(k_-I253,0)*EXP(-rs_*T_)</f>
        <v>0</v>
      </c>
      <c r="K253" s="25">
        <v>0.951499023905375</v>
      </c>
      <c r="L253" s="25">
        <v>0.381499023905375</v>
      </c>
      <c r="M253" s="28">
        <v>0</v>
      </c>
      <c r="N253" s="28">
        <v>0</v>
      </c>
    </row>
    <row r="254" spans="7:14">
      <c r="G254" s="24">
        <v>253</v>
      </c>
      <c r="H254" s="25">
        <f>S0_</f>
        <v>100</v>
      </c>
      <c r="I254" s="25">
        <f ca="1">S0_*EXP((mu_-sigma_^2/2)*Dt_+sigma_*SQRT(Dt_)*_xlfn.NORM.INV(RAND(),0,1))</f>
        <v>106.0475326332</v>
      </c>
      <c r="J254" s="25">
        <f ca="1">MAX(k_-I254,0)*EXP(-rs_*T_)</f>
        <v>0</v>
      </c>
      <c r="K254" s="25">
        <v>5.87173616711702</v>
      </c>
      <c r="L254" s="25">
        <v>5.30173616711702</v>
      </c>
      <c r="M254" s="28">
        <v>0</v>
      </c>
      <c r="N254" s="28">
        <v>0</v>
      </c>
    </row>
    <row r="255" spans="7:14">
      <c r="G255" s="24">
        <v>254</v>
      </c>
      <c r="H255" s="25">
        <f>S0_</f>
        <v>100</v>
      </c>
      <c r="I255" s="25">
        <f ca="1">S0_*EXP((mu_-sigma_^2/2)*Dt_+sigma_*SQRT(Dt_)*_xlfn.NORM.INV(RAND(),0,1))</f>
        <v>114.220833969074</v>
      </c>
      <c r="J255" s="25">
        <f ca="1">MAX(k_-I255,0)*EXP(-rs_*T_)</f>
        <v>0</v>
      </c>
      <c r="K255" s="25">
        <v>13.8074468063831</v>
      </c>
      <c r="L255" s="25">
        <v>13.2374468063831</v>
      </c>
      <c r="M255" s="28">
        <v>0</v>
      </c>
      <c r="N255" s="28">
        <v>0</v>
      </c>
    </row>
    <row r="256" spans="7:14">
      <c r="G256" s="24">
        <v>255</v>
      </c>
      <c r="H256" s="25">
        <f>S0_</f>
        <v>100</v>
      </c>
      <c r="I256" s="25">
        <f ca="1">S0_*EXP((mu_-sigma_^2/2)*Dt_+sigma_*SQRT(Dt_)*_xlfn.NORM.INV(RAND(),0,1))</f>
        <v>112.78019885609</v>
      </c>
      <c r="J256" s="25">
        <f ca="1">MAX(k_-I256,0)*EXP(-rs_*T_)</f>
        <v>0</v>
      </c>
      <c r="K256" s="25">
        <v>12.4086896917724</v>
      </c>
      <c r="L256" s="25">
        <v>11.8386896917724</v>
      </c>
      <c r="M256" s="28">
        <v>0</v>
      </c>
      <c r="N256" s="28">
        <v>0</v>
      </c>
    </row>
    <row r="257" spans="7:14">
      <c r="G257" s="24">
        <v>256</v>
      </c>
      <c r="H257" s="25">
        <f>S0_</f>
        <v>100</v>
      </c>
      <c r="I257" s="25">
        <f ca="1">S0_*EXP((mu_-sigma_^2/2)*Dt_+sigma_*SQRT(Dt_)*_xlfn.NORM.INV(RAND(),0,1))</f>
        <v>114.921031590781</v>
      </c>
      <c r="J257" s="25">
        <f ca="1">MAX(k_-I257,0)*EXP(-rs_*T_)</f>
        <v>0</v>
      </c>
      <c r="K257" s="25">
        <v>14.487290297749</v>
      </c>
      <c r="L257" s="25">
        <v>13.917290297749</v>
      </c>
      <c r="M257" s="28">
        <v>0</v>
      </c>
      <c r="N257" s="28">
        <v>0</v>
      </c>
    </row>
    <row r="258" spans="7:14">
      <c r="G258" s="24">
        <v>257</v>
      </c>
      <c r="H258" s="25">
        <f>S0_</f>
        <v>100</v>
      </c>
      <c r="I258" s="25">
        <f ca="1">S0_*EXP((mu_-sigma_^2/2)*Dt_+sigma_*SQRT(Dt_)*_xlfn.NORM.INV(RAND(),0,1))</f>
        <v>97.9772938494024</v>
      </c>
      <c r="J258" s="25">
        <f ca="1">MAX(k_-I258,0)*EXP(-rs_*T_)</f>
        <v>0</v>
      </c>
      <c r="K258" s="25">
        <v>-1.96390785800996</v>
      </c>
      <c r="L258" s="25">
        <v>-2.53390785800996</v>
      </c>
      <c r="M258" s="28">
        <v>1</v>
      </c>
      <c r="N258" s="28">
        <v>1</v>
      </c>
    </row>
    <row r="259" spans="7:14">
      <c r="G259" s="24">
        <v>258</v>
      </c>
      <c r="H259" s="25">
        <f>S0_</f>
        <v>100</v>
      </c>
      <c r="I259" s="25">
        <f ca="1">S0_*EXP((mu_-sigma_^2/2)*Dt_+sigma_*SQRT(Dt_)*_xlfn.NORM.INV(RAND(),0,1))</f>
        <v>109.059620065448</v>
      </c>
      <c r="J259" s="25">
        <f ca="1">MAX(k_-I259,0)*EXP(-rs_*T_)</f>
        <v>0</v>
      </c>
      <c r="K259" s="25">
        <v>8.79626486124104</v>
      </c>
      <c r="L259" s="25">
        <v>8.22626486124104</v>
      </c>
      <c r="M259" s="28">
        <v>0</v>
      </c>
      <c r="N259" s="28">
        <v>0</v>
      </c>
    </row>
    <row r="260" spans="7:14">
      <c r="G260" s="24">
        <v>259</v>
      </c>
      <c r="H260" s="25">
        <f>S0_</f>
        <v>100</v>
      </c>
      <c r="I260" s="25">
        <f ca="1">S0_*EXP((mu_-sigma_^2/2)*Dt_+sigma_*SQRT(Dt_)*_xlfn.NORM.INV(RAND(),0,1))</f>
        <v>89.7290181701529</v>
      </c>
      <c r="J260" s="25">
        <f ca="1">MAX(k_-I260,0)*EXP(-rs_*T_)</f>
        <v>7.05962076936665</v>
      </c>
      <c r="K260" s="25">
        <v>-9.97241340229023</v>
      </c>
      <c r="L260" s="25">
        <v>-3.48279263292358</v>
      </c>
      <c r="M260" s="28">
        <v>1</v>
      </c>
      <c r="N260" s="28">
        <v>1</v>
      </c>
    </row>
    <row r="261" spans="7:14">
      <c r="G261" s="24">
        <v>260</v>
      </c>
      <c r="H261" s="25">
        <f>S0_</f>
        <v>100</v>
      </c>
      <c r="I261" s="25">
        <f ca="1">S0_*EXP((mu_-sigma_^2/2)*Dt_+sigma_*SQRT(Dt_)*_xlfn.NORM.INV(RAND(),0,1))</f>
        <v>98.8702198731773</v>
      </c>
      <c r="J261" s="25">
        <f ca="1">MAX(k_-I261,0)*EXP(-rs_*T_)</f>
        <v>0</v>
      </c>
      <c r="K261" s="25">
        <v>-1.09693841007758</v>
      </c>
      <c r="L261" s="25">
        <v>-1.66693841007758</v>
      </c>
      <c r="M261" s="28">
        <v>1</v>
      </c>
      <c r="N261" s="28">
        <v>1</v>
      </c>
    </row>
    <row r="262" spans="7:14">
      <c r="G262" s="24">
        <v>261</v>
      </c>
      <c r="H262" s="25">
        <f>S0_</f>
        <v>100</v>
      </c>
      <c r="I262" s="25">
        <f ca="1">S0_*EXP((mu_-sigma_^2/2)*Dt_+sigma_*SQRT(Dt_)*_xlfn.NORM.INV(RAND(),0,1))</f>
        <v>102.767238958435</v>
      </c>
      <c r="J262" s="25">
        <f ca="1">MAX(k_-I262,0)*EXP(-rs_*T_)</f>
        <v>0</v>
      </c>
      <c r="K262" s="25">
        <v>2.68679775055666</v>
      </c>
      <c r="L262" s="25">
        <v>2.11679775055666</v>
      </c>
      <c r="M262" s="28">
        <v>0</v>
      </c>
      <c r="N262" s="28">
        <v>0</v>
      </c>
    </row>
    <row r="263" spans="7:14">
      <c r="G263" s="24">
        <v>262</v>
      </c>
      <c r="H263" s="25">
        <f>S0_</f>
        <v>100</v>
      </c>
      <c r="I263" s="25">
        <f ca="1">S0_*EXP((mu_-sigma_^2/2)*Dt_+sigma_*SQRT(Dt_)*_xlfn.NORM.INV(RAND(),0,1))</f>
        <v>98.7763636746574</v>
      </c>
      <c r="J263" s="25">
        <f ca="1">MAX(k_-I263,0)*EXP(-rs_*T_)</f>
        <v>0</v>
      </c>
      <c r="K263" s="25">
        <v>-1.18806629127852</v>
      </c>
      <c r="L263" s="25">
        <v>-1.75806629127852</v>
      </c>
      <c r="M263" s="28">
        <v>1</v>
      </c>
      <c r="N263" s="28">
        <v>1</v>
      </c>
    </row>
    <row r="264" spans="7:14">
      <c r="G264" s="24">
        <v>263</v>
      </c>
      <c r="H264" s="25">
        <f>S0_</f>
        <v>100</v>
      </c>
      <c r="I264" s="25">
        <f ca="1">S0_*EXP((mu_-sigma_^2/2)*Dt_+sigma_*SQRT(Dt_)*_xlfn.NORM.INV(RAND(),0,1))</f>
        <v>109.861312825428</v>
      </c>
      <c r="J264" s="25">
        <f ca="1">MAX(k_-I264,0)*EXP(-rs_*T_)</f>
        <v>0</v>
      </c>
      <c r="K264" s="25">
        <v>9.57465311628688</v>
      </c>
      <c r="L264" s="25">
        <v>9.00465311628688</v>
      </c>
      <c r="M264" s="28">
        <v>0</v>
      </c>
      <c r="N264" s="28">
        <v>0</v>
      </c>
    </row>
    <row r="265" spans="7:14">
      <c r="G265" s="24">
        <v>264</v>
      </c>
      <c r="H265" s="25">
        <f>S0_</f>
        <v>100</v>
      </c>
      <c r="I265" s="25">
        <f ca="1">S0_*EXP((mu_-sigma_^2/2)*Dt_+sigma_*SQRT(Dt_)*_xlfn.NORM.INV(RAND(),0,1))</f>
        <v>114.940471027196</v>
      </c>
      <c r="J265" s="25">
        <f ca="1">MAX(k_-I265,0)*EXP(-rs_*T_)</f>
        <v>0</v>
      </c>
      <c r="K265" s="25">
        <v>14.5061646468083</v>
      </c>
      <c r="L265" s="25">
        <v>13.9361646468083</v>
      </c>
      <c r="M265" s="28">
        <v>0</v>
      </c>
      <c r="N265" s="28">
        <v>0</v>
      </c>
    </row>
    <row r="266" spans="7:14">
      <c r="G266" s="24">
        <v>265</v>
      </c>
      <c r="H266" s="25">
        <f>S0_</f>
        <v>100</v>
      </c>
      <c r="I266" s="25">
        <f ca="1">S0_*EXP((mu_-sigma_^2/2)*Dt_+sigma_*SQRT(Dt_)*_xlfn.NORM.INV(RAND(),0,1))</f>
        <v>97.8367960676201</v>
      </c>
      <c r="J266" s="25">
        <f ca="1">MAX(k_-I266,0)*EXP(-rs_*T_)</f>
        <v>0</v>
      </c>
      <c r="K266" s="25">
        <v>-2.10032149258246</v>
      </c>
      <c r="L266" s="25">
        <v>-2.67032149258246</v>
      </c>
      <c r="M266" s="28">
        <v>1</v>
      </c>
      <c r="N266" s="28">
        <v>1</v>
      </c>
    </row>
    <row r="267" spans="7:14">
      <c r="G267" s="24">
        <v>266</v>
      </c>
      <c r="H267" s="25">
        <f>S0_</f>
        <v>100</v>
      </c>
      <c r="I267" s="25">
        <f ca="1">S0_*EXP((mu_-sigma_^2/2)*Dt_+sigma_*SQRT(Dt_)*_xlfn.NORM.INV(RAND(),0,1))</f>
        <v>104.846026784508</v>
      </c>
      <c r="J267" s="25">
        <f ca="1">MAX(k_-I267,0)*EXP(-rs_*T_)</f>
        <v>0</v>
      </c>
      <c r="K267" s="25">
        <v>4.70515703895554</v>
      </c>
      <c r="L267" s="25">
        <v>4.13515703895554</v>
      </c>
      <c r="M267" s="28">
        <v>0</v>
      </c>
      <c r="N267" s="28">
        <v>0</v>
      </c>
    </row>
    <row r="268" spans="7:14">
      <c r="G268" s="24">
        <v>267</v>
      </c>
      <c r="H268" s="25">
        <f>S0_</f>
        <v>100</v>
      </c>
      <c r="I268" s="25">
        <f ca="1">S0_*EXP((mu_-sigma_^2/2)*Dt_+sigma_*SQRT(Dt_)*_xlfn.NORM.INV(RAND(),0,1))</f>
        <v>102.969470782178</v>
      </c>
      <c r="J268" s="25">
        <f ca="1">MAX(k_-I268,0)*EXP(-rs_*T_)</f>
        <v>0</v>
      </c>
      <c r="K268" s="25">
        <v>2.88315087267039</v>
      </c>
      <c r="L268" s="25">
        <v>2.31315087267039</v>
      </c>
      <c r="M268" s="28">
        <v>0</v>
      </c>
      <c r="N268" s="28">
        <v>0</v>
      </c>
    </row>
    <row r="269" spans="7:14">
      <c r="G269" s="24">
        <v>268</v>
      </c>
      <c r="H269" s="25">
        <f>S0_</f>
        <v>100</v>
      </c>
      <c r="I269" s="25">
        <f ca="1">S0_*EXP((mu_-sigma_^2/2)*Dt_+sigma_*SQRT(Dt_)*_xlfn.NORM.INV(RAND(),0,1))</f>
        <v>88.4486361376284</v>
      </c>
      <c r="J269" s="25">
        <f ca="1">MAX(k_-I269,0)*EXP(-rs_*T_)</f>
        <v>8.30278321992167</v>
      </c>
      <c r="K269" s="25">
        <v>-11.2155758528452</v>
      </c>
      <c r="L269" s="25">
        <v>-3.48279263292358</v>
      </c>
      <c r="M269" s="28">
        <v>1</v>
      </c>
      <c r="N269" s="28">
        <v>1</v>
      </c>
    </row>
    <row r="270" spans="7:14">
      <c r="G270" s="24">
        <v>269</v>
      </c>
      <c r="H270" s="25">
        <f>S0_</f>
        <v>100</v>
      </c>
      <c r="I270" s="25">
        <f ca="1">S0_*EXP((mu_-sigma_^2/2)*Dt_+sigma_*SQRT(Dt_)*_xlfn.NORM.INV(RAND(),0,1))</f>
        <v>102.017611380389</v>
      </c>
      <c r="J270" s="25">
        <f ca="1">MAX(k_-I270,0)*EXP(-rs_*T_)</f>
        <v>0</v>
      </c>
      <c r="K270" s="25">
        <v>1.9589611882997</v>
      </c>
      <c r="L270" s="25">
        <v>1.3889611882997</v>
      </c>
      <c r="M270" s="28">
        <v>0</v>
      </c>
      <c r="N270" s="28">
        <v>0</v>
      </c>
    </row>
    <row r="271" spans="7:14">
      <c r="G271" s="24">
        <v>270</v>
      </c>
      <c r="H271" s="25">
        <f>S0_</f>
        <v>100</v>
      </c>
      <c r="I271" s="25">
        <f ca="1">S0_*EXP((mu_-sigma_^2/2)*Dt_+sigma_*SQRT(Dt_)*_xlfn.NORM.INV(RAND(),0,1))</f>
        <v>95.0750821675123</v>
      </c>
      <c r="J271" s="25">
        <f ca="1">MAX(k_-I271,0)*EXP(-rs_*T_)</f>
        <v>1.8689621604845</v>
      </c>
      <c r="K271" s="25">
        <v>-4.78175479340809</v>
      </c>
      <c r="L271" s="25">
        <v>-3.48279263292358</v>
      </c>
      <c r="M271" s="28">
        <v>1</v>
      </c>
      <c r="N271" s="28">
        <v>1</v>
      </c>
    </row>
    <row r="272" spans="7:14">
      <c r="G272" s="24">
        <v>271</v>
      </c>
      <c r="H272" s="25">
        <f>S0_</f>
        <v>100</v>
      </c>
      <c r="I272" s="25">
        <f ca="1">S0_*EXP((mu_-sigma_^2/2)*Dt_+sigma_*SQRT(Dt_)*_xlfn.NORM.INV(RAND(),0,1))</f>
        <v>111.116705905772</v>
      </c>
      <c r="J272" s="25">
        <f ca="1">MAX(k_-I272,0)*EXP(-rs_*T_)</f>
        <v>0</v>
      </c>
      <c r="K272" s="25">
        <v>10.7935530215704</v>
      </c>
      <c r="L272" s="25">
        <v>10.2235530215704</v>
      </c>
      <c r="M272" s="28">
        <v>0</v>
      </c>
      <c r="N272" s="28">
        <v>0</v>
      </c>
    </row>
    <row r="273" spans="7:14">
      <c r="G273" s="24">
        <v>272</v>
      </c>
      <c r="H273" s="25">
        <f>S0_</f>
        <v>100</v>
      </c>
      <c r="I273" s="25">
        <f ca="1">S0_*EXP((mu_-sigma_^2/2)*Dt_+sigma_*SQRT(Dt_)*_xlfn.NORM.INV(RAND(),0,1))</f>
        <v>95.351947975263</v>
      </c>
      <c r="J273" s="25">
        <f ca="1">MAX(k_-I273,0)*EXP(-rs_*T_)</f>
        <v>1.60014459877624</v>
      </c>
      <c r="K273" s="25">
        <v>-4.51293723169982</v>
      </c>
      <c r="L273" s="25">
        <v>-3.48279263292358</v>
      </c>
      <c r="M273" s="28">
        <v>1</v>
      </c>
      <c r="N273" s="28">
        <v>1</v>
      </c>
    </row>
    <row r="274" spans="7:14">
      <c r="G274" s="24">
        <v>273</v>
      </c>
      <c r="H274" s="25">
        <f>S0_</f>
        <v>100</v>
      </c>
      <c r="I274" s="25">
        <f ca="1">S0_*EXP((mu_-sigma_^2/2)*Dt_+sigma_*SQRT(Dt_)*_xlfn.NORM.INV(RAND(),0,1))</f>
        <v>91.9328809410405</v>
      </c>
      <c r="J274" s="25">
        <f ca="1">MAX(k_-I274,0)*EXP(-rs_*T_)</f>
        <v>4.91982235502799</v>
      </c>
      <c r="K274" s="25">
        <v>-7.83261498795157</v>
      </c>
      <c r="L274" s="25">
        <v>-3.48279263292358</v>
      </c>
      <c r="M274" s="28">
        <v>1</v>
      </c>
      <c r="N274" s="28">
        <v>1</v>
      </c>
    </row>
    <row r="275" spans="7:14">
      <c r="G275" s="24">
        <v>274</v>
      </c>
      <c r="H275" s="25">
        <f>S0_</f>
        <v>100</v>
      </c>
      <c r="I275" s="25">
        <f ca="1">S0_*EXP((mu_-sigma_^2/2)*Dt_+sigma_*SQRT(Dt_)*_xlfn.NORM.INV(RAND(),0,1))</f>
        <v>87.9020095182604</v>
      </c>
      <c r="J275" s="25">
        <f ca="1">MAX(k_-I275,0)*EXP(-rs_*T_)</f>
        <v>8.83351988320667</v>
      </c>
      <c r="K275" s="25">
        <v>-11.7463125161303</v>
      </c>
      <c r="L275" s="25">
        <v>-3.48279263292358</v>
      </c>
      <c r="M275" s="28">
        <v>1</v>
      </c>
      <c r="N275" s="28">
        <v>1</v>
      </c>
    </row>
    <row r="276" spans="7:14">
      <c r="G276" s="24">
        <v>275</v>
      </c>
      <c r="H276" s="25">
        <f>S0_</f>
        <v>100</v>
      </c>
      <c r="I276" s="25">
        <f ca="1">S0_*EXP((mu_-sigma_^2/2)*Dt_+sigma_*SQRT(Dt_)*_xlfn.NORM.INV(RAND(),0,1))</f>
        <v>121.619494593815</v>
      </c>
      <c r="J276" s="25">
        <f ca="1">MAX(k_-I276,0)*EXP(-rs_*T_)</f>
        <v>0</v>
      </c>
      <c r="K276" s="25">
        <v>20.9910348601318</v>
      </c>
      <c r="L276" s="25">
        <v>20.4210348601318</v>
      </c>
      <c r="M276" s="28">
        <v>0</v>
      </c>
      <c r="N276" s="28">
        <v>0</v>
      </c>
    </row>
    <row r="277" spans="7:14">
      <c r="G277" s="24">
        <v>276</v>
      </c>
      <c r="H277" s="25">
        <f>S0_</f>
        <v>100</v>
      </c>
      <c r="I277" s="25">
        <f ca="1">S0_*EXP((mu_-sigma_^2/2)*Dt_+sigma_*SQRT(Dt_)*_xlfn.NORM.INV(RAND(),0,1))</f>
        <v>95.4349866529767</v>
      </c>
      <c r="J277" s="25">
        <f ca="1">MAX(k_-I277,0)*EXP(-rs_*T_)</f>
        <v>1.51951978254555</v>
      </c>
      <c r="K277" s="25">
        <v>-4.43231241546914</v>
      </c>
      <c r="L277" s="25">
        <v>-3.48279263292358</v>
      </c>
      <c r="M277" s="28">
        <v>1</v>
      </c>
      <c r="N277" s="28">
        <v>1</v>
      </c>
    </row>
    <row r="278" spans="7:14">
      <c r="G278" s="24">
        <v>277</v>
      </c>
      <c r="H278" s="25">
        <f>S0_</f>
        <v>100</v>
      </c>
      <c r="I278" s="25">
        <f ca="1">S0_*EXP((mu_-sigma_^2/2)*Dt_+sigma_*SQRT(Dt_)*_xlfn.NORM.INV(RAND(),0,1))</f>
        <v>124.658707064026</v>
      </c>
      <c r="J278" s="25">
        <f ca="1">MAX(k_-I278,0)*EXP(-rs_*T_)</f>
        <v>0</v>
      </c>
      <c r="K278" s="25">
        <v>23.9419000911719</v>
      </c>
      <c r="L278" s="25">
        <v>23.3719000911719</v>
      </c>
      <c r="M278" s="28">
        <v>0</v>
      </c>
      <c r="N278" s="28">
        <v>0</v>
      </c>
    </row>
    <row r="279" spans="7:14">
      <c r="G279" s="24">
        <v>278</v>
      </c>
      <c r="H279" s="25">
        <f>S0_</f>
        <v>100</v>
      </c>
      <c r="I279" s="25">
        <f ca="1">S0_*EXP((mu_-sigma_^2/2)*Dt_+sigma_*SQRT(Dt_)*_xlfn.NORM.INV(RAND(),0,1))</f>
        <v>110.34174378203</v>
      </c>
      <c r="J279" s="25">
        <f ca="1">MAX(k_-I279,0)*EXP(-rs_*T_)</f>
        <v>0</v>
      </c>
      <c r="K279" s="25">
        <v>10.0411183666263</v>
      </c>
      <c r="L279" s="25">
        <v>9.4711183666263</v>
      </c>
      <c r="M279" s="28">
        <v>0</v>
      </c>
      <c r="N279" s="28">
        <v>0</v>
      </c>
    </row>
    <row r="280" spans="7:14">
      <c r="G280" s="24">
        <v>279</v>
      </c>
      <c r="H280" s="25">
        <f>S0_</f>
        <v>100</v>
      </c>
      <c r="I280" s="25">
        <f ca="1">S0_*EXP((mu_-sigma_^2/2)*Dt_+sigma_*SQRT(Dt_)*_xlfn.NORM.INV(RAND(),0,1))</f>
        <v>98.8159012804226</v>
      </c>
      <c r="J280" s="25">
        <f ca="1">MAX(k_-I280,0)*EXP(-rs_*T_)</f>
        <v>0</v>
      </c>
      <c r="K280" s="25">
        <v>-1.14967800901309</v>
      </c>
      <c r="L280" s="25">
        <v>-1.71967800901309</v>
      </c>
      <c r="M280" s="28">
        <v>1</v>
      </c>
      <c r="N280" s="28">
        <v>1</v>
      </c>
    </row>
    <row r="281" spans="7:14">
      <c r="G281" s="24">
        <v>280</v>
      </c>
      <c r="H281" s="25">
        <f>S0_</f>
        <v>100</v>
      </c>
      <c r="I281" s="25">
        <f ca="1">S0_*EXP((mu_-sigma_^2/2)*Dt_+sigma_*SQRT(Dt_)*_xlfn.NORM.INV(RAND(),0,1))</f>
        <v>97.7894372492824</v>
      </c>
      <c r="J281" s="25">
        <f ca="1">MAX(k_-I281,0)*EXP(-rs_*T_)</f>
        <v>0</v>
      </c>
      <c r="K281" s="25">
        <v>-2.14630363163521</v>
      </c>
      <c r="L281" s="25">
        <v>-2.71630363163521</v>
      </c>
      <c r="M281" s="28">
        <v>1</v>
      </c>
      <c r="N281" s="28">
        <v>1</v>
      </c>
    </row>
    <row r="282" spans="7:14">
      <c r="G282" s="24">
        <v>281</v>
      </c>
      <c r="H282" s="25">
        <f>S0_</f>
        <v>100</v>
      </c>
      <c r="I282" s="25">
        <f ca="1">S0_*EXP((mu_-sigma_^2/2)*Dt_+sigma_*SQRT(Dt_)*_xlfn.NORM.INV(RAND(),0,1))</f>
        <v>110.486263239931</v>
      </c>
      <c r="J282" s="25">
        <f ca="1">MAX(k_-I282,0)*EXP(-rs_*T_)</f>
        <v>0</v>
      </c>
      <c r="K282" s="25">
        <v>10.1814367707228</v>
      </c>
      <c r="L282" s="25">
        <v>9.61143677072276</v>
      </c>
      <c r="M282" s="28">
        <v>0</v>
      </c>
      <c r="N282" s="28">
        <v>0</v>
      </c>
    </row>
    <row r="283" spans="7:14">
      <c r="G283" s="24">
        <v>282</v>
      </c>
      <c r="H283" s="25">
        <f>S0_</f>
        <v>100</v>
      </c>
      <c r="I283" s="25">
        <f ca="1">S0_*EXP((mu_-sigma_^2/2)*Dt_+sigma_*SQRT(Dt_)*_xlfn.NORM.INV(RAND(),0,1))</f>
        <v>111.497276175964</v>
      </c>
      <c r="J283" s="25">
        <f ca="1">MAX(k_-I283,0)*EXP(-rs_*T_)</f>
        <v>0</v>
      </c>
      <c r="K283" s="25">
        <v>11.1630604480119</v>
      </c>
      <c r="L283" s="25">
        <v>10.5930604480119</v>
      </c>
      <c r="M283" s="28">
        <v>0</v>
      </c>
      <c r="N283" s="28">
        <v>0</v>
      </c>
    </row>
    <row r="284" spans="7:14">
      <c r="G284" s="24">
        <v>283</v>
      </c>
      <c r="H284" s="25">
        <f>S0_</f>
        <v>100</v>
      </c>
      <c r="I284" s="25">
        <f ca="1">S0_*EXP((mu_-sigma_^2/2)*Dt_+sigma_*SQRT(Dt_)*_xlfn.NORM.INV(RAND(),0,1))</f>
        <v>111.294728278468</v>
      </c>
      <c r="J284" s="25">
        <f ca="1">MAX(k_-I284,0)*EXP(-rs_*T_)</f>
        <v>0</v>
      </c>
      <c r="K284" s="25">
        <v>10.9664004401316</v>
      </c>
      <c r="L284" s="25">
        <v>10.3964004401316</v>
      </c>
      <c r="M284" s="28">
        <v>0</v>
      </c>
      <c r="N284" s="28">
        <v>0</v>
      </c>
    </row>
    <row r="285" spans="7:14">
      <c r="G285" s="24">
        <v>284</v>
      </c>
      <c r="H285" s="25">
        <f>S0_</f>
        <v>100</v>
      </c>
      <c r="I285" s="25">
        <f ca="1">S0_*EXP((mu_-sigma_^2/2)*Dt_+sigma_*SQRT(Dt_)*_xlfn.NORM.INV(RAND(),0,1))</f>
        <v>98.3566260824535</v>
      </c>
      <c r="J285" s="25">
        <f ca="1">MAX(k_-I285,0)*EXP(-rs_*T_)</f>
        <v>0</v>
      </c>
      <c r="K285" s="25">
        <v>-1.59560248005607</v>
      </c>
      <c r="L285" s="25">
        <v>-2.16560248005607</v>
      </c>
      <c r="M285" s="28">
        <v>1</v>
      </c>
      <c r="N285" s="28">
        <v>1</v>
      </c>
    </row>
    <row r="286" spans="7:14">
      <c r="G286" s="24">
        <v>285</v>
      </c>
      <c r="H286" s="25">
        <f>S0_</f>
        <v>100</v>
      </c>
      <c r="I286" s="25">
        <f ca="1">S0_*EXP((mu_-sigma_^2/2)*Dt_+sigma_*SQRT(Dt_)*_xlfn.NORM.INV(RAND(),0,1))</f>
        <v>112.962226693318</v>
      </c>
      <c r="J286" s="25">
        <f ca="1">MAX(k_-I286,0)*EXP(-rs_*T_)</f>
        <v>0</v>
      </c>
      <c r="K286" s="25">
        <v>12.5854261395272</v>
      </c>
      <c r="L286" s="25">
        <v>12.0154261395272</v>
      </c>
      <c r="M286" s="28">
        <v>0</v>
      </c>
      <c r="N286" s="28">
        <v>0</v>
      </c>
    </row>
    <row r="287" spans="7:14">
      <c r="G287" s="24">
        <v>286</v>
      </c>
      <c r="H287" s="25">
        <f>S0_</f>
        <v>100</v>
      </c>
      <c r="I287" s="25">
        <f ca="1">S0_*EXP((mu_-sigma_^2/2)*Dt_+sigma_*SQRT(Dt_)*_xlfn.NORM.INV(RAND(),0,1))</f>
        <v>97.1679313640652</v>
      </c>
      <c r="J287" s="25">
        <f ca="1">MAX(k_-I287,0)*EXP(-rs_*T_)</f>
        <v>0</v>
      </c>
      <c r="K287" s="25">
        <v>-2.74974288622832</v>
      </c>
      <c r="L287" s="25">
        <v>-3.31974288622832</v>
      </c>
      <c r="M287" s="28">
        <v>1</v>
      </c>
      <c r="N287" s="28">
        <v>1</v>
      </c>
    </row>
    <row r="288" spans="7:14">
      <c r="G288" s="24">
        <v>287</v>
      </c>
      <c r="H288" s="25">
        <f>S0_</f>
        <v>100</v>
      </c>
      <c r="I288" s="25">
        <f ca="1">S0_*EXP((mu_-sigma_^2/2)*Dt_+sigma_*SQRT(Dt_)*_xlfn.NORM.INV(RAND(),0,1))</f>
        <v>113.068955039553</v>
      </c>
      <c r="J288" s="25">
        <f ca="1">MAX(k_-I288,0)*EXP(-rs_*T_)</f>
        <v>0</v>
      </c>
      <c r="K288" s="25">
        <v>12.6890519864061</v>
      </c>
      <c r="L288" s="25">
        <v>12.1190519864061</v>
      </c>
      <c r="M288" s="28">
        <v>0</v>
      </c>
      <c r="N288" s="28">
        <v>0</v>
      </c>
    </row>
    <row r="289" spans="7:14">
      <c r="G289" s="24">
        <v>288</v>
      </c>
      <c r="H289" s="25">
        <f>S0_</f>
        <v>100</v>
      </c>
      <c r="I289" s="25">
        <f ca="1">S0_*EXP((mu_-sigma_^2/2)*Dt_+sigma_*SQRT(Dt_)*_xlfn.NORM.INV(RAND(),0,1))</f>
        <v>114.519012843136</v>
      </c>
      <c r="J289" s="25">
        <f ca="1">MAX(k_-I289,0)*EXP(-rs_*T_)</f>
        <v>0</v>
      </c>
      <c r="K289" s="25">
        <v>14.0969578822696</v>
      </c>
      <c r="L289" s="25">
        <v>13.5269578822696</v>
      </c>
      <c r="M289" s="28">
        <v>0</v>
      </c>
      <c r="N289" s="28">
        <v>0</v>
      </c>
    </row>
    <row r="290" spans="7:14">
      <c r="G290" s="24">
        <v>289</v>
      </c>
      <c r="H290" s="25">
        <f>S0_</f>
        <v>100</v>
      </c>
      <c r="I290" s="25">
        <f ca="1">S0_*EXP((mu_-sigma_^2/2)*Dt_+sigma_*SQRT(Dt_)*_xlfn.NORM.INV(RAND(),0,1))</f>
        <v>99.3980551444394</v>
      </c>
      <c r="J290" s="25">
        <f ca="1">MAX(k_-I290,0)*EXP(-rs_*T_)</f>
        <v>0</v>
      </c>
      <c r="K290" s="25">
        <v>-0.584446846901058</v>
      </c>
      <c r="L290" s="25">
        <v>-1.15444684690106</v>
      </c>
      <c r="M290" s="28">
        <v>1</v>
      </c>
      <c r="N290" s="28">
        <v>1</v>
      </c>
    </row>
    <row r="291" spans="7:14">
      <c r="G291" s="24">
        <v>290</v>
      </c>
      <c r="H291" s="25">
        <f>S0_</f>
        <v>100</v>
      </c>
      <c r="I291" s="25">
        <f ca="1">S0_*EXP((mu_-sigma_^2/2)*Dt_+sigma_*SQRT(Dt_)*_xlfn.NORM.INV(RAND(),0,1))</f>
        <v>105.343592763362</v>
      </c>
      <c r="J291" s="25">
        <f ca="1">MAX(k_-I291,0)*EXP(-rs_*T_)</f>
        <v>0</v>
      </c>
      <c r="K291" s="25">
        <v>5.18825921148831</v>
      </c>
      <c r="L291" s="25">
        <v>4.61825921148831</v>
      </c>
      <c r="M291" s="28">
        <v>0</v>
      </c>
      <c r="N291" s="28">
        <v>0</v>
      </c>
    </row>
    <row r="292" spans="7:14">
      <c r="G292" s="24">
        <v>291</v>
      </c>
      <c r="H292" s="25">
        <f>S0_</f>
        <v>100</v>
      </c>
      <c r="I292" s="25">
        <f ca="1">S0_*EXP((mu_-sigma_^2/2)*Dt_+sigma_*SQRT(Dt_)*_xlfn.NORM.INV(RAND(),0,1))</f>
        <v>105.278675461504</v>
      </c>
      <c r="J292" s="25">
        <f ca="1">MAX(k_-I292,0)*EXP(-rs_*T_)</f>
        <v>0</v>
      </c>
      <c r="K292" s="25">
        <v>5.12522899862145</v>
      </c>
      <c r="L292" s="25">
        <v>4.55522899862145</v>
      </c>
      <c r="M292" s="28">
        <v>0</v>
      </c>
      <c r="N292" s="28">
        <v>0</v>
      </c>
    </row>
    <row r="293" spans="7:14">
      <c r="G293" s="24">
        <v>292</v>
      </c>
      <c r="H293" s="25">
        <f>S0_</f>
        <v>100</v>
      </c>
      <c r="I293" s="25">
        <f ca="1">S0_*EXP((mu_-sigma_^2/2)*Dt_+sigma_*SQRT(Dt_)*_xlfn.NORM.INV(RAND(),0,1))</f>
        <v>94.9731950448832</v>
      </c>
      <c r="J293" s="25">
        <f ca="1">MAX(k_-I293,0)*EXP(-rs_*T_)</f>
        <v>1.96788751387906</v>
      </c>
      <c r="K293" s="25">
        <v>-4.88068014680265</v>
      </c>
      <c r="L293" s="25">
        <v>-3.48279263292358</v>
      </c>
      <c r="M293" s="28">
        <v>1</v>
      </c>
      <c r="N293" s="28">
        <v>1</v>
      </c>
    </row>
    <row r="294" spans="7:14">
      <c r="G294" s="24">
        <v>293</v>
      </c>
      <c r="H294" s="25">
        <f>S0_</f>
        <v>100</v>
      </c>
      <c r="I294" s="25">
        <f ca="1">S0_*EXP((mu_-sigma_^2/2)*Dt_+sigma_*SQRT(Dt_)*_xlfn.NORM.INV(RAND(),0,1))</f>
        <v>93.2382089625776</v>
      </c>
      <c r="J294" s="25">
        <f ca="1">MAX(k_-I294,0)*EXP(-rs_*T_)</f>
        <v>3.65243907346732</v>
      </c>
      <c r="K294" s="25">
        <v>-6.5652317063909</v>
      </c>
      <c r="L294" s="25">
        <v>-3.48279263292358</v>
      </c>
      <c r="M294" s="28">
        <v>1</v>
      </c>
      <c r="N294" s="28">
        <v>1</v>
      </c>
    </row>
    <row r="295" spans="7:14">
      <c r="G295" s="24">
        <v>294</v>
      </c>
      <c r="H295" s="25">
        <f>S0_</f>
        <v>100</v>
      </c>
      <c r="I295" s="25">
        <f ca="1">S0_*EXP((mu_-sigma_^2/2)*Dt_+sigma_*SQRT(Dt_)*_xlfn.NORM.INV(RAND(),0,1))</f>
        <v>93.5138366468114</v>
      </c>
      <c r="J295" s="25">
        <f ca="1">MAX(k_-I295,0)*EXP(-rs_*T_)</f>
        <v>3.38482364411195</v>
      </c>
      <c r="K295" s="25">
        <v>-6.29761627703553</v>
      </c>
      <c r="L295" s="25">
        <v>-3.48279263292358</v>
      </c>
      <c r="M295" s="28">
        <v>1</v>
      </c>
      <c r="N295" s="28">
        <v>1</v>
      </c>
    </row>
    <row r="296" spans="7:14">
      <c r="G296" s="24">
        <v>295</v>
      </c>
      <c r="H296" s="25">
        <f>S0_</f>
        <v>100</v>
      </c>
      <c r="I296" s="25">
        <f ca="1">S0_*EXP((mu_-sigma_^2/2)*Dt_+sigma_*SQRT(Dt_)*_xlfn.NORM.INV(RAND(),0,1))</f>
        <v>112.049451440405</v>
      </c>
      <c r="J296" s="25">
        <f ca="1">MAX(k_-I296,0)*EXP(-rs_*T_)</f>
        <v>0</v>
      </c>
      <c r="K296" s="25">
        <v>11.6991844621272</v>
      </c>
      <c r="L296" s="25">
        <v>11.1291844621272</v>
      </c>
      <c r="M296" s="28">
        <v>0</v>
      </c>
      <c r="N296" s="28">
        <v>0</v>
      </c>
    </row>
    <row r="297" spans="7:14">
      <c r="G297" s="24">
        <v>296</v>
      </c>
      <c r="H297" s="25">
        <f>S0_</f>
        <v>100</v>
      </c>
      <c r="I297" s="25">
        <f ca="1">S0_*EXP((mu_-sigma_^2/2)*Dt_+sigma_*SQRT(Dt_)*_xlfn.NORM.INV(RAND(),0,1))</f>
        <v>90.801919922915</v>
      </c>
      <c r="J297" s="25">
        <f ca="1">MAX(k_-I297,0)*EXP(-rs_*T_)</f>
        <v>6.01790732893451</v>
      </c>
      <c r="K297" s="25">
        <v>-8.93069996185809</v>
      </c>
      <c r="L297" s="25">
        <v>-3.48279263292358</v>
      </c>
      <c r="M297" s="28">
        <v>1</v>
      </c>
      <c r="N297" s="28">
        <v>1</v>
      </c>
    </row>
    <row r="298" spans="7:14">
      <c r="G298" s="24">
        <v>297</v>
      </c>
      <c r="H298" s="25">
        <f>S0_</f>
        <v>100</v>
      </c>
      <c r="I298" s="25">
        <f ca="1">S0_*EXP((mu_-sigma_^2/2)*Dt_+sigma_*SQRT(Dt_)*_xlfn.NORM.INV(RAND(),0,1))</f>
        <v>94.0065102886061</v>
      </c>
      <c r="J298" s="25">
        <f ca="1">MAX(k_-I298,0)*EXP(-rs_*T_)</f>
        <v>2.90647159269361</v>
      </c>
      <c r="K298" s="25">
        <v>-5.81926422561719</v>
      </c>
      <c r="L298" s="25">
        <v>-3.48279263292358</v>
      </c>
      <c r="M298" s="28">
        <v>1</v>
      </c>
      <c r="N298" s="28">
        <v>1</v>
      </c>
    </row>
    <row r="299" spans="7:14">
      <c r="G299" s="24">
        <v>298</v>
      </c>
      <c r="H299" s="25">
        <f>S0_</f>
        <v>100</v>
      </c>
      <c r="I299" s="25">
        <f ca="1">S0_*EXP((mu_-sigma_^2/2)*Dt_+sigma_*SQRT(Dt_)*_xlfn.NORM.INV(RAND(),0,1))</f>
        <v>105.872742142549</v>
      </c>
      <c r="J299" s="25">
        <f ca="1">MAX(k_-I299,0)*EXP(-rs_*T_)</f>
        <v>0</v>
      </c>
      <c r="K299" s="25">
        <v>5.70202668262527</v>
      </c>
      <c r="L299" s="25">
        <v>5.13202668262527</v>
      </c>
      <c r="M299" s="28">
        <v>0</v>
      </c>
      <c r="N299" s="28">
        <v>0</v>
      </c>
    </row>
    <row r="300" spans="7:14">
      <c r="G300" s="24">
        <v>299</v>
      </c>
      <c r="H300" s="25">
        <f>S0_</f>
        <v>100</v>
      </c>
      <c r="I300" s="25">
        <f ca="1">S0_*EXP((mu_-sigma_^2/2)*Dt_+sigma_*SQRT(Dt_)*_xlfn.NORM.INV(RAND(),0,1))</f>
        <v>96.6456396969851</v>
      </c>
      <c r="J300" s="25">
        <f ca="1">MAX(k_-I300,0)*EXP(-rs_*T_)</f>
        <v>0.344059360007429</v>
      </c>
      <c r="K300" s="25">
        <v>-3.25685199293101</v>
      </c>
      <c r="L300" s="25">
        <v>-3.48279263292358</v>
      </c>
      <c r="M300" s="28">
        <v>1</v>
      </c>
      <c r="N300" s="28">
        <v>1</v>
      </c>
    </row>
    <row r="301" spans="7:14">
      <c r="G301" s="24">
        <v>300</v>
      </c>
      <c r="H301" s="25">
        <f>S0_</f>
        <v>100</v>
      </c>
      <c r="I301" s="25">
        <f ca="1">S0_*EXP((mu_-sigma_^2/2)*Dt_+sigma_*SQRT(Dt_)*_xlfn.NORM.INV(RAND(),0,1))</f>
        <v>105.790702604144</v>
      </c>
      <c r="J301" s="25">
        <f ca="1">MAX(k_-I301,0)*EXP(-rs_*T_)</f>
        <v>0</v>
      </c>
      <c r="K301" s="25">
        <v>5.62237196160111</v>
      </c>
      <c r="L301" s="25">
        <v>5.05237196160111</v>
      </c>
      <c r="M301" s="28">
        <v>0</v>
      </c>
      <c r="N301" s="28">
        <v>0</v>
      </c>
    </row>
    <row r="302" spans="7:14">
      <c r="G302" s="24">
        <v>301</v>
      </c>
      <c r="H302" s="25">
        <f>S0_</f>
        <v>100</v>
      </c>
      <c r="I302" s="25">
        <f ca="1">S0_*EXP((mu_-sigma_^2/2)*Dt_+sigma_*SQRT(Dt_)*_xlfn.NORM.INV(RAND(),0,1))</f>
        <v>124.302993153341</v>
      </c>
      <c r="J302" s="25">
        <f ca="1">MAX(k_-I302,0)*EXP(-rs_*T_)</f>
        <v>0</v>
      </c>
      <c r="K302" s="25">
        <v>23.5965264716808</v>
      </c>
      <c r="L302" s="25">
        <v>23.0265264716808</v>
      </c>
      <c r="M302" s="28">
        <v>0</v>
      </c>
      <c r="N302" s="28">
        <v>0</v>
      </c>
    </row>
    <row r="303" spans="7:14">
      <c r="G303" s="24">
        <v>302</v>
      </c>
      <c r="H303" s="25">
        <f>S0_</f>
        <v>100</v>
      </c>
      <c r="I303" s="25">
        <f ca="1">S0_*EXP((mu_-sigma_^2/2)*Dt_+sigma_*SQRT(Dt_)*_xlfn.NORM.INV(RAND(),0,1))</f>
        <v>98.7047652686943</v>
      </c>
      <c r="J303" s="25">
        <f ca="1">MAX(k_-I303,0)*EXP(-rs_*T_)</f>
        <v>0</v>
      </c>
      <c r="K303" s="25">
        <v>-1.25758339441801</v>
      </c>
      <c r="L303" s="25">
        <v>-1.82758339441801</v>
      </c>
      <c r="M303" s="28">
        <v>1</v>
      </c>
      <c r="N303" s="28">
        <v>1</v>
      </c>
    </row>
    <row r="304" spans="7:14">
      <c r="G304" s="24">
        <v>303</v>
      </c>
      <c r="H304" s="25">
        <f>S0_</f>
        <v>100</v>
      </c>
      <c r="I304" s="25">
        <f ca="1">S0_*EXP((mu_-sigma_^2/2)*Dt_+sigma_*SQRT(Dt_)*_xlfn.NORM.INV(RAND(),0,1))</f>
        <v>95.2591227554358</v>
      </c>
      <c r="J304" s="25">
        <f ca="1">MAX(k_-I304,0)*EXP(-rs_*T_)</f>
        <v>1.69027147093026</v>
      </c>
      <c r="K304" s="25">
        <v>-4.60306410385385</v>
      </c>
      <c r="L304" s="25">
        <v>-3.48279263292358</v>
      </c>
      <c r="M304" s="28">
        <v>1</v>
      </c>
      <c r="N304" s="28">
        <v>1</v>
      </c>
    </row>
    <row r="305" spans="7:14">
      <c r="G305" s="24">
        <v>304</v>
      </c>
      <c r="H305" s="25">
        <f>S0_</f>
        <v>100</v>
      </c>
      <c r="I305" s="25">
        <f ca="1">S0_*EXP((mu_-sigma_^2/2)*Dt_+sigma_*SQRT(Dt_)*_xlfn.NORM.INV(RAND(),0,1))</f>
        <v>111.520635060386</v>
      </c>
      <c r="J305" s="25">
        <f ca="1">MAX(k_-I305,0)*EXP(-rs_*T_)</f>
        <v>0</v>
      </c>
      <c r="K305" s="25">
        <v>11.1857403101644</v>
      </c>
      <c r="L305" s="25">
        <v>10.6157403101644</v>
      </c>
      <c r="M305" s="28">
        <v>0</v>
      </c>
      <c r="N305" s="28">
        <v>0</v>
      </c>
    </row>
    <row r="306" spans="7:14">
      <c r="G306" s="24">
        <v>305</v>
      </c>
      <c r="H306" s="25">
        <f>S0_</f>
        <v>100</v>
      </c>
      <c r="I306" s="25">
        <f ca="1">S0_*EXP((mu_-sigma_^2/2)*Dt_+sigma_*SQRT(Dt_)*_xlfn.NORM.INV(RAND(),0,1))</f>
        <v>95.2943526707454</v>
      </c>
      <c r="J306" s="25">
        <f ca="1">MAX(k_-I306,0)*EXP(-rs_*T_)</f>
        <v>1.65606565833957</v>
      </c>
      <c r="K306" s="25">
        <v>-4.56885829126315</v>
      </c>
      <c r="L306" s="25">
        <v>-3.48279263292358</v>
      </c>
      <c r="M306" s="28">
        <v>1</v>
      </c>
      <c r="N306" s="28">
        <v>1</v>
      </c>
    </row>
    <row r="307" spans="7:14">
      <c r="G307" s="24">
        <v>306</v>
      </c>
      <c r="H307" s="25">
        <f>S0_</f>
        <v>100</v>
      </c>
      <c r="I307" s="25">
        <f ca="1">S0_*EXP((mu_-sigma_^2/2)*Dt_+sigma_*SQRT(Dt_)*_xlfn.NORM.INV(RAND(),0,1))</f>
        <v>118.612571289356</v>
      </c>
      <c r="J307" s="25">
        <f ca="1">MAX(k_-I307,0)*EXP(-rs_*T_)</f>
        <v>0</v>
      </c>
      <c r="K307" s="25">
        <v>18.0715201771339</v>
      </c>
      <c r="L307" s="25">
        <v>17.5015201771339</v>
      </c>
      <c r="M307" s="28">
        <v>0</v>
      </c>
      <c r="N307" s="28">
        <v>0</v>
      </c>
    </row>
    <row r="308" spans="7:14">
      <c r="G308" s="24">
        <v>307</v>
      </c>
      <c r="H308" s="25">
        <f>S0_</f>
        <v>100</v>
      </c>
      <c r="I308" s="25">
        <f ca="1">S0_*EXP((mu_-sigma_^2/2)*Dt_+sigma_*SQRT(Dt_)*_xlfn.NORM.INV(RAND(),0,1))</f>
        <v>104.176389927127</v>
      </c>
      <c r="J308" s="25">
        <f ca="1">MAX(k_-I308,0)*EXP(-rs_*T_)</f>
        <v>0</v>
      </c>
      <c r="K308" s="25">
        <v>4.05498593731684</v>
      </c>
      <c r="L308" s="25">
        <v>3.48498593731684</v>
      </c>
      <c r="M308" s="28">
        <v>0</v>
      </c>
      <c r="N308" s="28">
        <v>0</v>
      </c>
    </row>
    <row r="309" spans="7:14">
      <c r="G309" s="24">
        <v>308</v>
      </c>
      <c r="H309" s="25">
        <f>S0_</f>
        <v>100</v>
      </c>
      <c r="I309" s="25">
        <f ca="1">S0_*EXP((mu_-sigma_^2/2)*Dt_+sigma_*SQRT(Dt_)*_xlfn.NORM.INV(RAND(),0,1))</f>
        <v>87.867671475063</v>
      </c>
      <c r="J309" s="25">
        <f ca="1">MAX(k_-I309,0)*EXP(-rs_*T_)</f>
        <v>8.86685974962483</v>
      </c>
      <c r="K309" s="25">
        <v>-11.7796523825484</v>
      </c>
      <c r="L309" s="25">
        <v>-3.48279263292358</v>
      </c>
      <c r="M309" s="28">
        <v>1</v>
      </c>
      <c r="N309" s="28">
        <v>1</v>
      </c>
    </row>
    <row r="310" spans="7:14">
      <c r="G310" s="24">
        <v>309</v>
      </c>
      <c r="H310" s="25">
        <f>S0_</f>
        <v>100</v>
      </c>
      <c r="I310" s="25">
        <f ca="1">S0_*EXP((mu_-sigma_^2/2)*Dt_+sigma_*SQRT(Dt_)*_xlfn.NORM.INV(RAND(),0,1))</f>
        <v>99.7781064360208</v>
      </c>
      <c r="J310" s="25">
        <f ca="1">MAX(k_-I310,0)*EXP(-rs_*T_)</f>
        <v>0</v>
      </c>
      <c r="K310" s="25">
        <v>-0.215443312817292</v>
      </c>
      <c r="L310" s="25">
        <v>-0.785443312817292</v>
      </c>
      <c r="M310" s="28">
        <v>1</v>
      </c>
      <c r="N310" s="28">
        <v>1</v>
      </c>
    </row>
    <row r="311" spans="7:14">
      <c r="G311" s="24">
        <v>310</v>
      </c>
      <c r="H311" s="25">
        <f>S0_</f>
        <v>100</v>
      </c>
      <c r="I311" s="25">
        <f ca="1">S0_*EXP((mu_-sigma_^2/2)*Dt_+sigma_*SQRT(Dt_)*_xlfn.NORM.INV(RAND(),0,1))</f>
        <v>102.275918080347</v>
      </c>
      <c r="J311" s="25">
        <f ca="1">MAX(k_-I311,0)*EXP(-rs_*T_)</f>
        <v>0</v>
      </c>
      <c r="K311" s="25">
        <v>2.20975913919112</v>
      </c>
      <c r="L311" s="25">
        <v>1.63975913919112</v>
      </c>
      <c r="M311" s="28">
        <v>0</v>
      </c>
      <c r="N311" s="28">
        <v>0</v>
      </c>
    </row>
    <row r="312" spans="7:14">
      <c r="G312" s="24">
        <v>311</v>
      </c>
      <c r="H312" s="25">
        <f>S0_</f>
        <v>100</v>
      </c>
      <c r="I312" s="25">
        <f ca="1">S0_*EXP((mu_-sigma_^2/2)*Dt_+sigma_*SQRT(Dt_)*_xlfn.NORM.INV(RAND(),0,1))</f>
        <v>113.834062227108</v>
      </c>
      <c r="J312" s="25">
        <f ca="1">MAX(k_-I312,0)*EXP(-rs_*T_)</f>
        <v>0</v>
      </c>
      <c r="K312" s="25">
        <v>13.4319181795086</v>
      </c>
      <c r="L312" s="25">
        <v>12.8619181795086</v>
      </c>
      <c r="M312" s="28">
        <v>0</v>
      </c>
      <c r="N312" s="28">
        <v>0</v>
      </c>
    </row>
    <row r="313" spans="7:14">
      <c r="G313" s="24">
        <v>312</v>
      </c>
      <c r="H313" s="25">
        <f>S0_</f>
        <v>100</v>
      </c>
      <c r="I313" s="25">
        <f ca="1">S0_*EXP((mu_-sigma_^2/2)*Dt_+sigma_*SQRT(Dt_)*_xlfn.NORM.INV(RAND(),0,1))</f>
        <v>90.9874257147929</v>
      </c>
      <c r="J313" s="25">
        <f ca="1">MAX(k_-I313,0)*EXP(-rs_*T_)</f>
        <v>5.83779402761903</v>
      </c>
      <c r="K313" s="25">
        <v>-8.75058666054261</v>
      </c>
      <c r="L313" s="25">
        <v>-3.48279263292358</v>
      </c>
      <c r="M313" s="28">
        <v>1</v>
      </c>
      <c r="N313" s="28">
        <v>1</v>
      </c>
    </row>
    <row r="314" spans="7:14">
      <c r="G314" s="24">
        <v>313</v>
      </c>
      <c r="H314" s="25">
        <f>S0_</f>
        <v>100</v>
      </c>
      <c r="I314" s="25">
        <f ca="1">S0_*EXP((mu_-sigma_^2/2)*Dt_+sigma_*SQRT(Dt_)*_xlfn.NORM.INV(RAND(),0,1))</f>
        <v>128.626041592008</v>
      </c>
      <c r="J314" s="25">
        <f ca="1">MAX(k_-I314,0)*EXP(-rs_*T_)</f>
        <v>0</v>
      </c>
      <c r="K314" s="25">
        <v>27.7939076863216</v>
      </c>
      <c r="L314" s="25">
        <v>27.2239076863216</v>
      </c>
      <c r="M314" s="28">
        <v>0</v>
      </c>
      <c r="N314" s="28">
        <v>0</v>
      </c>
    </row>
    <row r="315" spans="7:14">
      <c r="G315" s="24">
        <v>314</v>
      </c>
      <c r="H315" s="25">
        <f>S0_</f>
        <v>100</v>
      </c>
      <c r="I315" s="25">
        <f ca="1">S0_*EXP((mu_-sigma_^2/2)*Dt_+sigma_*SQRT(Dt_)*_xlfn.NORM.INV(RAND(),0,1))</f>
        <v>96.9284145320798</v>
      </c>
      <c r="J315" s="25">
        <f ca="1">MAX(k_-I315,0)*EXP(-rs_*T_)</f>
        <v>0.0695045411941026</v>
      </c>
      <c r="K315" s="25">
        <v>-2.98229717411768</v>
      </c>
      <c r="L315" s="25">
        <v>-3.48279263292358</v>
      </c>
      <c r="M315" s="28">
        <v>1</v>
      </c>
      <c r="N315" s="28">
        <v>1</v>
      </c>
    </row>
    <row r="316" spans="7:14">
      <c r="G316" s="24">
        <v>315</v>
      </c>
      <c r="H316" s="25">
        <f>S0_</f>
        <v>100</v>
      </c>
      <c r="I316" s="25">
        <f ca="1">S0_*EXP((mu_-sigma_^2/2)*Dt_+sigma_*SQRT(Dt_)*_xlfn.NORM.INV(RAND(),0,1))</f>
        <v>100.821100682733</v>
      </c>
      <c r="J316" s="25">
        <f ca="1">MAX(k_-I316,0)*EXP(-rs_*T_)</f>
        <v>0</v>
      </c>
      <c r="K316" s="25">
        <v>0.797232006517408</v>
      </c>
      <c r="L316" s="25">
        <v>0.227232006517408</v>
      </c>
      <c r="M316" s="28">
        <v>0</v>
      </c>
      <c r="N316" s="28">
        <v>0</v>
      </c>
    </row>
    <row r="317" spans="7:14">
      <c r="G317" s="24">
        <v>316</v>
      </c>
      <c r="H317" s="25">
        <f>S0_</f>
        <v>100</v>
      </c>
      <c r="I317" s="25">
        <f ca="1">S0_*EXP((mu_-sigma_^2/2)*Dt_+sigma_*SQRT(Dt_)*_xlfn.NORM.INV(RAND(),0,1))</f>
        <v>95.0255873901901</v>
      </c>
      <c r="J317" s="25">
        <f ca="1">MAX(k_-I317,0)*EXP(-rs_*T_)</f>
        <v>1.91701816806856</v>
      </c>
      <c r="K317" s="25">
        <v>-4.82981080099214</v>
      </c>
      <c r="L317" s="25">
        <v>-3.48279263292358</v>
      </c>
      <c r="M317" s="28">
        <v>1</v>
      </c>
      <c r="N317" s="28">
        <v>1</v>
      </c>
    </row>
    <row r="318" spans="7:14">
      <c r="G318" s="24">
        <v>317</v>
      </c>
      <c r="H318" s="25">
        <f>S0_</f>
        <v>100</v>
      </c>
      <c r="I318" s="25">
        <f ca="1">S0_*EXP((mu_-sigma_^2/2)*Dt_+sigma_*SQRT(Dt_)*_xlfn.NORM.INV(RAND(),0,1))</f>
        <v>111.588199649138</v>
      </c>
      <c r="J318" s="25">
        <f ca="1">MAX(k_-I318,0)*EXP(-rs_*T_)</f>
        <v>0</v>
      </c>
      <c r="K318" s="25">
        <v>11.2513408556186</v>
      </c>
      <c r="L318" s="25">
        <v>10.6813408556186</v>
      </c>
      <c r="M318" s="28">
        <v>0</v>
      </c>
      <c r="N318" s="28">
        <v>0</v>
      </c>
    </row>
    <row r="319" spans="7:14">
      <c r="G319" s="24">
        <v>318</v>
      </c>
      <c r="H319" s="25">
        <f>S0_</f>
        <v>100</v>
      </c>
      <c r="I319" s="25">
        <f ca="1">S0_*EXP((mu_-sigma_^2/2)*Dt_+sigma_*SQRT(Dt_)*_xlfn.NORM.INV(RAND(),0,1))</f>
        <v>88.9863769759586</v>
      </c>
      <c r="J319" s="25">
        <f ca="1">MAX(k_-I319,0)*EXP(-rs_*T_)</f>
        <v>7.78067403581816</v>
      </c>
      <c r="K319" s="25">
        <v>-10.6934666687417</v>
      </c>
      <c r="L319" s="25">
        <v>-3.48279263292358</v>
      </c>
      <c r="M319" s="28">
        <v>1</v>
      </c>
      <c r="N319" s="28">
        <v>1</v>
      </c>
    </row>
    <row r="320" spans="7:14">
      <c r="G320" s="24">
        <v>319</v>
      </c>
      <c r="H320" s="25">
        <f>S0_</f>
        <v>100</v>
      </c>
      <c r="I320" s="25">
        <f ca="1">S0_*EXP((mu_-sigma_^2/2)*Dt_+sigma_*SQRT(Dt_)*_xlfn.NORM.INV(RAND(),0,1))</f>
        <v>104.438811920771</v>
      </c>
      <c r="J320" s="25">
        <f ca="1">MAX(k_-I320,0)*EXP(-rs_*T_)</f>
        <v>0</v>
      </c>
      <c r="K320" s="25">
        <v>4.30977955391881</v>
      </c>
      <c r="L320" s="25">
        <v>3.73977955391881</v>
      </c>
      <c r="M320" s="28">
        <v>0</v>
      </c>
      <c r="N320" s="28">
        <v>0</v>
      </c>
    </row>
    <row r="321" spans="7:14">
      <c r="G321" s="24">
        <v>320</v>
      </c>
      <c r="H321" s="25">
        <f>S0_</f>
        <v>100</v>
      </c>
      <c r="I321" s="25">
        <f ca="1">S0_*EXP((mu_-sigma_^2/2)*Dt_+sigma_*SQRT(Dt_)*_xlfn.NORM.INV(RAND(),0,1))</f>
        <v>111.564701992697</v>
      </c>
      <c r="J321" s="25">
        <f ca="1">MAX(k_-I321,0)*EXP(-rs_*T_)</f>
        <v>0</v>
      </c>
      <c r="K321" s="25">
        <v>11.2285262554286</v>
      </c>
      <c r="L321" s="25">
        <v>10.6585262554286</v>
      </c>
      <c r="M321" s="28">
        <v>0</v>
      </c>
      <c r="N321" s="28">
        <v>0</v>
      </c>
    </row>
    <row r="322" spans="7:14">
      <c r="G322" s="24">
        <v>321</v>
      </c>
      <c r="H322" s="25">
        <f>S0_</f>
        <v>100</v>
      </c>
      <c r="I322" s="25">
        <f ca="1">S0_*EXP((mu_-sigma_^2/2)*Dt_+sigma_*SQRT(Dt_)*_xlfn.NORM.INV(RAND(),0,1))</f>
        <v>84.2101770563681</v>
      </c>
      <c r="J322" s="25">
        <f ca="1">MAX(k_-I322,0)*EXP(-rs_*T_)</f>
        <v>12.418034015536</v>
      </c>
      <c r="K322" s="25">
        <v>-15.3308266484596</v>
      </c>
      <c r="L322" s="25">
        <v>-3.48279263292358</v>
      </c>
      <c r="M322" s="28">
        <v>1</v>
      </c>
      <c r="N322" s="28">
        <v>1</v>
      </c>
    </row>
    <row r="323" spans="7:14">
      <c r="G323" s="24">
        <v>322</v>
      </c>
      <c r="H323" s="25">
        <f>S0_</f>
        <v>100</v>
      </c>
      <c r="I323" s="25">
        <f ca="1">S0_*EXP((mu_-sigma_^2/2)*Dt_+sigma_*SQRT(Dt_)*_xlfn.NORM.INV(RAND(),0,1))</f>
        <v>91.047000667436</v>
      </c>
      <c r="J323" s="25">
        <f ca="1">MAX(k_-I323,0)*EXP(-rs_*T_)</f>
        <v>5.77995086656385</v>
      </c>
      <c r="K323" s="25">
        <v>-8.69274349948744</v>
      </c>
      <c r="L323" s="25">
        <v>-3.48279263292358</v>
      </c>
      <c r="M323" s="28">
        <v>1</v>
      </c>
      <c r="N323" s="28">
        <v>1</v>
      </c>
    </row>
    <row r="324" spans="7:14">
      <c r="G324" s="24">
        <v>323</v>
      </c>
      <c r="H324" s="25">
        <f>S0_</f>
        <v>100</v>
      </c>
      <c r="I324" s="25">
        <f ca="1">S0_*EXP((mu_-sigma_^2/2)*Dt_+sigma_*SQRT(Dt_)*_xlfn.NORM.INV(RAND(),0,1))</f>
        <v>108.150642503952</v>
      </c>
      <c r="J324" s="25">
        <f ca="1">MAX(k_-I324,0)*EXP(-rs_*T_)</f>
        <v>0</v>
      </c>
      <c r="K324" s="25">
        <v>7.9137104797018</v>
      </c>
      <c r="L324" s="25">
        <v>7.3437104797018</v>
      </c>
      <c r="M324" s="28">
        <v>0</v>
      </c>
      <c r="N324" s="28">
        <v>0</v>
      </c>
    </row>
    <row r="325" spans="7:14">
      <c r="G325" s="24">
        <v>324</v>
      </c>
      <c r="H325" s="25">
        <f>S0_</f>
        <v>100</v>
      </c>
      <c r="I325" s="25">
        <f ca="1">S0_*EXP((mu_-sigma_^2/2)*Dt_+sigma_*SQRT(Dt_)*_xlfn.NORM.INV(RAND(),0,1))</f>
        <v>97.4557139075806</v>
      </c>
      <c r="J325" s="25">
        <f ca="1">MAX(k_-I325,0)*EXP(-rs_*T_)</f>
        <v>0</v>
      </c>
      <c r="K325" s="25">
        <v>-2.47032592868304</v>
      </c>
      <c r="L325" s="25">
        <v>-3.04032592868304</v>
      </c>
      <c r="M325" s="28">
        <v>1</v>
      </c>
      <c r="N325" s="28">
        <v>1</v>
      </c>
    </row>
    <row r="326" spans="7:14">
      <c r="G326" s="24">
        <v>325</v>
      </c>
      <c r="H326" s="25">
        <f>S0_</f>
        <v>100</v>
      </c>
      <c r="I326" s="25">
        <f ca="1">S0_*EXP((mu_-sigma_^2/2)*Dt_+sigma_*SQRT(Dt_)*_xlfn.NORM.INV(RAND(),0,1))</f>
        <v>107.586128375922</v>
      </c>
      <c r="J326" s="25">
        <f ca="1">MAX(k_-I326,0)*EXP(-rs_*T_)</f>
        <v>0</v>
      </c>
      <c r="K326" s="25">
        <v>7.36560628193294</v>
      </c>
      <c r="L326" s="25">
        <v>6.79560628193294</v>
      </c>
      <c r="M326" s="28">
        <v>0</v>
      </c>
      <c r="N326" s="28">
        <v>0</v>
      </c>
    </row>
    <row r="327" spans="7:14">
      <c r="G327" s="24">
        <v>326</v>
      </c>
      <c r="H327" s="25">
        <f>S0_</f>
        <v>100</v>
      </c>
      <c r="I327" s="25">
        <f ca="1">S0_*EXP((mu_-sigma_^2/2)*Dt_+sigma_*SQRT(Dt_)*_xlfn.NORM.INV(RAND(),0,1))</f>
        <v>104.71703264402</v>
      </c>
      <c r="J327" s="25">
        <f ca="1">MAX(k_-I327,0)*EXP(-rs_*T_)</f>
        <v>0</v>
      </c>
      <c r="K327" s="25">
        <v>4.57991264492088</v>
      </c>
      <c r="L327" s="25">
        <v>4.00991264492088</v>
      </c>
      <c r="M327" s="28">
        <v>0</v>
      </c>
      <c r="N327" s="28">
        <v>0</v>
      </c>
    </row>
    <row r="328" spans="7:14">
      <c r="G328" s="24">
        <v>327</v>
      </c>
      <c r="H328" s="25">
        <f>S0_</f>
        <v>100</v>
      </c>
      <c r="I328" s="25">
        <f ca="1">S0_*EXP((mu_-sigma_^2/2)*Dt_+sigma_*SQRT(Dt_)*_xlfn.NORM.INV(RAND(),0,1))</f>
        <v>86.6815541420998</v>
      </c>
      <c r="J328" s="25">
        <f ca="1">MAX(k_-I328,0)*EXP(-rs_*T_)</f>
        <v>10.0184976927042</v>
      </c>
      <c r="K328" s="25">
        <v>-12.9312903256278</v>
      </c>
      <c r="L328" s="25">
        <v>-3.48279263292358</v>
      </c>
      <c r="M328" s="28">
        <v>1</v>
      </c>
      <c r="N328" s="28">
        <v>1</v>
      </c>
    </row>
    <row r="329" spans="7:14">
      <c r="G329" s="24">
        <v>328</v>
      </c>
      <c r="H329" s="25">
        <f>S0_</f>
        <v>100</v>
      </c>
      <c r="I329" s="25">
        <f ca="1">S0_*EXP((mu_-sigma_^2/2)*Dt_+sigma_*SQRT(Dt_)*_xlfn.NORM.INV(RAND(),0,1))</f>
        <v>96.5692838181708</v>
      </c>
      <c r="J329" s="25">
        <f ca="1">MAX(k_-I329,0)*EXP(-rs_*T_)</f>
        <v>0.418195640437659</v>
      </c>
      <c r="K329" s="25">
        <v>-3.33098827336124</v>
      </c>
      <c r="L329" s="25">
        <v>-3.48279263292358</v>
      </c>
      <c r="M329" s="28">
        <v>1</v>
      </c>
      <c r="N329" s="28">
        <v>1</v>
      </c>
    </row>
    <row r="330" spans="7:14">
      <c r="G330" s="24">
        <v>329</v>
      </c>
      <c r="H330" s="25">
        <f>S0_</f>
        <v>100</v>
      </c>
      <c r="I330" s="25">
        <f ca="1">S0_*EXP((mu_-sigma_^2/2)*Dt_+sigma_*SQRT(Dt_)*_xlfn.NORM.INV(RAND(),0,1))</f>
        <v>109.866980171707</v>
      </c>
      <c r="J330" s="25">
        <f ca="1">MAX(k_-I330,0)*EXP(-rs_*T_)</f>
        <v>0</v>
      </c>
      <c r="K330" s="25">
        <v>9.58015571778408</v>
      </c>
      <c r="L330" s="25">
        <v>9.01015571778408</v>
      </c>
      <c r="M330" s="28">
        <v>0</v>
      </c>
      <c r="N330" s="28">
        <v>0</v>
      </c>
    </row>
    <row r="331" spans="7:14">
      <c r="G331" s="24">
        <v>330</v>
      </c>
      <c r="H331" s="25">
        <f>S0_</f>
        <v>100</v>
      </c>
      <c r="I331" s="25">
        <f ca="1">S0_*EXP((mu_-sigma_^2/2)*Dt_+sigma_*SQRT(Dt_)*_xlfn.NORM.INV(RAND(),0,1))</f>
        <v>117.95000955761</v>
      </c>
      <c r="J331" s="25">
        <f ca="1">MAX(k_-I331,0)*EXP(-rs_*T_)</f>
        <v>0</v>
      </c>
      <c r="K331" s="25">
        <v>17.4282185334386</v>
      </c>
      <c r="L331" s="25">
        <v>16.8582185334386</v>
      </c>
      <c r="M331" s="28">
        <v>0</v>
      </c>
      <c r="N331" s="28">
        <v>0</v>
      </c>
    </row>
    <row r="332" spans="7:14">
      <c r="G332" s="24">
        <v>331</v>
      </c>
      <c r="H332" s="25">
        <f>S0_</f>
        <v>100</v>
      </c>
      <c r="I332" s="25">
        <f ca="1">S0_*EXP((mu_-sigma_^2/2)*Dt_+sigma_*SQRT(Dt_)*_xlfn.NORM.INV(RAND(),0,1))</f>
        <v>97.9529566676493</v>
      </c>
      <c r="J332" s="25">
        <f ca="1">MAX(k_-I332,0)*EXP(-rs_*T_)</f>
        <v>0</v>
      </c>
      <c r="K332" s="25">
        <v>-1.98753757924879</v>
      </c>
      <c r="L332" s="25">
        <v>-2.55753757924879</v>
      </c>
      <c r="M332" s="28">
        <v>1</v>
      </c>
      <c r="N332" s="28">
        <v>1</v>
      </c>
    </row>
    <row r="333" spans="7:14">
      <c r="G333" s="24">
        <v>332</v>
      </c>
      <c r="H333" s="25">
        <f>S0_</f>
        <v>100</v>
      </c>
      <c r="I333" s="25">
        <f ca="1">S0_*EXP((mu_-sigma_^2/2)*Dt_+sigma_*SQRT(Dt_)*_xlfn.NORM.INV(RAND(),0,1))</f>
        <v>95.431018925036</v>
      </c>
      <c r="J333" s="25">
        <f ca="1">MAX(k_-I333,0)*EXP(-rs_*T_)</f>
        <v>1.52337217211722</v>
      </c>
      <c r="K333" s="25">
        <v>-4.4361648050408</v>
      </c>
      <c r="L333" s="25">
        <v>-3.48279263292358</v>
      </c>
      <c r="M333" s="28">
        <v>1</v>
      </c>
      <c r="N333" s="28">
        <v>1</v>
      </c>
    </row>
    <row r="334" spans="7:14">
      <c r="G334" s="24">
        <v>333</v>
      </c>
      <c r="H334" s="25">
        <f>S0_</f>
        <v>100</v>
      </c>
      <c r="I334" s="25">
        <f ca="1">S0_*EXP((mu_-sigma_^2/2)*Dt_+sigma_*SQRT(Dt_)*_xlfn.NORM.INV(RAND(),0,1))</f>
        <v>114.012157725222</v>
      </c>
      <c r="J334" s="25">
        <f ca="1">MAX(k_-I334,0)*EXP(-rs_*T_)</f>
        <v>0</v>
      </c>
      <c r="K334" s="25">
        <v>13.6048365977964</v>
      </c>
      <c r="L334" s="25">
        <v>13.0348365977964</v>
      </c>
      <c r="M334" s="28">
        <v>0</v>
      </c>
      <c r="N334" s="28">
        <v>0</v>
      </c>
    </row>
    <row r="335" spans="7:14">
      <c r="G335" s="24">
        <v>334</v>
      </c>
      <c r="H335" s="25">
        <f>S0_</f>
        <v>100</v>
      </c>
      <c r="I335" s="25">
        <f ca="1">S0_*EXP((mu_-sigma_^2/2)*Dt_+sigma_*SQRT(Dt_)*_xlfn.NORM.INV(RAND(),0,1))</f>
        <v>106.153795433869</v>
      </c>
      <c r="J335" s="25">
        <f ca="1">MAX(k_-I335,0)*EXP(-rs_*T_)</f>
        <v>0</v>
      </c>
      <c r="K335" s="25">
        <v>5.97491000143078</v>
      </c>
      <c r="L335" s="25">
        <v>5.40491000143078</v>
      </c>
      <c r="M335" s="28">
        <v>0</v>
      </c>
      <c r="N335" s="28">
        <v>0</v>
      </c>
    </row>
    <row r="336" spans="7:14">
      <c r="G336" s="24">
        <v>335</v>
      </c>
      <c r="H336" s="25">
        <f>S0_</f>
        <v>100</v>
      </c>
      <c r="I336" s="25">
        <f ca="1">S0_*EXP((mu_-sigma_^2/2)*Dt_+sigma_*SQRT(Dt_)*_xlfn.NORM.INV(RAND(),0,1))</f>
        <v>103.266837197716</v>
      </c>
      <c r="J336" s="25">
        <f ca="1">MAX(k_-I336,0)*EXP(-rs_*T_)</f>
        <v>0</v>
      </c>
      <c r="K336" s="25">
        <v>3.17187310748946</v>
      </c>
      <c r="L336" s="25">
        <v>2.60187310748946</v>
      </c>
      <c r="M336" s="28">
        <v>0</v>
      </c>
      <c r="N336" s="28">
        <v>0</v>
      </c>
    </row>
    <row r="337" spans="7:14">
      <c r="G337" s="24">
        <v>336</v>
      </c>
      <c r="H337" s="25">
        <f>S0_</f>
        <v>100</v>
      </c>
      <c r="I337" s="25">
        <f ca="1">S0_*EXP((mu_-sigma_^2/2)*Dt_+sigma_*SQRT(Dt_)*_xlfn.NORM.INV(RAND(),0,1))</f>
        <v>102.050359568664</v>
      </c>
      <c r="J337" s="25">
        <f ca="1">MAX(k_-I337,0)*EXP(-rs_*T_)</f>
        <v>0</v>
      </c>
      <c r="K337" s="25">
        <v>1.99075741548295</v>
      </c>
      <c r="L337" s="25">
        <v>1.42075741548295</v>
      </c>
      <c r="M337" s="28">
        <v>0</v>
      </c>
      <c r="N337" s="28">
        <v>0</v>
      </c>
    </row>
    <row r="338" spans="7:14">
      <c r="G338" s="24">
        <v>337</v>
      </c>
      <c r="H338" s="25">
        <f>S0_</f>
        <v>100</v>
      </c>
      <c r="I338" s="25">
        <f ca="1">S0_*EXP((mu_-sigma_^2/2)*Dt_+sigma_*SQRT(Dt_)*_xlfn.NORM.INV(RAND(),0,1))</f>
        <v>117.379979261479</v>
      </c>
      <c r="J338" s="25">
        <f ca="1">MAX(k_-I338,0)*EXP(-rs_*T_)</f>
        <v>0</v>
      </c>
      <c r="K338" s="25">
        <v>16.8747585177331</v>
      </c>
      <c r="L338" s="25">
        <v>16.3047585177331</v>
      </c>
      <c r="M338" s="28">
        <v>0</v>
      </c>
      <c r="N338" s="28">
        <v>0</v>
      </c>
    </row>
    <row r="339" spans="7:14">
      <c r="G339" s="24">
        <v>338</v>
      </c>
      <c r="H339" s="25">
        <f>S0_</f>
        <v>100</v>
      </c>
      <c r="I339" s="25">
        <f ca="1">S0_*EXP((mu_-sigma_^2/2)*Dt_+sigma_*SQRT(Dt_)*_xlfn.NORM.INV(RAND(),0,1))</f>
        <v>101.8978587841</v>
      </c>
      <c r="J339" s="25">
        <f ca="1">MAX(k_-I339,0)*EXP(-rs_*T_)</f>
        <v>0</v>
      </c>
      <c r="K339" s="25">
        <v>1.84268969488493</v>
      </c>
      <c r="L339" s="25">
        <v>1.27268969488493</v>
      </c>
      <c r="M339" s="28">
        <v>0</v>
      </c>
      <c r="N339" s="28">
        <v>0</v>
      </c>
    </row>
    <row r="340" spans="7:14">
      <c r="G340" s="24">
        <v>339</v>
      </c>
      <c r="H340" s="25">
        <f>S0_</f>
        <v>100</v>
      </c>
      <c r="I340" s="25">
        <f ca="1">S0_*EXP((mu_-sigma_^2/2)*Dt_+sigma_*SQRT(Dt_)*_xlfn.NORM.INV(RAND(),0,1))</f>
        <v>115.996391132912</v>
      </c>
      <c r="J340" s="25">
        <f ca="1">MAX(k_-I340,0)*EXP(-rs_*T_)</f>
        <v>0</v>
      </c>
      <c r="K340" s="25">
        <v>15.5313900817704</v>
      </c>
      <c r="L340" s="25">
        <v>14.9613900817704</v>
      </c>
      <c r="M340" s="28">
        <v>0</v>
      </c>
      <c r="N340" s="28">
        <v>0</v>
      </c>
    </row>
    <row r="341" spans="7:14">
      <c r="G341" s="24">
        <v>340</v>
      </c>
      <c r="H341" s="25">
        <f>S0_</f>
        <v>100</v>
      </c>
      <c r="I341" s="25">
        <f ca="1">S0_*EXP((mu_-sigma_^2/2)*Dt_+sigma_*SQRT(Dt_)*_xlfn.NORM.INV(RAND(),0,1))</f>
        <v>106.768351170437</v>
      </c>
      <c r="J341" s="25">
        <f ca="1">MAX(k_-I341,0)*EXP(-rs_*T_)</f>
        <v>0</v>
      </c>
      <c r="K341" s="25">
        <v>6.57160114209637</v>
      </c>
      <c r="L341" s="25">
        <v>6.00160114209637</v>
      </c>
      <c r="M341" s="28">
        <v>0</v>
      </c>
      <c r="N341" s="28">
        <v>0</v>
      </c>
    </row>
    <row r="342" spans="7:14">
      <c r="G342" s="24">
        <v>341</v>
      </c>
      <c r="H342" s="25">
        <f>S0_</f>
        <v>100</v>
      </c>
      <c r="I342" s="25">
        <f ca="1">S0_*EXP((mu_-sigma_^2/2)*Dt_+sigma_*SQRT(Dt_)*_xlfn.NORM.INV(RAND(),0,1))</f>
        <v>107.315753594724</v>
      </c>
      <c r="J342" s="25">
        <f ca="1">MAX(k_-I342,0)*EXP(-rs_*T_)</f>
        <v>0</v>
      </c>
      <c r="K342" s="25">
        <v>7.10309105833193</v>
      </c>
      <c r="L342" s="25">
        <v>6.53309105833193</v>
      </c>
      <c r="M342" s="28">
        <v>0</v>
      </c>
      <c r="N342" s="28">
        <v>0</v>
      </c>
    </row>
    <row r="343" spans="7:14">
      <c r="G343" s="24">
        <v>342</v>
      </c>
      <c r="H343" s="25">
        <f>S0_</f>
        <v>100</v>
      </c>
      <c r="I343" s="25">
        <f ca="1">S0_*EXP((mu_-sigma_^2/2)*Dt_+sigma_*SQRT(Dt_)*_xlfn.NORM.INV(RAND(),0,1))</f>
        <v>93.0277476753676</v>
      </c>
      <c r="J343" s="25">
        <f ca="1">MAX(k_-I343,0)*EXP(-rs_*T_)</f>
        <v>3.85678243576764</v>
      </c>
      <c r="K343" s="25">
        <v>-6.76957506869123</v>
      </c>
      <c r="L343" s="25">
        <v>-3.48279263292358</v>
      </c>
      <c r="M343" s="28">
        <v>1</v>
      </c>
      <c r="N343" s="28">
        <v>1</v>
      </c>
    </row>
    <row r="344" spans="7:14">
      <c r="G344" s="24">
        <v>343</v>
      </c>
      <c r="H344" s="25">
        <f>S0_</f>
        <v>100</v>
      </c>
      <c r="I344" s="25">
        <f ca="1">S0_*EXP((mu_-sigma_^2/2)*Dt_+sigma_*SQRT(Dt_)*_xlfn.NORM.INV(RAND(),0,1))</f>
        <v>87.4188951942771</v>
      </c>
      <c r="J344" s="25">
        <f ca="1">MAX(k_-I344,0)*EXP(-rs_*T_)</f>
        <v>9.30259049779279</v>
      </c>
      <c r="K344" s="25">
        <v>-12.2153831307164</v>
      </c>
      <c r="L344" s="25">
        <v>-3.48279263292358</v>
      </c>
      <c r="M344" s="28">
        <v>1</v>
      </c>
      <c r="N344" s="28">
        <v>1</v>
      </c>
    </row>
    <row r="345" spans="7:14">
      <c r="G345" s="24">
        <v>344</v>
      </c>
      <c r="H345" s="25">
        <f>S0_</f>
        <v>100</v>
      </c>
      <c r="I345" s="25">
        <f ca="1">S0_*EXP((mu_-sigma_^2/2)*Dt_+sigma_*SQRT(Dt_)*_xlfn.NORM.INV(RAND(),0,1))</f>
        <v>92.2035324402677</v>
      </c>
      <c r="J345" s="25">
        <f ca="1">MAX(k_-I345,0)*EXP(-rs_*T_)</f>
        <v>4.65703845734841</v>
      </c>
      <c r="K345" s="25">
        <v>-7.56983109027199</v>
      </c>
      <c r="L345" s="25">
        <v>-3.48279263292358</v>
      </c>
      <c r="M345" s="28">
        <v>1</v>
      </c>
      <c r="N345" s="28">
        <v>1</v>
      </c>
    </row>
    <row r="346" spans="7:14">
      <c r="G346" s="24">
        <v>345</v>
      </c>
      <c r="H346" s="25">
        <f>S0_</f>
        <v>100</v>
      </c>
      <c r="I346" s="25">
        <f ca="1">S0_*EXP((mu_-sigma_^2/2)*Dt_+sigma_*SQRT(Dt_)*_xlfn.NORM.INV(RAND(),0,1))</f>
        <v>114.900227415328</v>
      </c>
      <c r="J346" s="25">
        <f ca="1">MAX(k_-I346,0)*EXP(-rs_*T_)</f>
        <v>0</v>
      </c>
      <c r="K346" s="25">
        <v>14.4670908814179</v>
      </c>
      <c r="L346" s="25">
        <v>13.8970908814179</v>
      </c>
      <c r="M346" s="28">
        <v>0</v>
      </c>
      <c r="N346" s="28">
        <v>0</v>
      </c>
    </row>
    <row r="347" spans="7:14">
      <c r="G347" s="24">
        <v>346</v>
      </c>
      <c r="H347" s="25">
        <f>S0_</f>
        <v>100</v>
      </c>
      <c r="I347" s="25">
        <f ca="1">S0_*EXP((mu_-sigma_^2/2)*Dt_+sigma_*SQRT(Dt_)*_xlfn.NORM.INV(RAND(),0,1))</f>
        <v>108.707876742759</v>
      </c>
      <c r="J347" s="25">
        <f ca="1">MAX(k_-I347,0)*EXP(-rs_*T_)</f>
        <v>0</v>
      </c>
      <c r="K347" s="25">
        <v>8.45474640823792</v>
      </c>
      <c r="L347" s="25">
        <v>7.88474640823792</v>
      </c>
      <c r="M347" s="28">
        <v>0</v>
      </c>
      <c r="N347" s="28">
        <v>0</v>
      </c>
    </row>
    <row r="348" spans="7:14">
      <c r="G348" s="24">
        <v>347</v>
      </c>
      <c r="H348" s="25">
        <f>S0_</f>
        <v>100</v>
      </c>
      <c r="I348" s="25">
        <f ca="1">S0_*EXP((mu_-sigma_^2/2)*Dt_+sigma_*SQRT(Dt_)*_xlfn.NORM.INV(RAND(),0,1))</f>
        <v>90.1927238272892</v>
      </c>
      <c r="J348" s="25">
        <f ca="1">MAX(k_-I348,0)*EXP(-rs_*T_)</f>
        <v>6.60939462871606</v>
      </c>
      <c r="K348" s="25">
        <v>-9.52218726163964</v>
      </c>
      <c r="L348" s="25">
        <v>-3.48279263292358</v>
      </c>
      <c r="M348" s="28">
        <v>1</v>
      </c>
      <c r="N348" s="28">
        <v>1</v>
      </c>
    </row>
    <row r="349" spans="7:14">
      <c r="G349" s="24">
        <v>348</v>
      </c>
      <c r="H349" s="25">
        <f>S0_</f>
        <v>100</v>
      </c>
      <c r="I349" s="25">
        <f ca="1">S0_*EXP((mu_-sigma_^2/2)*Dt_+sigma_*SQRT(Dt_)*_xlfn.NORM.INV(RAND(),0,1))</f>
        <v>116.256296872097</v>
      </c>
      <c r="J349" s="25">
        <f ca="1">MAX(k_-I349,0)*EXP(-rs_*T_)</f>
        <v>0</v>
      </c>
      <c r="K349" s="25">
        <v>15.7837405892206</v>
      </c>
      <c r="L349" s="25">
        <v>15.2137405892206</v>
      </c>
      <c r="M349" s="28">
        <v>0</v>
      </c>
      <c r="N349" s="28">
        <v>0</v>
      </c>
    </row>
    <row r="350" spans="7:14">
      <c r="G350" s="24">
        <v>349</v>
      </c>
      <c r="H350" s="25">
        <f>S0_</f>
        <v>100</v>
      </c>
      <c r="I350" s="25">
        <f ca="1">S0_*EXP((mu_-sigma_^2/2)*Dt_+sigma_*SQRT(Dt_)*_xlfn.NORM.INV(RAND(),0,1))</f>
        <v>97.6921740650603</v>
      </c>
      <c r="J350" s="25">
        <f ca="1">MAX(k_-I350,0)*EXP(-rs_*T_)</f>
        <v>0</v>
      </c>
      <c r="K350" s="25">
        <v>-2.2407394604541</v>
      </c>
      <c r="L350" s="25">
        <v>-2.8107394604541</v>
      </c>
      <c r="M350" s="28">
        <v>1</v>
      </c>
      <c r="N350" s="28">
        <v>1</v>
      </c>
    </row>
    <row r="351" spans="7:14">
      <c r="G351" s="24">
        <v>350</v>
      </c>
      <c r="H351" s="25">
        <f>S0_</f>
        <v>100</v>
      </c>
      <c r="I351" s="25">
        <f ca="1">S0_*EXP((mu_-sigma_^2/2)*Dt_+sigma_*SQRT(Dt_)*_xlfn.NORM.INV(RAND(),0,1))</f>
        <v>88.4815924844907</v>
      </c>
      <c r="J351" s="25">
        <f ca="1">MAX(k_-I351,0)*EXP(-rs_*T_)</f>
        <v>8.27078488513876</v>
      </c>
      <c r="K351" s="25">
        <v>-11.1835775180623</v>
      </c>
      <c r="L351" s="25">
        <v>-3.48279263292358</v>
      </c>
      <c r="M351" s="28">
        <v>1</v>
      </c>
      <c r="N351" s="28">
        <v>1</v>
      </c>
    </row>
    <row r="352" spans="7:14">
      <c r="G352" s="24">
        <v>351</v>
      </c>
      <c r="H352" s="25">
        <f>S0_</f>
        <v>100</v>
      </c>
      <c r="I352" s="25">
        <f ca="1">S0_*EXP((mu_-sigma_^2/2)*Dt_+sigma_*SQRT(Dt_)*_xlfn.NORM.INV(RAND(),0,1))</f>
        <v>99.6728034888186</v>
      </c>
      <c r="J352" s="25">
        <f ca="1">MAX(k_-I352,0)*EXP(-rs_*T_)</f>
        <v>0</v>
      </c>
      <c r="K352" s="25">
        <v>-0.317685195762533</v>
      </c>
      <c r="L352" s="25">
        <v>-0.887685195762533</v>
      </c>
      <c r="M352" s="28">
        <v>1</v>
      </c>
      <c r="N352" s="28">
        <v>1</v>
      </c>
    </row>
    <row r="353" spans="7:14">
      <c r="G353" s="24">
        <v>352</v>
      </c>
      <c r="H353" s="25">
        <f>S0_</f>
        <v>100</v>
      </c>
      <c r="I353" s="25">
        <f ca="1">S0_*EXP((mu_-sigma_^2/2)*Dt_+sigma_*SQRT(Dt_)*_xlfn.NORM.INV(RAND(),0,1))</f>
        <v>101.691196714654</v>
      </c>
      <c r="J353" s="25">
        <f ca="1">MAX(k_-I353,0)*EXP(-rs_*T_)</f>
        <v>0</v>
      </c>
      <c r="K353" s="25">
        <v>1.64203511042284</v>
      </c>
      <c r="L353" s="25">
        <v>1.07203511042284</v>
      </c>
      <c r="M353" s="28">
        <v>0</v>
      </c>
      <c r="N353" s="28">
        <v>0</v>
      </c>
    </row>
    <row r="354" spans="7:14">
      <c r="G354" s="24">
        <v>353</v>
      </c>
      <c r="H354" s="25">
        <f>S0_</f>
        <v>100</v>
      </c>
      <c r="I354" s="25">
        <f ca="1">S0_*EXP((mu_-sigma_^2/2)*Dt_+sigma_*SQRT(Dt_)*_xlfn.NORM.INV(RAND(),0,1))</f>
        <v>115.69259559134</v>
      </c>
      <c r="J354" s="25">
        <f ca="1">MAX(k_-I354,0)*EXP(-rs_*T_)</f>
        <v>0</v>
      </c>
      <c r="K354" s="25">
        <v>15.2364256099684</v>
      </c>
      <c r="L354" s="25">
        <v>14.6664256099684</v>
      </c>
      <c r="M354" s="28">
        <v>0</v>
      </c>
      <c r="N354" s="28">
        <v>0</v>
      </c>
    </row>
    <row r="355" spans="7:14">
      <c r="G355" s="24">
        <v>354</v>
      </c>
      <c r="H355" s="25">
        <f>S0_</f>
        <v>100</v>
      </c>
      <c r="I355" s="25">
        <f ca="1">S0_*EXP((mu_-sigma_^2/2)*Dt_+sigma_*SQRT(Dt_)*_xlfn.NORM.INV(RAND(),0,1))</f>
        <v>96.1743038323085</v>
      </c>
      <c r="J355" s="25">
        <f ca="1">MAX(k_-I355,0)*EXP(-rs_*T_)</f>
        <v>0.801693904761669</v>
      </c>
      <c r="K355" s="25">
        <v>-3.71448653768525</v>
      </c>
      <c r="L355" s="25">
        <v>-3.48279263292358</v>
      </c>
      <c r="M355" s="28">
        <v>1</v>
      </c>
      <c r="N355" s="28">
        <v>1</v>
      </c>
    </row>
    <row r="356" spans="7:14">
      <c r="G356" s="24">
        <v>355</v>
      </c>
      <c r="H356" s="25">
        <f>S0_</f>
        <v>100</v>
      </c>
      <c r="I356" s="25">
        <f ca="1">S0_*EXP((mu_-sigma_^2/2)*Dt_+sigma_*SQRT(Dt_)*_xlfn.NORM.INV(RAND(),0,1))</f>
        <v>111.207753506331</v>
      </c>
      <c r="J356" s="25">
        <f ca="1">MAX(k_-I356,0)*EXP(-rs_*T_)</f>
        <v>0</v>
      </c>
      <c r="K356" s="25">
        <v>10.8819539482877</v>
      </c>
      <c r="L356" s="25">
        <v>10.3119539482877</v>
      </c>
      <c r="M356" s="28">
        <v>0</v>
      </c>
      <c r="N356" s="28">
        <v>0</v>
      </c>
    </row>
    <row r="357" spans="7:14">
      <c r="G357" s="24">
        <v>356</v>
      </c>
      <c r="H357" s="25">
        <f>S0_</f>
        <v>100</v>
      </c>
      <c r="I357" s="25">
        <f ca="1">S0_*EXP((mu_-sigma_^2/2)*Dt_+sigma_*SQRT(Dt_)*_xlfn.NORM.INV(RAND(),0,1))</f>
        <v>111.685219793376</v>
      </c>
      <c r="J357" s="25">
        <f ca="1">MAX(k_-I357,0)*EXP(-rs_*T_)</f>
        <v>0</v>
      </c>
      <c r="K357" s="25">
        <v>11.3455407094131</v>
      </c>
      <c r="L357" s="25">
        <v>10.7755407094131</v>
      </c>
      <c r="M357" s="28">
        <v>0</v>
      </c>
      <c r="N357" s="28">
        <v>0</v>
      </c>
    </row>
    <row r="358" spans="7:14">
      <c r="G358" s="24">
        <v>357</v>
      </c>
      <c r="H358" s="25">
        <f>S0_</f>
        <v>100</v>
      </c>
      <c r="I358" s="25">
        <f ca="1">S0_*EXP((mu_-sigma_^2/2)*Dt_+sigma_*SQRT(Dt_)*_xlfn.NORM.INV(RAND(),0,1))</f>
        <v>92.3132971278676</v>
      </c>
      <c r="J358" s="25">
        <f ca="1">MAX(k_-I358,0)*EXP(-rs_*T_)</f>
        <v>4.55046453288299</v>
      </c>
      <c r="K358" s="25">
        <v>-7.46325716580657</v>
      </c>
      <c r="L358" s="25">
        <v>-3.48279263292358</v>
      </c>
      <c r="M358" s="28">
        <v>1</v>
      </c>
      <c r="N358" s="28">
        <v>1</v>
      </c>
    </row>
    <row r="359" spans="7:14">
      <c r="G359" s="24">
        <v>358</v>
      </c>
      <c r="H359" s="25">
        <f>S0_</f>
        <v>100</v>
      </c>
      <c r="I359" s="25">
        <f ca="1">S0_*EXP((mu_-sigma_^2/2)*Dt_+sigma_*SQRT(Dt_)*_xlfn.NORM.INV(RAND(),0,1))</f>
        <v>99.6858824332364</v>
      </c>
      <c r="J359" s="25">
        <f ca="1">MAX(k_-I359,0)*EXP(-rs_*T_)</f>
        <v>0</v>
      </c>
      <c r="K359" s="25">
        <v>-0.304986444780298</v>
      </c>
      <c r="L359" s="25">
        <v>-0.874986444780298</v>
      </c>
      <c r="M359" s="28">
        <v>1</v>
      </c>
      <c r="N359" s="28">
        <v>1</v>
      </c>
    </row>
    <row r="360" spans="7:14">
      <c r="G360" s="24">
        <v>359</v>
      </c>
      <c r="H360" s="25">
        <f>S0_</f>
        <v>100</v>
      </c>
      <c r="I360" s="25">
        <f ca="1">S0_*EXP((mu_-sigma_^2/2)*Dt_+sigma_*SQRT(Dt_)*_xlfn.NORM.INV(RAND(),0,1))</f>
        <v>110.63409551901</v>
      </c>
      <c r="J360" s="25">
        <f ca="1">MAX(k_-I360,0)*EXP(-rs_*T_)</f>
        <v>0</v>
      </c>
      <c r="K360" s="25">
        <v>10.3249716951927</v>
      </c>
      <c r="L360" s="25">
        <v>9.75497169519267</v>
      </c>
      <c r="M360" s="28">
        <v>0</v>
      </c>
      <c r="N360" s="28">
        <v>0</v>
      </c>
    </row>
    <row r="361" spans="7:14">
      <c r="G361" s="24">
        <v>360</v>
      </c>
      <c r="H361" s="25">
        <f>S0_</f>
        <v>100</v>
      </c>
      <c r="I361" s="25">
        <f ca="1">S0_*EXP((mu_-sigma_^2/2)*Dt_+sigma_*SQRT(Dt_)*_xlfn.NORM.INV(RAND(),0,1))</f>
        <v>92.9937298427143</v>
      </c>
      <c r="J361" s="25">
        <f ca="1">MAX(k_-I361,0)*EXP(-rs_*T_)</f>
        <v>3.88981139988113</v>
      </c>
      <c r="K361" s="25">
        <v>-6.80260403280471</v>
      </c>
      <c r="L361" s="25">
        <v>-3.48279263292358</v>
      </c>
      <c r="M361" s="28">
        <v>1</v>
      </c>
      <c r="N361" s="28">
        <v>1</v>
      </c>
    </row>
    <row r="362" spans="7:14">
      <c r="G362" s="24">
        <v>361</v>
      </c>
      <c r="H362" s="25">
        <f>S0_</f>
        <v>100</v>
      </c>
      <c r="I362" s="25">
        <f ca="1">S0_*EXP((mu_-sigma_^2/2)*Dt_+sigma_*SQRT(Dt_)*_xlfn.NORM.INV(RAND(),0,1))</f>
        <v>131.63991000147</v>
      </c>
      <c r="J362" s="25">
        <f ca="1">MAX(k_-I362,0)*EXP(-rs_*T_)</f>
        <v>0</v>
      </c>
      <c r="K362" s="25">
        <v>30.7201655862156</v>
      </c>
      <c r="L362" s="25">
        <v>30.1501655862156</v>
      </c>
      <c r="M362" s="28">
        <v>0</v>
      </c>
      <c r="N362" s="28">
        <v>0</v>
      </c>
    </row>
    <row r="363" spans="7:14">
      <c r="G363" s="24">
        <v>362</v>
      </c>
      <c r="H363" s="25">
        <f>S0_</f>
        <v>100</v>
      </c>
      <c r="I363" s="25">
        <f ca="1">S0_*EXP((mu_-sigma_^2/2)*Dt_+sigma_*SQRT(Dt_)*_xlfn.NORM.INV(RAND(),0,1))</f>
        <v>113.110853167386</v>
      </c>
      <c r="J363" s="25">
        <f ca="1">MAX(k_-I363,0)*EXP(-rs_*T_)</f>
        <v>0</v>
      </c>
      <c r="K363" s="25">
        <v>12.7297321724347</v>
      </c>
      <c r="L363" s="25">
        <v>12.1597321724347</v>
      </c>
      <c r="M363" s="28">
        <v>0</v>
      </c>
      <c r="N363" s="28">
        <v>0</v>
      </c>
    </row>
    <row r="364" spans="7:14">
      <c r="G364" s="24">
        <v>363</v>
      </c>
      <c r="H364" s="25">
        <f>S0_</f>
        <v>100</v>
      </c>
      <c r="I364" s="25">
        <f ca="1">S0_*EXP((mu_-sigma_^2/2)*Dt_+sigma_*SQRT(Dt_)*_xlfn.NORM.INV(RAND(),0,1))</f>
        <v>91.2280898010006</v>
      </c>
      <c r="J364" s="25">
        <f ca="1">MAX(k_-I364,0)*EXP(-rs_*T_)</f>
        <v>5.6041258351806</v>
      </c>
      <c r="K364" s="25">
        <v>-8.51691846810418</v>
      </c>
      <c r="L364" s="25">
        <v>-3.48279263292358</v>
      </c>
      <c r="M364" s="28">
        <v>1</v>
      </c>
      <c r="N364" s="28">
        <v>1</v>
      </c>
    </row>
    <row r="365" spans="7:14">
      <c r="G365" s="24">
        <v>364</v>
      </c>
      <c r="H365" s="25">
        <f>S0_</f>
        <v>100</v>
      </c>
      <c r="I365" s="25">
        <f ca="1">S0_*EXP((mu_-sigma_^2/2)*Dt_+sigma_*SQRT(Dt_)*_xlfn.NORM.INV(RAND(),0,1))</f>
        <v>124.805669234728</v>
      </c>
      <c r="J365" s="25">
        <f ca="1">MAX(k_-I365,0)*EXP(-rs_*T_)</f>
        <v>0</v>
      </c>
      <c r="K365" s="25">
        <v>24.0845902005518</v>
      </c>
      <c r="L365" s="25">
        <v>23.5145902005518</v>
      </c>
      <c r="M365" s="28">
        <v>0</v>
      </c>
      <c r="N365" s="28">
        <v>0</v>
      </c>
    </row>
    <row r="366" spans="7:14">
      <c r="G366" s="24">
        <v>365</v>
      </c>
      <c r="H366" s="25">
        <f>S0_</f>
        <v>100</v>
      </c>
      <c r="I366" s="25">
        <f ca="1">S0_*EXP((mu_-sigma_^2/2)*Dt_+sigma_*SQRT(Dt_)*_xlfn.NORM.INV(RAND(),0,1))</f>
        <v>107.09139849505</v>
      </c>
      <c r="J366" s="25">
        <f ca="1">MAX(k_-I366,0)*EXP(-rs_*T_)</f>
        <v>0</v>
      </c>
      <c r="K366" s="25">
        <v>6.88525776450244</v>
      </c>
      <c r="L366" s="25">
        <v>6.31525776450244</v>
      </c>
      <c r="M366" s="28">
        <v>0</v>
      </c>
      <c r="N366" s="28">
        <v>0</v>
      </c>
    </row>
    <row r="367" spans="7:14">
      <c r="G367" s="24">
        <v>366</v>
      </c>
      <c r="H367" s="25">
        <f>S0_</f>
        <v>100</v>
      </c>
      <c r="I367" s="25">
        <f ca="1">S0_*EXP((mu_-sigma_^2/2)*Dt_+sigma_*SQRT(Dt_)*_xlfn.NORM.INV(RAND(),0,1))</f>
        <v>90.4843956654136</v>
      </c>
      <c r="J367" s="25">
        <f ca="1">MAX(k_-I367,0)*EXP(-rs_*T_)</f>
        <v>6.32620143494274</v>
      </c>
      <c r="K367" s="25">
        <v>-9.23899406786632</v>
      </c>
      <c r="L367" s="25">
        <v>-3.48279263292358</v>
      </c>
      <c r="M367" s="28">
        <v>1</v>
      </c>
      <c r="N367" s="28">
        <v>1</v>
      </c>
    </row>
    <row r="368" spans="7:14">
      <c r="G368" s="24">
        <v>367</v>
      </c>
      <c r="H368" s="25">
        <f>S0_</f>
        <v>100</v>
      </c>
      <c r="I368" s="25">
        <f ca="1">S0_*EXP((mu_-sigma_^2/2)*Dt_+sigma_*SQRT(Dt_)*_xlfn.NORM.INV(RAND(),0,1))</f>
        <v>91.8633789279635</v>
      </c>
      <c r="J368" s="25">
        <f ca="1">MAX(k_-I368,0)*EXP(-rs_*T_)</f>
        <v>4.98730400558266</v>
      </c>
      <c r="K368" s="25">
        <v>-7.90009663850624</v>
      </c>
      <c r="L368" s="25">
        <v>-3.48279263292358</v>
      </c>
      <c r="M368" s="28">
        <v>1</v>
      </c>
      <c r="N368" s="28">
        <v>1</v>
      </c>
    </row>
    <row r="369" spans="7:14">
      <c r="G369" s="24">
        <v>368</v>
      </c>
      <c r="H369" s="25">
        <f>S0_</f>
        <v>100</v>
      </c>
      <c r="I369" s="25">
        <f ca="1">S0_*EXP((mu_-sigma_^2/2)*Dt_+sigma_*SQRT(Dt_)*_xlfn.NORM.INV(RAND(),0,1))</f>
        <v>111.08427930931</v>
      </c>
      <c r="J369" s="25">
        <f ca="1">MAX(k_-I369,0)*EXP(-rs_*T_)</f>
        <v>0</v>
      </c>
      <c r="K369" s="25">
        <v>10.7620690378084</v>
      </c>
      <c r="L369" s="25">
        <v>10.1920690378084</v>
      </c>
      <c r="M369" s="28">
        <v>0</v>
      </c>
      <c r="N369" s="28">
        <v>0</v>
      </c>
    </row>
    <row r="370" spans="7:14">
      <c r="G370" s="24">
        <v>369</v>
      </c>
      <c r="H370" s="25">
        <f>S0_</f>
        <v>100</v>
      </c>
      <c r="I370" s="25">
        <f ca="1">S0_*EXP((mu_-sigma_^2/2)*Dt_+sigma_*SQRT(Dt_)*_xlfn.NORM.INV(RAND(),0,1))</f>
        <v>98.3392142827915</v>
      </c>
      <c r="J370" s="25">
        <f ca="1">MAX(k_-I370,0)*EXP(-rs_*T_)</f>
        <v>0</v>
      </c>
      <c r="K370" s="25">
        <v>-1.61250813398325</v>
      </c>
      <c r="L370" s="25">
        <v>-2.18250813398325</v>
      </c>
      <c r="M370" s="28">
        <v>1</v>
      </c>
      <c r="N370" s="28">
        <v>1</v>
      </c>
    </row>
    <row r="371" spans="7:14">
      <c r="G371" s="24">
        <v>370</v>
      </c>
      <c r="H371" s="25">
        <f>S0_</f>
        <v>100</v>
      </c>
      <c r="I371" s="25">
        <f ca="1">S0_*EXP((mu_-sigma_^2/2)*Dt_+sigma_*SQRT(Dt_)*_xlfn.NORM.INV(RAND(),0,1))</f>
        <v>91.2259775084586</v>
      </c>
      <c r="J371" s="25">
        <f ca="1">MAX(k_-I371,0)*EXP(-rs_*T_)</f>
        <v>5.60617672523229</v>
      </c>
      <c r="K371" s="25">
        <v>-8.51896935815587</v>
      </c>
      <c r="L371" s="25">
        <v>-3.48279263292358</v>
      </c>
      <c r="M371" s="28">
        <v>1</v>
      </c>
      <c r="N371" s="28">
        <v>1</v>
      </c>
    </row>
    <row r="372" spans="7:14">
      <c r="G372" s="24">
        <v>371</v>
      </c>
      <c r="H372" s="25">
        <f>S0_</f>
        <v>100</v>
      </c>
      <c r="I372" s="25">
        <f ca="1">S0_*EXP((mu_-sigma_^2/2)*Dt_+sigma_*SQRT(Dt_)*_xlfn.NORM.INV(RAND(),0,1))</f>
        <v>104.558796013019</v>
      </c>
      <c r="J372" s="25">
        <f ca="1">MAX(k_-I372,0)*EXP(-rs_*T_)</f>
        <v>0</v>
      </c>
      <c r="K372" s="25">
        <v>4.42627581390761</v>
      </c>
      <c r="L372" s="25">
        <v>3.85627581390761</v>
      </c>
      <c r="M372" s="28">
        <v>0</v>
      </c>
      <c r="N372" s="28">
        <v>0</v>
      </c>
    </row>
    <row r="373" spans="7:14">
      <c r="G373" s="24">
        <v>372</v>
      </c>
      <c r="H373" s="25">
        <f>S0_</f>
        <v>100</v>
      </c>
      <c r="I373" s="25">
        <f ca="1">S0_*EXP((mu_-sigma_^2/2)*Dt_+sigma_*SQRT(Dt_)*_xlfn.NORM.INV(RAND(),0,1))</f>
        <v>106.04627552756</v>
      </c>
      <c r="J373" s="25">
        <f ca="1">MAX(k_-I373,0)*EXP(-rs_*T_)</f>
        <v>0</v>
      </c>
      <c r="K373" s="25">
        <v>5.87051560443441</v>
      </c>
      <c r="L373" s="25">
        <v>5.30051560443441</v>
      </c>
      <c r="M373" s="28">
        <v>0</v>
      </c>
      <c r="N373" s="28">
        <v>0</v>
      </c>
    </row>
    <row r="374" spans="7:14">
      <c r="G374" s="24">
        <v>373</v>
      </c>
      <c r="H374" s="25">
        <f>S0_</f>
        <v>100</v>
      </c>
      <c r="I374" s="25">
        <f ca="1">S0_*EXP((mu_-sigma_^2/2)*Dt_+sigma_*SQRT(Dt_)*_xlfn.NORM.INV(RAND(),0,1))</f>
        <v>98.8217777979607</v>
      </c>
      <c r="J374" s="25">
        <f ca="1">MAX(k_-I374,0)*EXP(-rs_*T_)</f>
        <v>0</v>
      </c>
      <c r="K374" s="25">
        <v>-1.14397231668237</v>
      </c>
      <c r="L374" s="25">
        <v>-1.71397231668237</v>
      </c>
      <c r="M374" s="28">
        <v>1</v>
      </c>
      <c r="N374" s="28">
        <v>1</v>
      </c>
    </row>
    <row r="375" spans="7:14">
      <c r="G375" s="24">
        <v>374</v>
      </c>
      <c r="H375" s="25">
        <f>S0_</f>
        <v>100</v>
      </c>
      <c r="I375" s="25">
        <f ca="1">S0_*EXP((mu_-sigma_^2/2)*Dt_+sigma_*SQRT(Dt_)*_xlfn.NORM.INV(RAND(),0,1))</f>
        <v>111.24187314117</v>
      </c>
      <c r="J375" s="25">
        <f ca="1">MAX(k_-I375,0)*EXP(-rs_*T_)</f>
        <v>0</v>
      </c>
      <c r="K375" s="25">
        <v>10.9150817552873</v>
      </c>
      <c r="L375" s="25">
        <v>10.3450817552873</v>
      </c>
      <c r="M375" s="28">
        <v>0</v>
      </c>
      <c r="N375" s="28">
        <v>0</v>
      </c>
    </row>
    <row r="376" spans="7:14">
      <c r="G376" s="24">
        <v>375</v>
      </c>
      <c r="H376" s="25">
        <f>S0_</f>
        <v>100</v>
      </c>
      <c r="I376" s="25">
        <f ca="1">S0_*EXP((mu_-sigma_^2/2)*Dt_+sigma_*SQRT(Dt_)*_xlfn.NORM.INV(RAND(),0,1))</f>
        <v>109.765521543411</v>
      </c>
      <c r="J376" s="25">
        <f ca="1">MAX(k_-I376,0)*EXP(-rs_*T_)</f>
        <v>0</v>
      </c>
      <c r="K376" s="25">
        <v>9.48164640276757</v>
      </c>
      <c r="L376" s="25">
        <v>8.91164640276757</v>
      </c>
      <c r="M376" s="28">
        <v>0</v>
      </c>
      <c r="N376" s="28">
        <v>0</v>
      </c>
    </row>
    <row r="377" spans="7:14">
      <c r="G377" s="24">
        <v>376</v>
      </c>
      <c r="H377" s="25">
        <f>S0_</f>
        <v>100</v>
      </c>
      <c r="I377" s="25">
        <f ca="1">S0_*EXP((mu_-sigma_^2/2)*Dt_+sigma_*SQRT(Dt_)*_xlfn.NORM.INV(RAND(),0,1))</f>
        <v>107.245284313615</v>
      </c>
      <c r="J377" s="25">
        <f ca="1">MAX(k_-I377,0)*EXP(-rs_*T_)</f>
        <v>0</v>
      </c>
      <c r="K377" s="25">
        <v>7.0346702573784</v>
      </c>
      <c r="L377" s="25">
        <v>6.4646702573784</v>
      </c>
      <c r="M377" s="28">
        <v>0</v>
      </c>
      <c r="N377" s="28">
        <v>0</v>
      </c>
    </row>
    <row r="378" spans="7:14">
      <c r="G378" s="24">
        <v>377</v>
      </c>
      <c r="H378" s="25">
        <f>S0_</f>
        <v>100</v>
      </c>
      <c r="I378" s="25">
        <f ca="1">S0_*EXP((mu_-sigma_^2/2)*Dt_+sigma_*SQRT(Dt_)*_xlfn.NORM.INV(RAND(),0,1))</f>
        <v>102.212084574943</v>
      </c>
      <c r="J378" s="25">
        <f ca="1">MAX(k_-I378,0)*EXP(-rs_*T_)</f>
        <v>0</v>
      </c>
      <c r="K378" s="25">
        <v>2.14778121776584</v>
      </c>
      <c r="L378" s="25">
        <v>1.57778121776584</v>
      </c>
      <c r="M378" s="28">
        <v>0</v>
      </c>
      <c r="N378" s="28">
        <v>0</v>
      </c>
    </row>
    <row r="379" spans="7:14">
      <c r="G379" s="24">
        <v>378</v>
      </c>
      <c r="H379" s="25">
        <f>S0_</f>
        <v>100</v>
      </c>
      <c r="I379" s="25">
        <f ca="1">S0_*EXP((mu_-sigma_^2/2)*Dt_+sigma_*SQRT(Dt_)*_xlfn.NORM.INV(RAND(),0,1))</f>
        <v>102.36210336639</v>
      </c>
      <c r="J379" s="25">
        <f ca="1">MAX(k_-I379,0)*EXP(-rs_*T_)</f>
        <v>0</v>
      </c>
      <c r="K379" s="25">
        <v>2.29343909460803</v>
      </c>
      <c r="L379" s="25">
        <v>1.72343909460803</v>
      </c>
      <c r="M379" s="28">
        <v>0</v>
      </c>
      <c r="N379" s="28">
        <v>0</v>
      </c>
    </row>
    <row r="380" spans="7:14">
      <c r="G380" s="24">
        <v>379</v>
      </c>
      <c r="H380" s="25">
        <f>S0_</f>
        <v>100</v>
      </c>
      <c r="I380" s="25">
        <f ca="1">S0_*EXP((mu_-sigma_^2/2)*Dt_+sigma_*SQRT(Dt_)*_xlfn.NORM.INV(RAND(),0,1))</f>
        <v>100.781662383264</v>
      </c>
      <c r="J380" s="25">
        <f ca="1">MAX(k_-I380,0)*EXP(-rs_*T_)</f>
        <v>0</v>
      </c>
      <c r="K380" s="25">
        <v>0.758940143802043</v>
      </c>
      <c r="L380" s="25">
        <v>0.188940143802043</v>
      </c>
      <c r="M380" s="28">
        <v>0</v>
      </c>
      <c r="N380" s="28">
        <v>0</v>
      </c>
    </row>
    <row r="381" spans="7:14">
      <c r="G381" s="24">
        <v>380</v>
      </c>
      <c r="H381" s="25">
        <f>S0_</f>
        <v>100</v>
      </c>
      <c r="I381" s="25">
        <f ca="1">S0_*EXP((mu_-sigma_^2/2)*Dt_+sigma_*SQRT(Dt_)*_xlfn.NORM.INV(RAND(),0,1))</f>
        <v>95.3394430865127</v>
      </c>
      <c r="J381" s="25">
        <f ca="1">MAX(k_-I381,0)*EXP(-rs_*T_)</f>
        <v>1.61228598138539</v>
      </c>
      <c r="K381" s="25">
        <v>-4.52507861430897</v>
      </c>
      <c r="L381" s="25">
        <v>-3.48279263292358</v>
      </c>
      <c r="M381" s="28">
        <v>1</v>
      </c>
      <c r="N381" s="28">
        <v>1</v>
      </c>
    </row>
    <row r="382" spans="7:14">
      <c r="G382" s="24">
        <v>381</v>
      </c>
      <c r="H382" s="25">
        <f>S0_</f>
        <v>100</v>
      </c>
      <c r="I382" s="25">
        <f ca="1">S0_*EXP((mu_-sigma_^2/2)*Dt_+sigma_*SQRT(Dt_)*_xlfn.NORM.INV(RAND(),0,1))</f>
        <v>100.736800867446</v>
      </c>
      <c r="J382" s="25">
        <f ca="1">MAX(k_-I382,0)*EXP(-rs_*T_)</f>
        <v>0</v>
      </c>
      <c r="K382" s="25">
        <v>0.715382712875883</v>
      </c>
      <c r="L382" s="25">
        <v>0.145382712875883</v>
      </c>
      <c r="M382" s="28">
        <v>0</v>
      </c>
      <c r="N382" s="28">
        <v>0</v>
      </c>
    </row>
    <row r="383" spans="7:14">
      <c r="G383" s="24">
        <v>382</v>
      </c>
      <c r="H383" s="25">
        <f>S0_</f>
        <v>100</v>
      </c>
      <c r="I383" s="25">
        <f ca="1">S0_*EXP((mu_-sigma_^2/2)*Dt_+sigma_*SQRT(Dt_)*_xlfn.NORM.INV(RAND(),0,1))</f>
        <v>124.002687463586</v>
      </c>
      <c r="J383" s="25">
        <f ca="1">MAX(k_-I383,0)*EXP(-rs_*T_)</f>
        <v>0</v>
      </c>
      <c r="K383" s="25">
        <v>23.3049504047665</v>
      </c>
      <c r="L383" s="25">
        <v>22.7349504047665</v>
      </c>
      <c r="M383" s="28">
        <v>0</v>
      </c>
      <c r="N383" s="28">
        <v>0</v>
      </c>
    </row>
    <row r="384" spans="7:14">
      <c r="G384" s="24">
        <v>383</v>
      </c>
      <c r="H384" s="25">
        <f>S0_</f>
        <v>100</v>
      </c>
      <c r="I384" s="25">
        <f ca="1">S0_*EXP((mu_-sigma_^2/2)*Dt_+sigma_*SQRT(Dt_)*_xlfn.NORM.INV(RAND(),0,1))</f>
        <v>95.0698785917672</v>
      </c>
      <c r="J384" s="25">
        <f ca="1">MAX(k_-I384,0)*EXP(-rs_*T_)</f>
        <v>1.87401447284954</v>
      </c>
      <c r="K384" s="25">
        <v>-4.78680710577312</v>
      </c>
      <c r="L384" s="25">
        <v>-3.48279263292358</v>
      </c>
      <c r="M384" s="28">
        <v>1</v>
      </c>
      <c r="N384" s="28">
        <v>1</v>
      </c>
    </row>
    <row r="385" spans="7:14">
      <c r="G385" s="24">
        <v>384</v>
      </c>
      <c r="H385" s="25">
        <f>S0_</f>
        <v>100</v>
      </c>
      <c r="I385" s="25">
        <f ca="1">S0_*EXP((mu_-sigma_^2/2)*Dt_+sigma_*SQRT(Dt_)*_xlfn.NORM.INV(RAND(),0,1))</f>
        <v>106.990260876346</v>
      </c>
      <c r="J385" s="25">
        <f ca="1">MAX(k_-I385,0)*EXP(-rs_*T_)</f>
        <v>0</v>
      </c>
      <c r="K385" s="25">
        <v>6.78706012761122</v>
      </c>
      <c r="L385" s="25">
        <v>6.21706012761122</v>
      </c>
      <c r="M385" s="28">
        <v>0</v>
      </c>
      <c r="N385" s="28">
        <v>0</v>
      </c>
    </row>
    <row r="386" spans="7:14">
      <c r="G386" s="24">
        <v>385</v>
      </c>
      <c r="H386" s="25">
        <f>S0_</f>
        <v>100</v>
      </c>
      <c r="I386" s="25">
        <f ca="1">S0_*EXP((mu_-sigma_^2/2)*Dt_+sigma_*SQRT(Dt_)*_xlfn.NORM.INV(RAND(),0,1))</f>
        <v>116.522548212254</v>
      </c>
      <c r="J386" s="25">
        <f ca="1">MAX(k_-I386,0)*EXP(-rs_*T_)</f>
        <v>0</v>
      </c>
      <c r="K386" s="25">
        <v>16.0422522365924</v>
      </c>
      <c r="L386" s="25">
        <v>15.4722522365924</v>
      </c>
      <c r="M386" s="28">
        <v>0</v>
      </c>
      <c r="N386" s="28">
        <v>0</v>
      </c>
    </row>
    <row r="387" spans="7:14">
      <c r="G387" s="24">
        <v>386</v>
      </c>
      <c r="H387" s="25">
        <f>S0_</f>
        <v>100</v>
      </c>
      <c r="I387" s="25">
        <f ca="1">S0_*EXP((mu_-sigma_^2/2)*Dt_+sigma_*SQRT(Dt_)*_xlfn.NORM.INV(RAND(),0,1))</f>
        <v>91.4873696230569</v>
      </c>
      <c r="J387" s="25">
        <f ca="1">MAX(k_-I387,0)*EXP(-rs_*T_)</f>
        <v>5.35238304999686</v>
      </c>
      <c r="K387" s="25">
        <v>-8.26517568292045</v>
      </c>
      <c r="L387" s="25">
        <v>-3.48279263292358</v>
      </c>
      <c r="M387" s="28">
        <v>1</v>
      </c>
      <c r="N387" s="28">
        <v>1</v>
      </c>
    </row>
    <row r="388" spans="7:14">
      <c r="G388" s="24">
        <v>387</v>
      </c>
      <c r="H388" s="25">
        <f>S0_</f>
        <v>100</v>
      </c>
      <c r="I388" s="25">
        <f ca="1">S0_*EXP((mu_-sigma_^2/2)*Dt_+sigma_*SQRT(Dt_)*_xlfn.NORM.INV(RAND(),0,1))</f>
        <v>102.856533784559</v>
      </c>
      <c r="J388" s="25">
        <f ca="1">MAX(k_-I388,0)*EXP(-rs_*T_)</f>
        <v>0</v>
      </c>
      <c r="K388" s="25">
        <v>2.77349685445325</v>
      </c>
      <c r="L388" s="25">
        <v>2.20349685445325</v>
      </c>
      <c r="M388" s="28">
        <v>0</v>
      </c>
      <c r="N388" s="28">
        <v>0</v>
      </c>
    </row>
    <row r="389" spans="7:14">
      <c r="G389" s="24">
        <v>388</v>
      </c>
      <c r="H389" s="25">
        <f>S0_</f>
        <v>100</v>
      </c>
      <c r="I389" s="25">
        <f ca="1">S0_*EXP((mu_-sigma_^2/2)*Dt_+sigma_*SQRT(Dt_)*_xlfn.NORM.INV(RAND(),0,1))</f>
        <v>96.6956860956453</v>
      </c>
      <c r="J389" s="25">
        <f ca="1">MAX(k_-I389,0)*EXP(-rs_*T_)</f>
        <v>0.295467766233569</v>
      </c>
      <c r="K389" s="25">
        <v>-3.20826039915715</v>
      </c>
      <c r="L389" s="25">
        <v>-3.48279263292358</v>
      </c>
      <c r="M389" s="28">
        <v>1</v>
      </c>
      <c r="N389" s="28">
        <v>1</v>
      </c>
    </row>
    <row r="390" spans="7:14">
      <c r="G390" s="24">
        <v>389</v>
      </c>
      <c r="H390" s="25">
        <f>S0_</f>
        <v>100</v>
      </c>
      <c r="I390" s="25">
        <f ca="1">S0_*EXP((mu_-sigma_^2/2)*Dt_+sigma_*SQRT(Dt_)*_xlfn.NORM.INV(RAND(),0,1))</f>
        <v>96.6191595396457</v>
      </c>
      <c r="J390" s="25">
        <f ca="1">MAX(k_-I390,0)*EXP(-rs_*T_)</f>
        <v>0.369769762413056</v>
      </c>
      <c r="K390" s="25">
        <v>-3.28256239533664</v>
      </c>
      <c r="L390" s="25">
        <v>-3.48279263292358</v>
      </c>
      <c r="M390" s="28">
        <v>1</v>
      </c>
      <c r="N390" s="28">
        <v>1</v>
      </c>
    </row>
    <row r="391" spans="7:14">
      <c r="G391" s="24">
        <v>390</v>
      </c>
      <c r="H391" s="25">
        <f>S0_</f>
        <v>100</v>
      </c>
      <c r="I391" s="25">
        <f ca="1">S0_*EXP((mu_-sigma_^2/2)*Dt_+sigma_*SQRT(Dt_)*_xlfn.NORM.INV(RAND(),0,1))</f>
        <v>92.3974361863984</v>
      </c>
      <c r="J391" s="25">
        <f ca="1">MAX(k_-I391,0)*EXP(-rs_*T_)</f>
        <v>4.46877132293982</v>
      </c>
      <c r="K391" s="25">
        <v>-7.38156395586341</v>
      </c>
      <c r="L391" s="25">
        <v>-3.48279263292358</v>
      </c>
      <c r="M391" s="28">
        <v>1</v>
      </c>
      <c r="N391" s="28">
        <v>1</v>
      </c>
    </row>
    <row r="392" spans="7:14">
      <c r="G392" s="24">
        <v>391</v>
      </c>
      <c r="H392" s="25">
        <f>S0_</f>
        <v>100</v>
      </c>
      <c r="I392" s="25">
        <f ca="1">S0_*EXP((mu_-sigma_^2/2)*Dt_+sigma_*SQRT(Dt_)*_xlfn.NORM.INV(RAND(),0,1))</f>
        <v>110.275640544676</v>
      </c>
      <c r="J392" s="25">
        <f ca="1">MAX(k_-I392,0)*EXP(-rs_*T_)</f>
        <v>0</v>
      </c>
      <c r="K392" s="25">
        <v>9.9769366923673</v>
      </c>
      <c r="L392" s="25">
        <v>9.4069366923673</v>
      </c>
      <c r="M392" s="28">
        <v>0</v>
      </c>
      <c r="N392" s="28">
        <v>0</v>
      </c>
    </row>
    <row r="393" spans="7:14">
      <c r="G393" s="24">
        <v>392</v>
      </c>
      <c r="H393" s="25">
        <f>S0_</f>
        <v>100</v>
      </c>
      <c r="I393" s="25">
        <f ca="1">S0_*EXP((mu_-sigma_^2/2)*Dt_+sigma_*SQRT(Dt_)*_xlfn.NORM.INV(RAND(),0,1))</f>
        <v>102.787061658343</v>
      </c>
      <c r="J393" s="25">
        <f ca="1">MAX(k_-I393,0)*EXP(-rs_*T_)</f>
        <v>0</v>
      </c>
      <c r="K393" s="25">
        <v>2.7060442219747</v>
      </c>
      <c r="L393" s="25">
        <v>2.1360442219747</v>
      </c>
      <c r="M393" s="28">
        <v>0</v>
      </c>
      <c r="N393" s="28">
        <v>0</v>
      </c>
    </row>
    <row r="394" spans="7:14">
      <c r="G394" s="24">
        <v>393</v>
      </c>
      <c r="H394" s="25">
        <f>S0_</f>
        <v>100</v>
      </c>
      <c r="I394" s="25">
        <f ca="1">S0_*EXP((mu_-sigma_^2/2)*Dt_+sigma_*SQRT(Dt_)*_xlfn.NORM.INV(RAND(),0,1))</f>
        <v>104.939573636755</v>
      </c>
      <c r="J394" s="25">
        <f ca="1">MAX(k_-I394,0)*EXP(-rs_*T_)</f>
        <v>0</v>
      </c>
      <c r="K394" s="25">
        <v>4.795984566308</v>
      </c>
      <c r="L394" s="25">
        <v>4.225984566308</v>
      </c>
      <c r="M394" s="28">
        <v>0</v>
      </c>
      <c r="N394" s="28">
        <v>0</v>
      </c>
    </row>
    <row r="395" spans="7:14">
      <c r="G395" s="24">
        <v>394</v>
      </c>
      <c r="H395" s="25">
        <f>S0_</f>
        <v>100</v>
      </c>
      <c r="I395" s="25">
        <f ca="1">S0_*EXP((mu_-sigma_^2/2)*Dt_+sigma_*SQRT(Dt_)*_xlfn.NORM.INV(RAND(),0,1))</f>
        <v>105.52713257722</v>
      </c>
      <c r="J395" s="25">
        <f ca="1">MAX(k_-I395,0)*EXP(-rs_*T_)</f>
        <v>0</v>
      </c>
      <c r="K395" s="25">
        <v>5.36646368403962</v>
      </c>
      <c r="L395" s="25">
        <v>4.79646368403962</v>
      </c>
      <c r="M395" s="28">
        <v>0</v>
      </c>
      <c r="N395" s="28">
        <v>0</v>
      </c>
    </row>
    <row r="396" spans="7:14">
      <c r="G396" s="24">
        <v>395</v>
      </c>
      <c r="H396" s="25">
        <f>S0_</f>
        <v>100</v>
      </c>
      <c r="I396" s="25">
        <f ca="1">S0_*EXP((mu_-sigma_^2/2)*Dt_+sigma_*SQRT(Dt_)*_xlfn.NORM.INV(RAND(),0,1))</f>
        <v>115.710780795784</v>
      </c>
      <c r="J396" s="25">
        <f ca="1">MAX(k_-I396,0)*EXP(-rs_*T_)</f>
        <v>0</v>
      </c>
      <c r="K396" s="25">
        <v>15.2540821864786</v>
      </c>
      <c r="L396" s="25">
        <v>14.6840821864786</v>
      </c>
      <c r="M396" s="28">
        <v>0</v>
      </c>
      <c r="N396" s="28">
        <v>0</v>
      </c>
    </row>
    <row r="397" spans="7:14">
      <c r="G397" s="24">
        <v>396</v>
      </c>
      <c r="H397" s="25">
        <f>S0_</f>
        <v>100</v>
      </c>
      <c r="I397" s="25">
        <f ca="1">S0_*EXP((mu_-sigma_^2/2)*Dt_+sigma_*SQRT(Dt_)*_xlfn.NORM.INV(RAND(),0,1))</f>
        <v>103.377918220948</v>
      </c>
      <c r="J397" s="25">
        <f ca="1">MAX(k_-I397,0)*EXP(-rs_*T_)</f>
        <v>0</v>
      </c>
      <c r="K397" s="25">
        <v>3.27972510286541</v>
      </c>
      <c r="L397" s="25">
        <v>2.70972510286541</v>
      </c>
      <c r="M397" s="28">
        <v>0</v>
      </c>
      <c r="N397" s="28">
        <v>0</v>
      </c>
    </row>
    <row r="398" spans="7:14">
      <c r="G398" s="24">
        <v>397</v>
      </c>
      <c r="H398" s="25">
        <f>S0_</f>
        <v>100</v>
      </c>
      <c r="I398" s="25">
        <f ca="1">S0_*EXP((mu_-sigma_^2/2)*Dt_+sigma_*SQRT(Dt_)*_xlfn.NORM.INV(RAND(),0,1))</f>
        <v>101.762395162426</v>
      </c>
      <c r="J398" s="25">
        <f ca="1">MAX(k_-I398,0)*EXP(-rs_*T_)</f>
        <v>0</v>
      </c>
      <c r="K398" s="25">
        <v>1.71116388180454</v>
      </c>
      <c r="L398" s="25">
        <v>1.14116388180454</v>
      </c>
      <c r="M398" s="28">
        <v>0</v>
      </c>
      <c r="N398" s="28">
        <v>0</v>
      </c>
    </row>
    <row r="399" spans="7:14">
      <c r="G399" s="24">
        <v>398</v>
      </c>
      <c r="H399" s="25">
        <f>S0_</f>
        <v>100</v>
      </c>
      <c r="I399" s="25">
        <f ca="1">S0_*EXP((mu_-sigma_^2/2)*Dt_+sigma_*SQRT(Dt_)*_xlfn.NORM.INV(RAND(),0,1))</f>
        <v>114.658697042555</v>
      </c>
      <c r="J399" s="25">
        <f ca="1">MAX(k_-I399,0)*EXP(-rs_*T_)</f>
        <v>0</v>
      </c>
      <c r="K399" s="25">
        <v>14.2325815846041</v>
      </c>
      <c r="L399" s="25">
        <v>13.6625815846041</v>
      </c>
      <c r="M399" s="28">
        <v>0</v>
      </c>
      <c r="N399" s="28">
        <v>0</v>
      </c>
    </row>
    <row r="400" spans="7:14">
      <c r="G400" s="24">
        <v>399</v>
      </c>
      <c r="H400" s="25">
        <f>S0_</f>
        <v>100</v>
      </c>
      <c r="I400" s="25">
        <f ca="1">S0_*EXP((mu_-sigma_^2/2)*Dt_+sigma_*SQRT(Dt_)*_xlfn.NORM.INV(RAND(),0,1))</f>
        <v>106.379178748955</v>
      </c>
      <c r="J400" s="25">
        <f ca="1">MAX(k_-I400,0)*EXP(-rs_*T_)</f>
        <v>0</v>
      </c>
      <c r="K400" s="25">
        <v>6.1937416213527</v>
      </c>
      <c r="L400" s="25">
        <v>5.6237416213527</v>
      </c>
      <c r="M400" s="28">
        <v>0</v>
      </c>
      <c r="N400" s="28">
        <v>0</v>
      </c>
    </row>
    <row r="401" spans="7:14">
      <c r="G401" s="24">
        <v>400</v>
      </c>
      <c r="H401" s="25">
        <f>S0_</f>
        <v>100</v>
      </c>
      <c r="I401" s="25">
        <f ca="1">S0_*EXP((mu_-sigma_^2/2)*Dt_+sigma_*SQRT(Dt_)*_xlfn.NORM.INV(RAND(),0,1))</f>
        <v>117.814330501201</v>
      </c>
      <c r="J401" s="25">
        <f ca="1">MAX(k_-I401,0)*EXP(-rs_*T_)</f>
        <v>0</v>
      </c>
      <c r="K401" s="25">
        <v>17.2964835481212</v>
      </c>
      <c r="L401" s="25">
        <v>16.7264835481212</v>
      </c>
      <c r="M401" s="28">
        <v>0</v>
      </c>
      <c r="N401" s="28">
        <v>0</v>
      </c>
    </row>
    <row r="402" spans="7:14">
      <c r="G402" s="24">
        <v>401</v>
      </c>
      <c r="H402" s="25">
        <f>S0_</f>
        <v>100</v>
      </c>
      <c r="I402" s="25">
        <f ca="1">S0_*EXP((mu_-sigma_^2/2)*Dt_+sigma_*SQRT(Dt_)*_xlfn.NORM.INV(RAND(),0,1))</f>
        <v>104.809501808631</v>
      </c>
      <c r="J402" s="25">
        <f ca="1">MAX(k_-I402,0)*EXP(-rs_*T_)</f>
        <v>0</v>
      </c>
      <c r="K402" s="25">
        <v>4.66969381207085</v>
      </c>
      <c r="L402" s="25">
        <v>4.09969381207085</v>
      </c>
      <c r="M402" s="28">
        <v>0</v>
      </c>
      <c r="N402" s="28">
        <v>0</v>
      </c>
    </row>
    <row r="403" spans="7:14">
      <c r="G403" s="24">
        <v>402</v>
      </c>
      <c r="H403" s="25">
        <f>S0_</f>
        <v>100</v>
      </c>
      <c r="I403" s="25">
        <f ca="1">S0_*EXP((mu_-sigma_^2/2)*Dt_+sigma_*SQRT(Dt_)*_xlfn.NORM.INV(RAND(),0,1))</f>
        <v>107.094041106827</v>
      </c>
      <c r="J403" s="25">
        <f ca="1">MAX(k_-I403,0)*EXP(-rs_*T_)</f>
        <v>0</v>
      </c>
      <c r="K403" s="25">
        <v>6.88782355787425</v>
      </c>
      <c r="L403" s="25">
        <v>6.31782355787425</v>
      </c>
      <c r="M403" s="28">
        <v>0</v>
      </c>
      <c r="N403" s="28">
        <v>0</v>
      </c>
    </row>
    <row r="404" spans="7:14">
      <c r="G404" s="24">
        <v>403</v>
      </c>
      <c r="H404" s="25">
        <f>S0_</f>
        <v>100</v>
      </c>
      <c r="I404" s="25">
        <f ca="1">S0_*EXP((mu_-sigma_^2/2)*Dt_+sigma_*SQRT(Dt_)*_xlfn.NORM.INV(RAND(),0,1))</f>
        <v>100.517824292192</v>
      </c>
      <c r="J404" s="25">
        <f ca="1">MAX(k_-I404,0)*EXP(-rs_*T_)</f>
        <v>0</v>
      </c>
      <c r="K404" s="25">
        <v>0.502771594482229</v>
      </c>
      <c r="L404" s="25">
        <v>-0.0672284055177709</v>
      </c>
      <c r="M404" s="28">
        <v>0</v>
      </c>
      <c r="N404" s="28">
        <v>1</v>
      </c>
    </row>
    <row r="405" spans="7:14">
      <c r="G405" s="24">
        <v>404</v>
      </c>
      <c r="H405" s="25">
        <f>S0_</f>
        <v>100</v>
      </c>
      <c r="I405" s="25">
        <f ca="1">S0_*EXP((mu_-sigma_^2/2)*Dt_+sigma_*SQRT(Dt_)*_xlfn.NORM.INV(RAND(),0,1))</f>
        <v>88.8172883252885</v>
      </c>
      <c r="J405" s="25">
        <f ca="1">MAX(k_-I405,0)*EXP(-rs_*T_)</f>
        <v>7.94484742781252</v>
      </c>
      <c r="K405" s="25">
        <v>-10.8576400607361</v>
      </c>
      <c r="L405" s="25">
        <v>-3.48279263292358</v>
      </c>
      <c r="M405" s="28">
        <v>1</v>
      </c>
      <c r="N405" s="28">
        <v>1</v>
      </c>
    </row>
    <row r="406" spans="7:14">
      <c r="G406" s="24">
        <v>405</v>
      </c>
      <c r="H406" s="25">
        <f>S0_</f>
        <v>100</v>
      </c>
      <c r="I406" s="25">
        <f ca="1">S0_*EXP((mu_-sigma_^2/2)*Dt_+sigma_*SQRT(Dt_)*_xlfn.NORM.INV(RAND(),0,1))</f>
        <v>104.918245494003</v>
      </c>
      <c r="J406" s="25">
        <f ca="1">MAX(k_-I406,0)*EXP(-rs_*T_)</f>
        <v>0</v>
      </c>
      <c r="K406" s="25">
        <v>4.77527641394692</v>
      </c>
      <c r="L406" s="25">
        <v>4.20527641394692</v>
      </c>
      <c r="M406" s="28">
        <v>0</v>
      </c>
      <c r="N406" s="28">
        <v>0</v>
      </c>
    </row>
    <row r="407" spans="7:14">
      <c r="G407" s="24">
        <v>406</v>
      </c>
      <c r="H407" s="25">
        <f>S0_</f>
        <v>100</v>
      </c>
      <c r="I407" s="25">
        <f ca="1">S0_*EXP((mu_-sigma_^2/2)*Dt_+sigma_*SQRT(Dt_)*_xlfn.NORM.INV(RAND(),0,1))</f>
        <v>109.403155562273</v>
      </c>
      <c r="J407" s="25">
        <f ca="1">MAX(k_-I407,0)*EXP(-rs_*T_)</f>
        <v>0</v>
      </c>
      <c r="K407" s="25">
        <v>9.12981408267421</v>
      </c>
      <c r="L407" s="25">
        <v>8.55981408267421</v>
      </c>
      <c r="M407" s="28">
        <v>0</v>
      </c>
      <c r="N407" s="28">
        <v>0</v>
      </c>
    </row>
    <row r="408" spans="7:14">
      <c r="G408" s="24">
        <v>407</v>
      </c>
      <c r="H408" s="25">
        <f>S0_</f>
        <v>100</v>
      </c>
      <c r="I408" s="25">
        <f ca="1">S0_*EXP((mu_-sigma_^2/2)*Dt_+sigma_*SQRT(Dt_)*_xlfn.NORM.INV(RAND(),0,1))</f>
        <v>113.1501499723</v>
      </c>
      <c r="J408" s="25">
        <f ca="1">MAX(k_-I408,0)*EXP(-rs_*T_)</f>
        <v>0</v>
      </c>
      <c r="K408" s="25">
        <v>12.7678866537183</v>
      </c>
      <c r="L408" s="25">
        <v>12.1978866537183</v>
      </c>
      <c r="M408" s="28">
        <v>0</v>
      </c>
      <c r="N408" s="28">
        <v>0</v>
      </c>
    </row>
    <row r="409" spans="7:14">
      <c r="G409" s="24">
        <v>408</v>
      </c>
      <c r="H409" s="25">
        <f>S0_</f>
        <v>100</v>
      </c>
      <c r="I409" s="25">
        <f ca="1">S0_*EXP((mu_-sigma_^2/2)*Dt_+sigma_*SQRT(Dt_)*_xlfn.NORM.INV(RAND(),0,1))</f>
        <v>108.871218114997</v>
      </c>
      <c r="J409" s="25">
        <f ca="1">MAX(k_-I409,0)*EXP(-rs_*T_)</f>
        <v>0</v>
      </c>
      <c r="K409" s="25">
        <v>8.61333959014063</v>
      </c>
      <c r="L409" s="25">
        <v>8.04333959014063</v>
      </c>
      <c r="M409" s="28">
        <v>0</v>
      </c>
      <c r="N409" s="28">
        <v>0</v>
      </c>
    </row>
    <row r="410" spans="7:14">
      <c r="G410" s="24">
        <v>409</v>
      </c>
      <c r="H410" s="25">
        <f>S0_</f>
        <v>100</v>
      </c>
      <c r="I410" s="25">
        <f ca="1">S0_*EXP((mu_-sigma_^2/2)*Dt_+sigma_*SQRT(Dt_)*_xlfn.NORM.INV(RAND(),0,1))</f>
        <v>107.715373116841</v>
      </c>
      <c r="J410" s="25">
        <f ca="1">MAX(k_-I410,0)*EXP(-rs_*T_)</f>
        <v>0</v>
      </c>
      <c r="K410" s="25">
        <v>7.49109399166352</v>
      </c>
      <c r="L410" s="25">
        <v>6.92109399166352</v>
      </c>
      <c r="M410" s="28">
        <v>0</v>
      </c>
      <c r="N410" s="28">
        <v>0</v>
      </c>
    </row>
    <row r="411" spans="7:14">
      <c r="G411" s="24">
        <v>410</v>
      </c>
      <c r="H411" s="25">
        <f>S0_</f>
        <v>100</v>
      </c>
      <c r="I411" s="25">
        <f ca="1">S0_*EXP((mu_-sigma_^2/2)*Dt_+sigma_*SQRT(Dt_)*_xlfn.NORM.INV(RAND(),0,1))</f>
        <v>99.8784098125546</v>
      </c>
      <c r="J411" s="25">
        <f ca="1">MAX(k_-I411,0)*EXP(-rs_*T_)</f>
        <v>0</v>
      </c>
      <c r="K411" s="25">
        <v>-0.118055667408953</v>
      </c>
      <c r="L411" s="25">
        <v>-0.688055667408953</v>
      </c>
      <c r="M411" s="28">
        <v>1</v>
      </c>
      <c r="N411" s="28">
        <v>1</v>
      </c>
    </row>
    <row r="412" spans="7:14">
      <c r="G412" s="24">
        <v>411</v>
      </c>
      <c r="H412" s="25">
        <f>S0_</f>
        <v>100</v>
      </c>
      <c r="I412" s="25">
        <f ca="1">S0_*EXP((mu_-sigma_^2/2)*Dt_+sigma_*SQRT(Dt_)*_xlfn.NORM.INV(RAND(),0,1))</f>
        <v>97.9210602000338</v>
      </c>
      <c r="J412" s="25">
        <f ca="1">MAX(k_-I412,0)*EXP(-rs_*T_)</f>
        <v>0</v>
      </c>
      <c r="K412" s="25">
        <v>-2.0185068445444</v>
      </c>
      <c r="L412" s="25">
        <v>-2.5885068445444</v>
      </c>
      <c r="M412" s="28">
        <v>1</v>
      </c>
      <c r="N412" s="28">
        <v>1</v>
      </c>
    </row>
    <row r="413" spans="7:14">
      <c r="G413" s="24">
        <v>412</v>
      </c>
      <c r="H413" s="25">
        <f>S0_</f>
        <v>100</v>
      </c>
      <c r="I413" s="25">
        <f ca="1">S0_*EXP((mu_-sigma_^2/2)*Dt_+sigma_*SQRT(Dt_)*_xlfn.NORM.INV(RAND(),0,1))</f>
        <v>106.606087018451</v>
      </c>
      <c r="J413" s="25">
        <f ca="1">MAX(k_-I413,0)*EXP(-rs_*T_)</f>
        <v>0</v>
      </c>
      <c r="K413" s="25">
        <v>6.41405386659883</v>
      </c>
      <c r="L413" s="25">
        <v>5.84405386659883</v>
      </c>
      <c r="M413" s="28">
        <v>0</v>
      </c>
      <c r="N413" s="28">
        <v>0</v>
      </c>
    </row>
    <row r="414" spans="7:14">
      <c r="G414" s="24">
        <v>413</v>
      </c>
      <c r="H414" s="25">
        <f>S0_</f>
        <v>100</v>
      </c>
      <c r="I414" s="25">
        <f ca="1">S0_*EXP((mu_-sigma_^2/2)*Dt_+sigma_*SQRT(Dt_)*_xlfn.NORM.INV(RAND(),0,1))</f>
        <v>122.13769399218</v>
      </c>
      <c r="J414" s="25">
        <f ca="1">MAX(k_-I414,0)*EXP(-rs_*T_)</f>
        <v>0</v>
      </c>
      <c r="K414" s="25">
        <v>21.4941706567797</v>
      </c>
      <c r="L414" s="25">
        <v>20.9241706567797</v>
      </c>
      <c r="M414" s="28">
        <v>0</v>
      </c>
      <c r="N414" s="28">
        <v>0</v>
      </c>
    </row>
    <row r="415" spans="7:14">
      <c r="G415" s="24">
        <v>414</v>
      </c>
      <c r="H415" s="25">
        <f>S0_</f>
        <v>100</v>
      </c>
      <c r="I415" s="25">
        <f ca="1">S0_*EXP((mu_-sigma_^2/2)*Dt_+sigma_*SQRT(Dt_)*_xlfn.NORM.INV(RAND(),0,1))</f>
        <v>121.316598902378</v>
      </c>
      <c r="J415" s="25">
        <f ca="1">MAX(k_-I415,0)*EXP(-rs_*T_)</f>
        <v>0</v>
      </c>
      <c r="K415" s="25">
        <v>20.6969440806115</v>
      </c>
      <c r="L415" s="25">
        <v>20.1269440806115</v>
      </c>
      <c r="M415" s="28">
        <v>0</v>
      </c>
      <c r="N415" s="28">
        <v>0</v>
      </c>
    </row>
    <row r="416" spans="7:14">
      <c r="G416" s="24">
        <v>415</v>
      </c>
      <c r="H416" s="25">
        <f>S0_</f>
        <v>100</v>
      </c>
      <c r="I416" s="25">
        <f ca="1">S0_*EXP((mu_-sigma_^2/2)*Dt_+sigma_*SQRT(Dt_)*_xlfn.NORM.INV(RAND(),0,1))</f>
        <v>97.234770853497</v>
      </c>
      <c r="J416" s="25">
        <f ca="1">MAX(k_-I416,0)*EXP(-rs_*T_)</f>
        <v>0</v>
      </c>
      <c r="K416" s="25">
        <v>-2.68484636209318</v>
      </c>
      <c r="L416" s="25">
        <v>-3.25484636209318</v>
      </c>
      <c r="M416" s="28">
        <v>1</v>
      </c>
      <c r="N416" s="28">
        <v>1</v>
      </c>
    </row>
    <row r="417" spans="7:14">
      <c r="G417" s="24">
        <v>416</v>
      </c>
      <c r="H417" s="25">
        <f>S0_</f>
        <v>100</v>
      </c>
      <c r="I417" s="25">
        <f ca="1">S0_*EXP((mu_-sigma_^2/2)*Dt_+sigma_*SQRT(Dt_)*_xlfn.NORM.INV(RAND(),0,1))</f>
        <v>101.064837476056</v>
      </c>
      <c r="J417" s="25">
        <f ca="1">MAX(k_-I417,0)*EXP(-rs_*T_)</f>
        <v>0</v>
      </c>
      <c r="K417" s="25">
        <v>1.03388358517195</v>
      </c>
      <c r="L417" s="25">
        <v>0.463883585171954</v>
      </c>
      <c r="M417" s="28">
        <v>0</v>
      </c>
      <c r="N417" s="28">
        <v>0</v>
      </c>
    </row>
    <row r="418" spans="7:14">
      <c r="G418" s="24">
        <v>417</v>
      </c>
      <c r="H418" s="25">
        <f>S0_</f>
        <v>100</v>
      </c>
      <c r="I418" s="25">
        <f ca="1">S0_*EXP((mu_-sigma_^2/2)*Dt_+sigma_*SQRT(Dt_)*_xlfn.NORM.INV(RAND(),0,1))</f>
        <v>99.8998654511849</v>
      </c>
      <c r="J418" s="25">
        <f ca="1">MAX(k_-I418,0)*EXP(-rs_*T_)</f>
        <v>0</v>
      </c>
      <c r="K418" s="25">
        <v>-0.0972237253632696</v>
      </c>
      <c r="L418" s="25">
        <v>-0.66722372536327</v>
      </c>
      <c r="M418" s="28">
        <v>1</v>
      </c>
      <c r="N418" s="28">
        <v>1</v>
      </c>
    </row>
    <row r="419" spans="7:14">
      <c r="G419" s="24">
        <v>418</v>
      </c>
      <c r="H419" s="25">
        <f>S0_</f>
        <v>100</v>
      </c>
      <c r="I419" s="25">
        <f ca="1">S0_*EXP((mu_-sigma_^2/2)*Dt_+sigma_*SQRT(Dt_)*_xlfn.NORM.INV(RAND(),0,1))</f>
        <v>101.113655626979</v>
      </c>
      <c r="J419" s="25">
        <f ca="1">MAX(k_-I419,0)*EXP(-rs_*T_)</f>
        <v>0</v>
      </c>
      <c r="K419" s="25">
        <v>1.08128263529303</v>
      </c>
      <c r="L419" s="25">
        <v>0.511282635293034</v>
      </c>
      <c r="M419" s="28">
        <v>0</v>
      </c>
      <c r="N419" s="28">
        <v>0</v>
      </c>
    </row>
    <row r="420" spans="7:14">
      <c r="G420" s="24">
        <v>419</v>
      </c>
      <c r="H420" s="25">
        <f>S0_</f>
        <v>100</v>
      </c>
      <c r="I420" s="25">
        <f ca="1">S0_*EXP((mu_-sigma_^2/2)*Dt_+sigma_*SQRT(Dt_)*_xlfn.NORM.INV(RAND(),0,1))</f>
        <v>95.8990302928226</v>
      </c>
      <c r="J420" s="25">
        <f ca="1">MAX(k_-I420,0)*EXP(-rs_*T_)</f>
        <v>1.06896548404612</v>
      </c>
      <c r="K420" s="25">
        <v>-3.9817581169697</v>
      </c>
      <c r="L420" s="25">
        <v>-3.48279263292358</v>
      </c>
      <c r="M420" s="28">
        <v>1</v>
      </c>
      <c r="N420" s="28">
        <v>1</v>
      </c>
    </row>
    <row r="421" spans="7:14">
      <c r="G421" s="24">
        <v>420</v>
      </c>
      <c r="H421" s="25">
        <f>S0_</f>
        <v>100</v>
      </c>
      <c r="I421" s="25">
        <f ca="1">S0_*EXP((mu_-sigma_^2/2)*Dt_+sigma_*SQRT(Dt_)*_xlfn.NORM.INV(RAND(),0,1))</f>
        <v>123.135378066387</v>
      </c>
      <c r="J421" s="25">
        <f ca="1">MAX(k_-I421,0)*EXP(-rs_*T_)</f>
        <v>0</v>
      </c>
      <c r="K421" s="25">
        <v>22.4628529305584</v>
      </c>
      <c r="L421" s="25">
        <v>21.8928529305584</v>
      </c>
      <c r="M421" s="28">
        <v>0</v>
      </c>
      <c r="N421" s="28">
        <v>0</v>
      </c>
    </row>
    <row r="422" spans="7:14">
      <c r="G422" s="24">
        <v>421</v>
      </c>
      <c r="H422" s="25">
        <f>S0_</f>
        <v>100</v>
      </c>
      <c r="I422" s="25">
        <f ca="1">S0_*EXP((mu_-sigma_^2/2)*Dt_+sigma_*SQRT(Dt_)*_xlfn.NORM.INV(RAND(),0,1))</f>
        <v>87.3344279448226</v>
      </c>
      <c r="J422" s="25">
        <f ca="1">MAX(k_-I422,0)*EXP(-rs_*T_)</f>
        <v>9.38460235843761</v>
      </c>
      <c r="K422" s="25">
        <v>-12.2973949913612</v>
      </c>
      <c r="L422" s="25">
        <v>-3.48279263292358</v>
      </c>
      <c r="M422" s="28">
        <v>1</v>
      </c>
      <c r="N422" s="28">
        <v>1</v>
      </c>
    </row>
    <row r="423" spans="7:14">
      <c r="G423" s="24">
        <v>422</v>
      </c>
      <c r="H423" s="25">
        <f>S0_</f>
        <v>100</v>
      </c>
      <c r="I423" s="25">
        <f ca="1">S0_*EXP((mu_-sigma_^2/2)*Dt_+sigma_*SQRT(Dt_)*_xlfn.NORM.INV(RAND(),0,1))</f>
        <v>110.858546203311</v>
      </c>
      <c r="J423" s="25">
        <f ca="1">MAX(k_-I423,0)*EXP(-rs_*T_)</f>
        <v>0</v>
      </c>
      <c r="K423" s="25">
        <v>10.542897795088</v>
      </c>
      <c r="L423" s="25">
        <v>9.97289779508796</v>
      </c>
      <c r="M423" s="28">
        <v>0</v>
      </c>
      <c r="N423" s="28">
        <v>0</v>
      </c>
    </row>
    <row r="424" spans="7:14">
      <c r="G424" s="24">
        <v>423</v>
      </c>
      <c r="H424" s="25">
        <f>S0_</f>
        <v>100</v>
      </c>
      <c r="I424" s="25">
        <f ca="1">S0_*EXP((mu_-sigma_^2/2)*Dt_+sigma_*SQRT(Dt_)*_xlfn.NORM.INV(RAND(),0,1))</f>
        <v>104.147630038147</v>
      </c>
      <c r="J424" s="25">
        <f ca="1">MAX(k_-I424,0)*EXP(-rs_*T_)</f>
        <v>0</v>
      </c>
      <c r="K424" s="25">
        <v>4.02706207306877</v>
      </c>
      <c r="L424" s="25">
        <v>3.45706207306877</v>
      </c>
      <c r="M424" s="28">
        <v>0</v>
      </c>
      <c r="N424" s="28">
        <v>0</v>
      </c>
    </row>
    <row r="425" spans="7:14">
      <c r="G425" s="24">
        <v>424</v>
      </c>
      <c r="H425" s="25">
        <f>S0_</f>
        <v>100</v>
      </c>
      <c r="I425" s="25">
        <f ca="1">S0_*EXP((mu_-sigma_^2/2)*Dt_+sigma_*SQRT(Dt_)*_xlfn.NORM.INV(RAND(),0,1))</f>
        <v>91.2630214967238</v>
      </c>
      <c r="J425" s="25">
        <f ca="1">MAX(k_-I425,0)*EXP(-rs_*T_)</f>
        <v>5.5702095731946</v>
      </c>
      <c r="K425" s="25">
        <v>-8.48300220611819</v>
      </c>
      <c r="L425" s="25">
        <v>-3.48279263292358</v>
      </c>
      <c r="M425" s="28">
        <v>1</v>
      </c>
      <c r="N425" s="28">
        <v>1</v>
      </c>
    </row>
    <row r="426" spans="7:14">
      <c r="G426" s="24">
        <v>425</v>
      </c>
      <c r="H426" s="25">
        <f>S0_</f>
        <v>100</v>
      </c>
      <c r="I426" s="25">
        <f ca="1">S0_*EXP((mu_-sigma_^2/2)*Dt_+sigma_*SQRT(Dt_)*_xlfn.NORM.INV(RAND(),0,1))</f>
        <v>94.8907854072275</v>
      </c>
      <c r="J426" s="25">
        <f ca="1">MAX(k_-I426,0)*EXP(-rs_*T_)</f>
        <v>2.04790157569421</v>
      </c>
      <c r="K426" s="25">
        <v>-4.96069420861779</v>
      </c>
      <c r="L426" s="25">
        <v>-3.48279263292358</v>
      </c>
      <c r="M426" s="28">
        <v>1</v>
      </c>
      <c r="N426" s="28">
        <v>1</v>
      </c>
    </row>
    <row r="427" spans="7:14">
      <c r="G427" s="24">
        <v>426</v>
      </c>
      <c r="H427" s="25">
        <f>S0_</f>
        <v>100</v>
      </c>
      <c r="I427" s="25">
        <f ca="1">S0_*EXP((mu_-sigma_^2/2)*Dt_+sigma_*SQRT(Dt_)*_xlfn.NORM.INV(RAND(),0,1))</f>
        <v>91.7676769254452</v>
      </c>
      <c r="J427" s="25">
        <f ca="1">MAX(k_-I427,0)*EXP(-rs_*T_)</f>
        <v>5.0802240348798</v>
      </c>
      <c r="K427" s="25">
        <v>-7.99301666780339</v>
      </c>
      <c r="L427" s="25">
        <v>-3.48279263292358</v>
      </c>
      <c r="M427" s="28">
        <v>1</v>
      </c>
      <c r="N427" s="28">
        <v>1</v>
      </c>
    </row>
    <row r="428" spans="7:14">
      <c r="G428" s="24">
        <v>427</v>
      </c>
      <c r="H428" s="25">
        <f>S0_</f>
        <v>100</v>
      </c>
      <c r="I428" s="25">
        <f ca="1">S0_*EXP((mu_-sigma_^2/2)*Dt_+sigma_*SQRT(Dt_)*_xlfn.NORM.INV(RAND(),0,1))</f>
        <v>105.035872333468</v>
      </c>
      <c r="J428" s="25">
        <f ca="1">MAX(k_-I428,0)*EXP(-rs_*T_)</f>
        <v>0</v>
      </c>
      <c r="K428" s="25">
        <v>4.88948394442346</v>
      </c>
      <c r="L428" s="25">
        <v>4.31948394442346</v>
      </c>
      <c r="M428" s="28">
        <v>0</v>
      </c>
      <c r="N428" s="28">
        <v>0</v>
      </c>
    </row>
    <row r="429" spans="7:14">
      <c r="G429" s="24">
        <v>428</v>
      </c>
      <c r="H429" s="25">
        <f>S0_</f>
        <v>100</v>
      </c>
      <c r="I429" s="25">
        <f ca="1">S0_*EXP((mu_-sigma_^2/2)*Dt_+sigma_*SQRT(Dt_)*_xlfn.NORM.INV(RAND(),0,1))</f>
        <v>95.9389344305188</v>
      </c>
      <c r="J429" s="25">
        <f ca="1">MAX(k_-I429,0)*EXP(-rs_*T_)</f>
        <v>1.03022132461128</v>
      </c>
      <c r="K429" s="25">
        <v>-3.94301395753486</v>
      </c>
      <c r="L429" s="25">
        <v>-3.48279263292358</v>
      </c>
      <c r="M429" s="28">
        <v>1</v>
      </c>
      <c r="N429" s="28">
        <v>1</v>
      </c>
    </row>
    <row r="430" spans="7:14">
      <c r="G430" s="24">
        <v>429</v>
      </c>
      <c r="H430" s="25">
        <f>S0_</f>
        <v>100</v>
      </c>
      <c r="I430" s="25">
        <f ca="1">S0_*EXP((mu_-sigma_^2/2)*Dt_+sigma_*SQRT(Dt_)*_xlfn.NORM.INV(RAND(),0,1))</f>
        <v>105.174680905929</v>
      </c>
      <c r="J430" s="25">
        <f ca="1">MAX(k_-I430,0)*EXP(-rs_*T_)</f>
        <v>0</v>
      </c>
      <c r="K430" s="25">
        <v>5.0242574735067</v>
      </c>
      <c r="L430" s="25">
        <v>4.4542574735067</v>
      </c>
      <c r="M430" s="28">
        <v>0</v>
      </c>
      <c r="N430" s="28">
        <v>0</v>
      </c>
    </row>
    <row r="431" spans="7:14">
      <c r="G431" s="24">
        <v>430</v>
      </c>
      <c r="H431" s="25">
        <f>S0_</f>
        <v>100</v>
      </c>
      <c r="I431" s="25">
        <f ca="1">S0_*EXP((mu_-sigma_^2/2)*Dt_+sigma_*SQRT(Dt_)*_xlfn.NORM.INV(RAND(),0,1))</f>
        <v>116.622387965887</v>
      </c>
      <c r="J431" s="25">
        <f ca="1">MAX(k_-I431,0)*EXP(-rs_*T_)</f>
        <v>0</v>
      </c>
      <c r="K431" s="25">
        <v>16.1391897362112</v>
      </c>
      <c r="L431" s="25">
        <v>15.5691897362112</v>
      </c>
      <c r="M431" s="28">
        <v>0</v>
      </c>
      <c r="N431" s="28">
        <v>0</v>
      </c>
    </row>
    <row r="432" spans="7:14">
      <c r="G432" s="24">
        <v>431</v>
      </c>
      <c r="H432" s="25">
        <f>S0_</f>
        <v>100</v>
      </c>
      <c r="I432" s="25">
        <f ca="1">S0_*EXP((mu_-sigma_^2/2)*Dt_+sigma_*SQRT(Dt_)*_xlfn.NORM.INV(RAND(),0,1))</f>
        <v>95.3205220388064</v>
      </c>
      <c r="J432" s="25">
        <f ca="1">MAX(k_-I432,0)*EXP(-rs_*T_)</f>
        <v>1.63065701084076</v>
      </c>
      <c r="K432" s="25">
        <v>-4.54344964376434</v>
      </c>
      <c r="L432" s="25">
        <v>-3.48279263292358</v>
      </c>
      <c r="M432" s="28">
        <v>1</v>
      </c>
      <c r="N432" s="28">
        <v>1</v>
      </c>
    </row>
    <row r="433" spans="7:14">
      <c r="G433" s="24">
        <v>432</v>
      </c>
      <c r="H433" s="25">
        <f>S0_</f>
        <v>100</v>
      </c>
      <c r="I433" s="25">
        <f ca="1">S0_*EXP((mu_-sigma_^2/2)*Dt_+sigma_*SQRT(Dt_)*_xlfn.NORM.INV(RAND(),0,1))</f>
        <v>102.423214625817</v>
      </c>
      <c r="J433" s="25">
        <f ca="1">MAX(k_-I433,0)*EXP(-rs_*T_)</f>
        <v>0</v>
      </c>
      <c r="K433" s="25">
        <v>2.3527739033572</v>
      </c>
      <c r="L433" s="25">
        <v>1.7827739033572</v>
      </c>
      <c r="M433" s="28">
        <v>0</v>
      </c>
      <c r="N433" s="28">
        <v>0</v>
      </c>
    </row>
    <row r="434" spans="7:14">
      <c r="G434" s="24">
        <v>433</v>
      </c>
      <c r="H434" s="25">
        <f>S0_</f>
        <v>100</v>
      </c>
      <c r="I434" s="25">
        <f ca="1">S0_*EXP((mu_-sigma_^2/2)*Dt_+sigma_*SQRT(Dt_)*_xlfn.NORM.INV(RAND(),0,1))</f>
        <v>120.273360368804</v>
      </c>
      <c r="J434" s="25">
        <f ca="1">MAX(k_-I434,0)*EXP(-rs_*T_)</f>
        <v>0</v>
      </c>
      <c r="K434" s="25">
        <v>19.6840315756192</v>
      </c>
      <c r="L434" s="25">
        <v>19.1140315756192</v>
      </c>
      <c r="M434" s="28">
        <v>0</v>
      </c>
      <c r="N434" s="28">
        <v>0</v>
      </c>
    </row>
    <row r="435" spans="7:14">
      <c r="G435" s="24">
        <v>434</v>
      </c>
      <c r="H435" s="25">
        <f>S0_</f>
        <v>100</v>
      </c>
      <c r="I435" s="25">
        <f ca="1">S0_*EXP((mu_-sigma_^2/2)*Dt_+sigma_*SQRT(Dt_)*_xlfn.NORM.INV(RAND(),0,1))</f>
        <v>91.5777139869801</v>
      </c>
      <c r="J435" s="25">
        <f ca="1">MAX(k_-I435,0)*EXP(-rs_*T_)</f>
        <v>5.264664917443</v>
      </c>
      <c r="K435" s="25">
        <v>-8.17745755036658</v>
      </c>
      <c r="L435" s="25">
        <v>-3.48279263292358</v>
      </c>
      <c r="M435" s="28">
        <v>1</v>
      </c>
      <c r="N435" s="28">
        <v>1</v>
      </c>
    </row>
    <row r="436" spans="7:14">
      <c r="G436" s="24">
        <v>435</v>
      </c>
      <c r="H436" s="25">
        <f>S0_</f>
        <v>100</v>
      </c>
      <c r="I436" s="25">
        <f ca="1">S0_*EXP((mu_-sigma_^2/2)*Dt_+sigma_*SQRT(Dt_)*_xlfn.NORM.INV(RAND(),0,1))</f>
        <v>94.6427410380598</v>
      </c>
      <c r="J436" s="25">
        <f ca="1">MAX(k_-I436,0)*EXP(-rs_*T_)</f>
        <v>2.28873551274419</v>
      </c>
      <c r="K436" s="25">
        <v>-5.20152814566777</v>
      </c>
      <c r="L436" s="25">
        <v>-3.48279263292358</v>
      </c>
      <c r="M436" s="28">
        <v>1</v>
      </c>
      <c r="N436" s="28">
        <v>1</v>
      </c>
    </row>
    <row r="437" spans="7:14">
      <c r="G437" s="24">
        <v>436</v>
      </c>
      <c r="H437" s="25">
        <f>S0_</f>
        <v>100</v>
      </c>
      <c r="I437" s="25">
        <f ca="1">S0_*EXP((mu_-sigma_^2/2)*Dt_+sigma_*SQRT(Dt_)*_xlfn.NORM.INV(RAND(),0,1))</f>
        <v>103.227295208757</v>
      </c>
      <c r="J437" s="25">
        <f ca="1">MAX(k_-I437,0)*EXP(-rs_*T_)</f>
        <v>0</v>
      </c>
      <c r="K437" s="25">
        <v>3.13348056944611</v>
      </c>
      <c r="L437" s="25">
        <v>2.56348056944611</v>
      </c>
      <c r="M437" s="28">
        <v>0</v>
      </c>
      <c r="N437" s="28">
        <v>0</v>
      </c>
    </row>
    <row r="438" spans="7:14">
      <c r="G438" s="24">
        <v>437</v>
      </c>
      <c r="H438" s="25">
        <f>S0_</f>
        <v>100</v>
      </c>
      <c r="I438" s="25">
        <f ca="1">S0_*EXP((mu_-sigma_^2/2)*Dt_+sigma_*SQRT(Dt_)*_xlfn.NORM.INV(RAND(),0,1))</f>
        <v>109.737856790414</v>
      </c>
      <c r="J438" s="25">
        <f ca="1">MAX(k_-I438,0)*EXP(-rs_*T_)</f>
        <v>0</v>
      </c>
      <c r="K438" s="25">
        <v>9.45478583986091</v>
      </c>
      <c r="L438" s="25">
        <v>8.88478583986091</v>
      </c>
      <c r="M438" s="28">
        <v>0</v>
      </c>
      <c r="N438" s="28">
        <v>0</v>
      </c>
    </row>
    <row r="439" spans="7:14">
      <c r="G439" s="24">
        <v>438</v>
      </c>
      <c r="H439" s="25">
        <f>S0_</f>
        <v>100</v>
      </c>
      <c r="I439" s="25">
        <f ca="1">S0_*EXP((mu_-sigma_^2/2)*Dt_+sigma_*SQRT(Dt_)*_xlfn.NORM.INV(RAND(),0,1))</f>
        <v>93.0446429509248</v>
      </c>
      <c r="J439" s="25">
        <f ca="1">MAX(k_-I439,0)*EXP(-rs_*T_)</f>
        <v>3.84037829104286</v>
      </c>
      <c r="K439" s="25">
        <v>-6.75317092396644</v>
      </c>
      <c r="L439" s="25">
        <v>-3.48279263292358</v>
      </c>
      <c r="M439" s="28">
        <v>1</v>
      </c>
      <c r="N439" s="28">
        <v>1</v>
      </c>
    </row>
    <row r="440" spans="7:14">
      <c r="G440" s="24">
        <v>439</v>
      </c>
      <c r="H440" s="25">
        <f>S0_</f>
        <v>100</v>
      </c>
      <c r="I440" s="25">
        <f ca="1">S0_*EXP((mu_-sigma_^2/2)*Dt_+sigma_*SQRT(Dt_)*_xlfn.NORM.INV(RAND(),0,1))</f>
        <v>112.957112931993</v>
      </c>
      <c r="J440" s="25">
        <f ca="1">MAX(k_-I440,0)*EXP(-rs_*T_)</f>
        <v>0</v>
      </c>
      <c r="K440" s="25">
        <v>12.5804610307561</v>
      </c>
      <c r="L440" s="25">
        <v>12.0104610307561</v>
      </c>
      <c r="M440" s="28">
        <v>0</v>
      </c>
      <c r="N440" s="28">
        <v>0</v>
      </c>
    </row>
    <row r="441" spans="7:14">
      <c r="G441" s="24">
        <v>440</v>
      </c>
      <c r="H441" s="25">
        <f>S0_</f>
        <v>100</v>
      </c>
      <c r="I441" s="25">
        <f ca="1">S0_*EXP((mu_-sigma_^2/2)*Dt_+sigma_*SQRT(Dt_)*_xlfn.NORM.INV(RAND(),0,1))</f>
        <v>108.926385034725</v>
      </c>
      <c r="J441" s="25">
        <f ca="1">MAX(k_-I441,0)*EXP(-rs_*T_)</f>
        <v>0</v>
      </c>
      <c r="K441" s="25">
        <v>8.66690285592856</v>
      </c>
      <c r="L441" s="25">
        <v>8.09690285592856</v>
      </c>
      <c r="M441" s="28">
        <v>0</v>
      </c>
      <c r="N441" s="28">
        <v>0</v>
      </c>
    </row>
    <row r="442" spans="7:14">
      <c r="G442" s="24">
        <v>441</v>
      </c>
      <c r="H442" s="25">
        <f>S0_</f>
        <v>100</v>
      </c>
      <c r="I442" s="25">
        <f ca="1">S0_*EXP((mu_-sigma_^2/2)*Dt_+sigma_*SQRT(Dt_)*_xlfn.NORM.INV(RAND(),0,1))</f>
        <v>111.394118249491</v>
      </c>
      <c r="J442" s="25">
        <f ca="1">MAX(k_-I442,0)*EXP(-rs_*T_)</f>
        <v>0</v>
      </c>
      <c r="K442" s="25">
        <v>11.0629012319263</v>
      </c>
      <c r="L442" s="25">
        <v>10.4929012319263</v>
      </c>
      <c r="M442" s="28">
        <v>0</v>
      </c>
      <c r="N442" s="28">
        <v>0</v>
      </c>
    </row>
    <row r="443" spans="7:14">
      <c r="G443" s="24">
        <v>442</v>
      </c>
      <c r="H443" s="25">
        <f>S0_</f>
        <v>100</v>
      </c>
      <c r="I443" s="25">
        <f ca="1">S0_*EXP((mu_-sigma_^2/2)*Dt_+sigma_*SQRT(Dt_)*_xlfn.NORM.INV(RAND(),0,1))</f>
        <v>115.122371243282</v>
      </c>
      <c r="J443" s="25">
        <f ca="1">MAX(k_-I443,0)*EXP(-rs_*T_)</f>
        <v>0</v>
      </c>
      <c r="K443" s="25">
        <v>14.6827771832553</v>
      </c>
      <c r="L443" s="25">
        <v>14.1127771832553</v>
      </c>
      <c r="M443" s="28">
        <v>0</v>
      </c>
      <c r="N443" s="28">
        <v>0</v>
      </c>
    </row>
    <row r="444" spans="7:14">
      <c r="G444" s="24">
        <v>443</v>
      </c>
      <c r="H444" s="25">
        <f>S0_</f>
        <v>100</v>
      </c>
      <c r="I444" s="25">
        <f ca="1">S0_*EXP((mu_-sigma_^2/2)*Dt_+sigma_*SQRT(Dt_)*_xlfn.NORM.INV(RAND(),0,1))</f>
        <v>95.6896270075089</v>
      </c>
      <c r="J444" s="25">
        <f ca="1">MAX(k_-I444,0)*EXP(-rs_*T_)</f>
        <v>1.27228159963668</v>
      </c>
      <c r="K444" s="25">
        <v>-4.18507423256027</v>
      </c>
      <c r="L444" s="25">
        <v>-3.48279263292358</v>
      </c>
      <c r="M444" s="28">
        <v>1</v>
      </c>
      <c r="N444" s="28">
        <v>1</v>
      </c>
    </row>
    <row r="445" spans="7:14">
      <c r="G445" s="24">
        <v>444</v>
      </c>
      <c r="H445" s="25">
        <f>S0_</f>
        <v>100</v>
      </c>
      <c r="I445" s="25">
        <f ca="1">S0_*EXP((mu_-sigma_^2/2)*Dt_+sigma_*SQRT(Dt_)*_xlfn.NORM.INV(RAND(),0,1))</f>
        <v>100.803631816364</v>
      </c>
      <c r="J445" s="25">
        <f ca="1">MAX(k_-I445,0)*EXP(-rs_*T_)</f>
        <v>0</v>
      </c>
      <c r="K445" s="25">
        <v>0.780270944762233</v>
      </c>
      <c r="L445" s="25">
        <v>0.210270944762233</v>
      </c>
      <c r="M445" s="28">
        <v>0</v>
      </c>
      <c r="N445" s="28">
        <v>0</v>
      </c>
    </row>
    <row r="446" spans="7:14">
      <c r="G446" s="24">
        <v>445</v>
      </c>
      <c r="H446" s="25">
        <f>S0_</f>
        <v>100</v>
      </c>
      <c r="I446" s="25">
        <f ca="1">S0_*EXP((mu_-sigma_^2/2)*Dt_+sigma_*SQRT(Dt_)*_xlfn.NORM.INV(RAND(),0,1))</f>
        <v>94.6221994227893</v>
      </c>
      <c r="J446" s="25">
        <f ca="1">MAX(k_-I446,0)*EXP(-rs_*T_)</f>
        <v>2.30868000128692</v>
      </c>
      <c r="K446" s="25">
        <v>-5.2214726342105</v>
      </c>
      <c r="L446" s="25">
        <v>-3.48279263292358</v>
      </c>
      <c r="M446" s="28">
        <v>1</v>
      </c>
      <c r="N446" s="28">
        <v>1</v>
      </c>
    </row>
    <row r="447" spans="7:14">
      <c r="G447" s="24">
        <v>446</v>
      </c>
      <c r="H447" s="25">
        <f>S0_</f>
        <v>100</v>
      </c>
      <c r="I447" s="25">
        <f ca="1">S0_*EXP((mu_-sigma_^2/2)*Dt_+sigma_*SQRT(Dt_)*_xlfn.NORM.INV(RAND(),0,1))</f>
        <v>111.452627730101</v>
      </c>
      <c r="J447" s="25">
        <f ca="1">MAX(k_-I447,0)*EXP(-rs_*T_)</f>
        <v>0</v>
      </c>
      <c r="K447" s="25">
        <v>11.1197098932847</v>
      </c>
      <c r="L447" s="25">
        <v>10.5497098932847</v>
      </c>
      <c r="M447" s="28">
        <v>0</v>
      </c>
      <c r="N447" s="28">
        <v>0</v>
      </c>
    </row>
    <row r="448" spans="7:14">
      <c r="G448" s="24">
        <v>447</v>
      </c>
      <c r="H448" s="25">
        <f>S0_</f>
        <v>100</v>
      </c>
      <c r="I448" s="25">
        <f ca="1">S0_*EXP((mu_-sigma_^2/2)*Dt_+sigma_*SQRT(Dt_)*_xlfn.NORM.INV(RAND(),0,1))</f>
        <v>94.4180124636554</v>
      </c>
      <c r="J448" s="25">
        <f ca="1">MAX(k_-I448,0)*EXP(-rs_*T_)</f>
        <v>2.50693142472171</v>
      </c>
      <c r="K448" s="25">
        <v>-5.4197240576453</v>
      </c>
      <c r="L448" s="25">
        <v>-3.48279263292358</v>
      </c>
      <c r="M448" s="28">
        <v>1</v>
      </c>
      <c r="N448" s="28">
        <v>1</v>
      </c>
    </row>
    <row r="449" spans="7:14">
      <c r="G449" s="24">
        <v>448</v>
      </c>
      <c r="H449" s="25">
        <f>S0_</f>
        <v>100</v>
      </c>
      <c r="I449" s="25">
        <f ca="1">S0_*EXP((mu_-sigma_^2/2)*Dt_+sigma_*SQRT(Dt_)*_xlfn.NORM.INV(RAND(),0,1))</f>
        <v>103.159246171918</v>
      </c>
      <c r="J449" s="25">
        <f ca="1">MAX(k_-I449,0)*EXP(-rs_*T_)</f>
        <v>0</v>
      </c>
      <c r="K449" s="25">
        <v>3.06740965838488</v>
      </c>
      <c r="L449" s="25">
        <v>2.49740965838488</v>
      </c>
      <c r="M449" s="28">
        <v>0</v>
      </c>
      <c r="N449" s="28">
        <v>0</v>
      </c>
    </row>
    <row r="450" spans="7:14">
      <c r="G450" s="24">
        <v>449</v>
      </c>
      <c r="H450" s="25">
        <f>S0_</f>
        <v>100</v>
      </c>
      <c r="I450" s="25">
        <f ca="1">S0_*EXP((mu_-sigma_^2/2)*Dt_+sigma_*SQRT(Dt_)*_xlfn.NORM.INV(RAND(),0,1))</f>
        <v>100.038306899956</v>
      </c>
      <c r="J450" s="25">
        <f ca="1">MAX(k_-I450,0)*EXP(-rs_*T_)</f>
        <v>0</v>
      </c>
      <c r="K450" s="25">
        <v>0.0371933519937009</v>
      </c>
      <c r="L450" s="25">
        <v>-0.532806648006299</v>
      </c>
      <c r="M450" s="28">
        <v>0</v>
      </c>
      <c r="N450" s="28">
        <v>1</v>
      </c>
    </row>
    <row r="451" spans="7:14">
      <c r="G451" s="24">
        <v>450</v>
      </c>
      <c r="H451" s="25">
        <f>S0_</f>
        <v>100</v>
      </c>
      <c r="I451" s="25">
        <f ca="1">S0_*EXP((mu_-sigma_^2/2)*Dt_+sigma_*SQRT(Dt_)*_xlfn.NORM.INV(RAND(),0,1))</f>
        <v>94.8626151933411</v>
      </c>
      <c r="J451" s="25">
        <f ca="1">MAX(k_-I451,0)*EXP(-rs_*T_)</f>
        <v>2.07525290618629</v>
      </c>
      <c r="K451" s="25">
        <v>-4.98804553910988</v>
      </c>
      <c r="L451" s="25">
        <v>-3.48279263292358</v>
      </c>
      <c r="M451" s="28">
        <v>1</v>
      </c>
      <c r="N451" s="28">
        <v>1</v>
      </c>
    </row>
    <row r="452" spans="7:14">
      <c r="G452" s="24">
        <v>451</v>
      </c>
      <c r="H452" s="25">
        <f>S0_</f>
        <v>100</v>
      </c>
      <c r="I452" s="25">
        <f ca="1">S0_*EXP((mu_-sigma_^2/2)*Dt_+sigma_*SQRT(Dt_)*_xlfn.NORM.INV(RAND(),0,1))</f>
        <v>102.998495965602</v>
      </c>
      <c r="J452" s="25">
        <f ca="1">MAX(k_-I452,0)*EXP(-rs_*T_)</f>
        <v>0</v>
      </c>
      <c r="K452" s="25">
        <v>2.91133231948549</v>
      </c>
      <c r="L452" s="25">
        <v>2.34133231948549</v>
      </c>
      <c r="M452" s="28">
        <v>0</v>
      </c>
      <c r="N452" s="28">
        <v>0</v>
      </c>
    </row>
    <row r="453" spans="7:14">
      <c r="G453" s="24">
        <v>452</v>
      </c>
      <c r="H453" s="25">
        <f>S0_</f>
        <v>100</v>
      </c>
      <c r="I453" s="25">
        <f ca="1">S0_*EXP((mu_-sigma_^2/2)*Dt_+sigma_*SQRT(Dt_)*_xlfn.NORM.INV(RAND(),0,1))</f>
        <v>103.128464891346</v>
      </c>
      <c r="J453" s="25">
        <f ca="1">MAX(k_-I453,0)*EXP(-rs_*T_)</f>
        <v>0</v>
      </c>
      <c r="K453" s="25">
        <v>3.03752316262454</v>
      </c>
      <c r="L453" s="25">
        <v>2.46752316262454</v>
      </c>
      <c r="M453" s="28">
        <v>0</v>
      </c>
      <c r="N453" s="28">
        <v>0</v>
      </c>
    </row>
    <row r="454" spans="7:14">
      <c r="G454" s="24">
        <v>453</v>
      </c>
      <c r="H454" s="25">
        <f>S0_</f>
        <v>100</v>
      </c>
      <c r="I454" s="25">
        <f ca="1">S0_*EXP((mu_-sigma_^2/2)*Dt_+sigma_*SQRT(Dt_)*_xlfn.NORM.INV(RAND(),0,1))</f>
        <v>100.751296623578</v>
      </c>
      <c r="J454" s="25">
        <f ca="1">MAX(k_-I454,0)*EXP(-rs_*T_)</f>
        <v>0</v>
      </c>
      <c r="K454" s="25">
        <v>0.729457090099219</v>
      </c>
      <c r="L454" s="25">
        <v>0.159457090099219</v>
      </c>
      <c r="M454" s="28">
        <v>0</v>
      </c>
      <c r="N454" s="28">
        <v>0</v>
      </c>
    </row>
    <row r="455" spans="7:14">
      <c r="G455" s="24">
        <v>454</v>
      </c>
      <c r="H455" s="25">
        <f>S0_</f>
        <v>100</v>
      </c>
      <c r="I455" s="25">
        <f ca="1">S0_*EXP((mu_-sigma_^2/2)*Dt_+sigma_*SQRT(Dt_)*_xlfn.NORM.INV(RAND(),0,1))</f>
        <v>101.569641655586</v>
      </c>
      <c r="J455" s="25">
        <f ca="1">MAX(k_-I455,0)*EXP(-rs_*T_)</f>
        <v>0</v>
      </c>
      <c r="K455" s="25">
        <v>1.52401355024021</v>
      </c>
      <c r="L455" s="25">
        <v>0.954013550240206</v>
      </c>
      <c r="M455" s="28">
        <v>0</v>
      </c>
      <c r="N455" s="28">
        <v>0</v>
      </c>
    </row>
    <row r="456" spans="7:14">
      <c r="G456" s="24">
        <v>455</v>
      </c>
      <c r="H456" s="25">
        <f>S0_</f>
        <v>100</v>
      </c>
      <c r="I456" s="25">
        <f ca="1">S0_*EXP((mu_-sigma_^2/2)*Dt_+sigma_*SQRT(Dt_)*_xlfn.NORM.INV(RAND(),0,1))</f>
        <v>90.535341944783</v>
      </c>
      <c r="J456" s="25">
        <f ca="1">MAX(k_-I456,0)*EXP(-rs_*T_)</f>
        <v>6.27673611920209</v>
      </c>
      <c r="K456" s="25">
        <v>-9.18952875212567</v>
      </c>
      <c r="L456" s="25">
        <v>-3.48279263292358</v>
      </c>
      <c r="M456" s="28">
        <v>1</v>
      </c>
      <c r="N456" s="28">
        <v>1</v>
      </c>
    </row>
    <row r="457" spans="7:14">
      <c r="G457" s="24">
        <v>456</v>
      </c>
      <c r="H457" s="25">
        <f>S0_</f>
        <v>100</v>
      </c>
      <c r="I457" s="25">
        <f ca="1">S0_*EXP((mu_-sigma_^2/2)*Dt_+sigma_*SQRT(Dt_)*_xlfn.NORM.INV(RAND(),0,1))</f>
        <v>104.562210961225</v>
      </c>
      <c r="J457" s="25">
        <f ca="1">MAX(k_-I457,0)*EXP(-rs_*T_)</f>
        <v>0</v>
      </c>
      <c r="K457" s="25">
        <v>4.42959149256679</v>
      </c>
      <c r="L457" s="25">
        <v>3.85959149256679</v>
      </c>
      <c r="M457" s="28">
        <v>0</v>
      </c>
      <c r="N457" s="28">
        <v>0</v>
      </c>
    </row>
    <row r="458" spans="7:14">
      <c r="G458" s="24">
        <v>457</v>
      </c>
      <c r="H458" s="25">
        <f>S0_</f>
        <v>100</v>
      </c>
      <c r="I458" s="25">
        <f ca="1">S0_*EXP((mu_-sigma_^2/2)*Dt_+sigma_*SQRT(Dt_)*_xlfn.NORM.INV(RAND(),0,1))</f>
        <v>101.892843891959</v>
      </c>
      <c r="J458" s="25">
        <f ca="1">MAX(k_-I458,0)*EXP(-rs_*T_)</f>
        <v>0</v>
      </c>
      <c r="K458" s="25">
        <v>1.83782058125761</v>
      </c>
      <c r="L458" s="25">
        <v>1.26782058125761</v>
      </c>
      <c r="M458" s="28">
        <v>0</v>
      </c>
      <c r="N458" s="28">
        <v>0</v>
      </c>
    </row>
    <row r="459" spans="7:14">
      <c r="G459" s="24">
        <v>458</v>
      </c>
      <c r="H459" s="25">
        <f>S0_</f>
        <v>100</v>
      </c>
      <c r="I459" s="25">
        <f ca="1">S0_*EXP((mu_-sigma_^2/2)*Dt_+sigma_*SQRT(Dt_)*_xlfn.NORM.INV(RAND(),0,1))</f>
        <v>104.28395394859</v>
      </c>
      <c r="J459" s="25">
        <f ca="1">MAX(k_-I459,0)*EXP(-rs_*T_)</f>
        <v>0</v>
      </c>
      <c r="K459" s="25">
        <v>4.15942316707917</v>
      </c>
      <c r="L459" s="25">
        <v>3.58942316707916</v>
      </c>
      <c r="M459" s="28">
        <v>0</v>
      </c>
      <c r="N459" s="28">
        <v>0</v>
      </c>
    </row>
    <row r="460" spans="7:14">
      <c r="G460" s="24">
        <v>459</v>
      </c>
      <c r="H460" s="25">
        <f>S0_</f>
        <v>100</v>
      </c>
      <c r="I460" s="25">
        <f ca="1">S0_*EXP((mu_-sigma_^2/2)*Dt_+sigma_*SQRT(Dt_)*_xlfn.NORM.INV(RAND(),0,1))</f>
        <v>107.877053606476</v>
      </c>
      <c r="J460" s="25">
        <f ca="1">MAX(k_-I460,0)*EXP(-rs_*T_)</f>
        <v>0</v>
      </c>
      <c r="K460" s="25">
        <v>7.64807457136286</v>
      </c>
      <c r="L460" s="25">
        <v>7.07807457136286</v>
      </c>
      <c r="M460" s="28">
        <v>0</v>
      </c>
      <c r="N460" s="28">
        <v>0</v>
      </c>
    </row>
    <row r="461" spans="7:14">
      <c r="G461" s="24">
        <v>460</v>
      </c>
      <c r="H461" s="25">
        <f>S0_</f>
        <v>100</v>
      </c>
      <c r="I461" s="25">
        <f ca="1">S0_*EXP((mu_-sigma_^2/2)*Dt_+sigma_*SQRT(Dt_)*_xlfn.NORM.INV(RAND(),0,1))</f>
        <v>92.0693914810555</v>
      </c>
      <c r="J461" s="25">
        <f ca="1">MAX(k_-I461,0)*EXP(-rs_*T_)</f>
        <v>4.78728005660391</v>
      </c>
      <c r="K461" s="25">
        <v>-7.7000726895275</v>
      </c>
      <c r="L461" s="25">
        <v>-3.48279263292358</v>
      </c>
      <c r="M461" s="28">
        <v>1</v>
      </c>
      <c r="N461" s="28">
        <v>1</v>
      </c>
    </row>
    <row r="462" spans="7:14">
      <c r="G462" s="24">
        <v>461</v>
      </c>
      <c r="H462" s="25">
        <f>S0_</f>
        <v>100</v>
      </c>
      <c r="I462" s="25">
        <f ca="1">S0_*EXP((mu_-sigma_^2/2)*Dt_+sigma_*SQRT(Dt_)*_xlfn.NORM.INV(RAND(),0,1))</f>
        <v>110.751308607322</v>
      </c>
      <c r="J462" s="25">
        <f ca="1">MAX(k_-I462,0)*EXP(-rs_*T_)</f>
        <v>0</v>
      </c>
      <c r="K462" s="25">
        <v>10.438777501898</v>
      </c>
      <c r="L462" s="25">
        <v>9.86877750189804</v>
      </c>
      <c r="M462" s="28">
        <v>0</v>
      </c>
      <c r="N462" s="28">
        <v>0</v>
      </c>
    </row>
    <row r="463" spans="7:14">
      <c r="G463" s="24">
        <v>462</v>
      </c>
      <c r="H463" s="25">
        <f>S0_</f>
        <v>100</v>
      </c>
      <c r="I463" s="25">
        <f ca="1">S0_*EXP((mu_-sigma_^2/2)*Dt_+sigma_*SQRT(Dt_)*_xlfn.NORM.INV(RAND(),0,1))</f>
        <v>106.96557794805</v>
      </c>
      <c r="J463" s="25">
        <f ca="1">MAX(k_-I463,0)*EXP(-rs_*T_)</f>
        <v>0</v>
      </c>
      <c r="K463" s="25">
        <v>6.76309471037839</v>
      </c>
      <c r="L463" s="25">
        <v>6.19309471037839</v>
      </c>
      <c r="M463" s="28">
        <v>0</v>
      </c>
      <c r="N463" s="28">
        <v>0</v>
      </c>
    </row>
    <row r="464" spans="7:14">
      <c r="G464" s="24">
        <v>463</v>
      </c>
      <c r="H464" s="25">
        <f>S0_</f>
        <v>100</v>
      </c>
      <c r="I464" s="25">
        <f ca="1">S0_*EXP((mu_-sigma_^2/2)*Dt_+sigma_*SQRT(Dt_)*_xlfn.NORM.INV(RAND(),0,1))</f>
        <v>115.123730264675</v>
      </c>
      <c r="J464" s="25">
        <f ca="1">MAX(k_-I464,0)*EXP(-rs_*T_)</f>
        <v>0</v>
      </c>
      <c r="K464" s="25">
        <v>14.6840966990892</v>
      </c>
      <c r="L464" s="25">
        <v>14.1140966990892</v>
      </c>
      <c r="M464" s="28">
        <v>0</v>
      </c>
      <c r="N464" s="28">
        <v>0</v>
      </c>
    </row>
    <row r="465" spans="7:14">
      <c r="G465" s="24">
        <v>464</v>
      </c>
      <c r="H465" s="25">
        <f>S0_</f>
        <v>100</v>
      </c>
      <c r="I465" s="25">
        <f ca="1">S0_*EXP((mu_-sigma_^2/2)*Dt_+sigma_*SQRT(Dt_)*_xlfn.NORM.INV(RAND(),0,1))</f>
        <v>96.7492908884308</v>
      </c>
      <c r="J465" s="25">
        <f ca="1">MAX(k_-I465,0)*EXP(-rs_*T_)</f>
        <v>0.243421217728521</v>
      </c>
      <c r="K465" s="25">
        <v>-3.1562138506521</v>
      </c>
      <c r="L465" s="25">
        <v>-3.48279263292358</v>
      </c>
      <c r="M465" s="28">
        <v>1</v>
      </c>
      <c r="N465" s="28">
        <v>1</v>
      </c>
    </row>
    <row r="466" spans="7:14">
      <c r="G466" s="24">
        <v>465</v>
      </c>
      <c r="H466" s="25">
        <f>S0_</f>
        <v>100</v>
      </c>
      <c r="I466" s="25">
        <f ca="1">S0_*EXP((mu_-sigma_^2/2)*Dt_+sigma_*SQRT(Dt_)*_xlfn.NORM.INV(RAND(),0,1))</f>
        <v>103.904476703213</v>
      </c>
      <c r="J466" s="25">
        <f ca="1">MAX(k_-I466,0)*EXP(-rs_*T_)</f>
        <v>0</v>
      </c>
      <c r="K466" s="25">
        <v>3.7909769921802</v>
      </c>
      <c r="L466" s="25">
        <v>3.2209769921802</v>
      </c>
      <c r="M466" s="28">
        <v>0</v>
      </c>
      <c r="N466" s="28">
        <v>0</v>
      </c>
    </row>
    <row r="467" spans="7:14">
      <c r="G467" s="24">
        <v>466</v>
      </c>
      <c r="H467" s="25">
        <f>S0_</f>
        <v>100</v>
      </c>
      <c r="I467" s="25">
        <f ca="1">S0_*EXP((mu_-sigma_^2/2)*Dt_+sigma_*SQRT(Dt_)*_xlfn.NORM.INV(RAND(),0,1))</f>
        <v>112.695445373307</v>
      </c>
      <c r="J467" s="25">
        <f ca="1">MAX(k_-I467,0)*EXP(-rs_*T_)</f>
        <v>0</v>
      </c>
      <c r="K467" s="25">
        <v>12.3263999183506</v>
      </c>
      <c r="L467" s="25">
        <v>11.7563999183506</v>
      </c>
      <c r="M467" s="28">
        <v>0</v>
      </c>
      <c r="N467" s="28">
        <v>0</v>
      </c>
    </row>
    <row r="468" spans="7:14">
      <c r="G468" s="24">
        <v>467</v>
      </c>
      <c r="H468" s="25">
        <f>S0_</f>
        <v>100</v>
      </c>
      <c r="I468" s="25">
        <f ca="1">S0_*EXP((mu_-sigma_^2/2)*Dt_+sigma_*SQRT(Dt_)*_xlfn.NORM.INV(RAND(),0,1))</f>
        <v>90.4387484404526</v>
      </c>
      <c r="J468" s="25">
        <f ca="1">MAX(k_-I468,0)*EXP(-rs_*T_)</f>
        <v>6.37052173513603</v>
      </c>
      <c r="K468" s="25">
        <v>-9.28331436805961</v>
      </c>
      <c r="L468" s="25">
        <v>-3.48279263292358</v>
      </c>
      <c r="M468" s="28">
        <v>1</v>
      </c>
      <c r="N468" s="28">
        <v>1</v>
      </c>
    </row>
    <row r="469" spans="7:14">
      <c r="G469" s="24">
        <v>468</v>
      </c>
      <c r="H469" s="25">
        <f>S0_</f>
        <v>100</v>
      </c>
      <c r="I469" s="25">
        <f ca="1">S0_*EXP((mu_-sigma_^2/2)*Dt_+sigma_*SQRT(Dt_)*_xlfn.NORM.INV(RAND(),0,1))</f>
        <v>116.059034273617</v>
      </c>
      <c r="J469" s="25">
        <f ca="1">MAX(k_-I469,0)*EXP(-rs_*T_)</f>
        <v>0</v>
      </c>
      <c r="K469" s="25">
        <v>15.592212241353</v>
      </c>
      <c r="L469" s="25">
        <v>15.022212241353</v>
      </c>
      <c r="M469" s="28">
        <v>0</v>
      </c>
      <c r="N469" s="28">
        <v>0</v>
      </c>
    </row>
    <row r="470" spans="7:14">
      <c r="G470" s="24">
        <v>469</v>
      </c>
      <c r="H470" s="25">
        <f>S0_</f>
        <v>100</v>
      </c>
      <c r="I470" s="25">
        <f ca="1">S0_*EXP((mu_-sigma_^2/2)*Dt_+sigma_*SQRT(Dt_)*_xlfn.NORM.INV(RAND(),0,1))</f>
        <v>88.5957529204173</v>
      </c>
      <c r="J470" s="25">
        <f ca="1">MAX(k_-I470,0)*EXP(-rs_*T_)</f>
        <v>8.15994299289264</v>
      </c>
      <c r="K470" s="25">
        <v>-11.0727356258162</v>
      </c>
      <c r="L470" s="25">
        <v>-3.48279263292358</v>
      </c>
      <c r="M470" s="28">
        <v>1</v>
      </c>
      <c r="N470" s="28">
        <v>1</v>
      </c>
    </row>
    <row r="471" spans="7:14">
      <c r="G471" s="24">
        <v>470</v>
      </c>
      <c r="H471" s="25">
        <f>S0_</f>
        <v>100</v>
      </c>
      <c r="I471" s="25">
        <f ca="1">S0_*EXP((mu_-sigma_^2/2)*Dt_+sigma_*SQRT(Dt_)*_xlfn.NORM.INV(RAND(),0,1))</f>
        <v>104.757890318917</v>
      </c>
      <c r="J471" s="25">
        <f ca="1">MAX(k_-I471,0)*EXP(-rs_*T_)</f>
        <v>0</v>
      </c>
      <c r="K471" s="25">
        <v>4.61958262306629</v>
      </c>
      <c r="L471" s="25">
        <v>4.04958262306628</v>
      </c>
      <c r="M471" s="28">
        <v>0</v>
      </c>
      <c r="N471" s="28">
        <v>0</v>
      </c>
    </row>
    <row r="472" spans="7:14">
      <c r="G472" s="24">
        <v>471</v>
      </c>
      <c r="H472" s="25">
        <f>S0_</f>
        <v>100</v>
      </c>
      <c r="I472" s="25">
        <f ca="1">S0_*EXP((mu_-sigma_^2/2)*Dt_+sigma_*SQRT(Dt_)*_xlfn.NORM.INV(RAND(),0,1))</f>
        <v>125.810233603265</v>
      </c>
      <c r="J472" s="25">
        <f ca="1">MAX(k_-I472,0)*EXP(-rs_*T_)</f>
        <v>0</v>
      </c>
      <c r="K472" s="25">
        <v>25.0599527645427</v>
      </c>
      <c r="L472" s="25">
        <v>24.4899527645427</v>
      </c>
      <c r="M472" s="28">
        <v>0</v>
      </c>
      <c r="N472" s="28">
        <v>0</v>
      </c>
    </row>
    <row r="473" spans="7:14">
      <c r="G473" s="24">
        <v>472</v>
      </c>
      <c r="H473" s="25">
        <f>S0_</f>
        <v>100</v>
      </c>
      <c r="I473" s="25">
        <f ca="1">S0_*EXP((mu_-sigma_^2/2)*Dt_+sigma_*SQRT(Dt_)*_xlfn.NORM.INV(RAND(),0,1))</f>
        <v>103.896199957957</v>
      </c>
      <c r="J473" s="25">
        <f ca="1">MAX(k_-I473,0)*EXP(-rs_*T_)</f>
        <v>0</v>
      </c>
      <c r="K473" s="25">
        <v>3.7829408446451</v>
      </c>
      <c r="L473" s="25">
        <v>3.2129408446451</v>
      </c>
      <c r="M473" s="28">
        <v>0</v>
      </c>
      <c r="N473" s="28">
        <v>0</v>
      </c>
    </row>
    <row r="474" spans="7:14">
      <c r="G474" s="24">
        <v>473</v>
      </c>
      <c r="H474" s="25">
        <f>S0_</f>
        <v>100</v>
      </c>
      <c r="I474" s="25">
        <f ca="1">S0_*EXP((mu_-sigma_^2/2)*Dt_+sigma_*SQRT(Dt_)*_xlfn.NORM.INV(RAND(),0,1))</f>
        <v>109.188267573446</v>
      </c>
      <c r="J474" s="25">
        <f ca="1">MAX(k_-I474,0)*EXP(-rs_*T_)</f>
        <v>0</v>
      </c>
      <c r="K474" s="25">
        <v>8.92117269908775</v>
      </c>
      <c r="L474" s="25">
        <v>8.35117269908775</v>
      </c>
      <c r="M474" s="28">
        <v>0</v>
      </c>
      <c r="N474" s="28">
        <v>0</v>
      </c>
    </row>
    <row r="475" spans="7:14">
      <c r="G475" s="24">
        <v>474</v>
      </c>
      <c r="H475" s="25">
        <f>S0_</f>
        <v>100</v>
      </c>
      <c r="I475" s="25">
        <f ca="1">S0_*EXP((mu_-sigma_^2/2)*Dt_+sigma_*SQRT(Dt_)*_xlfn.NORM.INV(RAND(),0,1))</f>
        <v>106.137044837809</v>
      </c>
      <c r="J475" s="25">
        <f ca="1">MAX(k_-I475,0)*EXP(-rs_*T_)</f>
        <v>0</v>
      </c>
      <c r="K475" s="25">
        <v>5.95864633049694</v>
      </c>
      <c r="L475" s="25">
        <v>5.38864633049694</v>
      </c>
      <c r="M475" s="28">
        <v>0</v>
      </c>
      <c r="N475" s="28">
        <v>0</v>
      </c>
    </row>
    <row r="476" spans="7:14">
      <c r="G476" s="24">
        <v>475</v>
      </c>
      <c r="H476" s="25">
        <f>S0_</f>
        <v>100</v>
      </c>
      <c r="I476" s="25">
        <f ca="1">S0_*EXP((mu_-sigma_^2/2)*Dt_+sigma_*SQRT(Dt_)*_xlfn.NORM.INV(RAND(),0,1))</f>
        <v>102.622629165414</v>
      </c>
      <c r="J476" s="25">
        <f ca="1">MAX(k_-I476,0)*EXP(-rs_*T_)</f>
        <v>0</v>
      </c>
      <c r="K476" s="25">
        <v>2.54639163730245</v>
      </c>
      <c r="L476" s="25">
        <v>1.97639163730245</v>
      </c>
      <c r="M476" s="28">
        <v>0</v>
      </c>
      <c r="N476" s="28">
        <v>0</v>
      </c>
    </row>
    <row r="477" spans="7:14">
      <c r="G477" s="24">
        <v>476</v>
      </c>
      <c r="H477" s="25">
        <f>S0_</f>
        <v>100</v>
      </c>
      <c r="I477" s="25">
        <f ca="1">S0_*EXP((mu_-sigma_^2/2)*Dt_+sigma_*SQRT(Dt_)*_xlfn.NORM.INV(RAND(),0,1))</f>
        <v>110.54330323556</v>
      </c>
      <c r="J477" s="25">
        <f ca="1">MAX(k_-I477,0)*EXP(-rs_*T_)</f>
        <v>0</v>
      </c>
      <c r="K477" s="25">
        <v>10.2368186637399</v>
      </c>
      <c r="L477" s="25">
        <v>9.66681866373992</v>
      </c>
      <c r="M477" s="28">
        <v>0</v>
      </c>
      <c r="N477" s="28">
        <v>0</v>
      </c>
    </row>
    <row r="478" spans="7:14">
      <c r="G478" s="24">
        <v>477</v>
      </c>
      <c r="H478" s="25">
        <f>S0_</f>
        <v>100</v>
      </c>
      <c r="I478" s="25">
        <f ca="1">S0_*EXP((mu_-sigma_^2/2)*Dt_+sigma_*SQRT(Dt_)*_xlfn.NORM.INV(RAND(),0,1))</f>
        <v>108.442342453462</v>
      </c>
      <c r="J478" s="25">
        <f ca="1">MAX(k_-I478,0)*EXP(-rs_*T_)</f>
        <v>0</v>
      </c>
      <c r="K478" s="25">
        <v>8.196930967687</v>
      </c>
      <c r="L478" s="25">
        <v>7.626930967687</v>
      </c>
      <c r="M478" s="28">
        <v>0</v>
      </c>
      <c r="N478" s="28">
        <v>0</v>
      </c>
    </row>
    <row r="479" spans="7:14">
      <c r="G479" s="24">
        <v>478</v>
      </c>
      <c r="H479" s="25">
        <f>S0_</f>
        <v>100</v>
      </c>
      <c r="I479" s="25">
        <f ca="1">S0_*EXP((mu_-sigma_^2/2)*Dt_+sigma_*SQRT(Dt_)*_xlfn.NORM.INV(RAND(),0,1))</f>
        <v>106.113487807738</v>
      </c>
      <c r="J479" s="25">
        <f ca="1">MAX(k_-I479,0)*EXP(-rs_*T_)</f>
        <v>0</v>
      </c>
      <c r="K479" s="25">
        <v>5.93577408261586</v>
      </c>
      <c r="L479" s="25">
        <v>5.36577408261586</v>
      </c>
      <c r="M479" s="28">
        <v>0</v>
      </c>
      <c r="N479" s="28">
        <v>0</v>
      </c>
    </row>
    <row r="480" spans="7:14">
      <c r="G480" s="24">
        <v>479</v>
      </c>
      <c r="H480" s="25">
        <f>S0_</f>
        <v>100</v>
      </c>
      <c r="I480" s="25">
        <f ca="1">S0_*EXP((mu_-sigma_^2/2)*Dt_+sigma_*SQRT(Dt_)*_xlfn.NORM.INV(RAND(),0,1))</f>
        <v>96.3520703216578</v>
      </c>
      <c r="J480" s="25">
        <f ca="1">MAX(k_-I480,0)*EXP(-rs_*T_)</f>
        <v>0.629094931242577</v>
      </c>
      <c r="K480" s="25">
        <v>-3.54188756416616</v>
      </c>
      <c r="L480" s="25">
        <v>-3.48279263292358</v>
      </c>
      <c r="M480" s="28">
        <v>1</v>
      </c>
      <c r="N480" s="28">
        <v>1</v>
      </c>
    </row>
    <row r="481" spans="7:14">
      <c r="G481" s="24">
        <v>480</v>
      </c>
      <c r="H481" s="25">
        <f>S0_</f>
        <v>100</v>
      </c>
      <c r="I481" s="25">
        <f ca="1">S0_*EXP((mu_-sigma_^2/2)*Dt_+sigma_*SQRT(Dt_)*_xlfn.NORM.INV(RAND(),0,1))</f>
        <v>104.891672313891</v>
      </c>
      <c r="J481" s="25">
        <f ca="1">MAX(k_-I481,0)*EXP(-rs_*T_)</f>
        <v>0</v>
      </c>
      <c r="K481" s="25">
        <v>4.74947569285964</v>
      </c>
      <c r="L481" s="25">
        <v>4.17947569285964</v>
      </c>
      <c r="M481" s="28">
        <v>0</v>
      </c>
      <c r="N481" s="28">
        <v>0</v>
      </c>
    </row>
    <row r="482" spans="7:14">
      <c r="G482" s="24">
        <v>481</v>
      </c>
      <c r="H482" s="25">
        <f>S0_</f>
        <v>100</v>
      </c>
      <c r="I482" s="25">
        <f ca="1">S0_*EXP((mu_-sigma_^2/2)*Dt_+sigma_*SQRT(Dt_)*_xlfn.NORM.INV(RAND(),0,1))</f>
        <v>100.608950072635</v>
      </c>
      <c r="J482" s="25">
        <f ca="1">MAX(k_-I482,0)*EXP(-rs_*T_)</f>
        <v>0</v>
      </c>
      <c r="K482" s="25">
        <v>0.591248428463084</v>
      </c>
      <c r="L482" s="25">
        <v>0.0212484284630837</v>
      </c>
      <c r="M482" s="28">
        <v>0</v>
      </c>
      <c r="N482" s="28">
        <v>0</v>
      </c>
    </row>
    <row r="483" spans="7:14">
      <c r="G483" s="24">
        <v>482</v>
      </c>
      <c r="H483" s="25">
        <f>S0_</f>
        <v>100</v>
      </c>
      <c r="I483" s="25">
        <f ca="1">S0_*EXP((mu_-sigma_^2/2)*Dt_+sigma_*SQRT(Dt_)*_xlfn.NORM.INV(RAND(),0,1))</f>
        <v>98.7333717636285</v>
      </c>
      <c r="J483" s="25">
        <f ca="1">MAX(k_-I483,0)*EXP(-rs_*T_)</f>
        <v>0</v>
      </c>
      <c r="K483" s="25">
        <v>-1.22980846518531</v>
      </c>
      <c r="L483" s="25">
        <v>-1.79980846518531</v>
      </c>
      <c r="M483" s="28">
        <v>1</v>
      </c>
      <c r="N483" s="28">
        <v>1</v>
      </c>
    </row>
    <row r="484" spans="7:14">
      <c r="G484" s="24">
        <v>483</v>
      </c>
      <c r="H484" s="25">
        <f>S0_</f>
        <v>100</v>
      </c>
      <c r="I484" s="25">
        <f ca="1">S0_*EXP((mu_-sigma_^2/2)*Dt_+sigma_*SQRT(Dt_)*_xlfn.NORM.INV(RAND(),0,1))</f>
        <v>103.154376962496</v>
      </c>
      <c r="J484" s="25">
        <f ca="1">MAX(k_-I484,0)*EXP(-rs_*T_)</f>
        <v>0</v>
      </c>
      <c r="K484" s="25">
        <v>3.06268199260781</v>
      </c>
      <c r="L484" s="25">
        <v>2.49268199260781</v>
      </c>
      <c r="M484" s="28">
        <v>0</v>
      </c>
      <c r="N484" s="28">
        <v>0</v>
      </c>
    </row>
    <row r="485" spans="7:14">
      <c r="G485" s="24">
        <v>484</v>
      </c>
      <c r="H485" s="25">
        <f>S0_</f>
        <v>100</v>
      </c>
      <c r="I485" s="25">
        <f ca="1">S0_*EXP((mu_-sigma_^2/2)*Dt_+sigma_*SQRT(Dt_)*_xlfn.NORM.INV(RAND(),0,1))</f>
        <v>116.699890362796</v>
      </c>
      <c r="J485" s="25">
        <f ca="1">MAX(k_-I485,0)*EXP(-rs_*T_)</f>
        <v>0</v>
      </c>
      <c r="K485" s="25">
        <v>16.214439206461</v>
      </c>
      <c r="L485" s="25">
        <v>15.644439206461</v>
      </c>
      <c r="M485" s="28">
        <v>0</v>
      </c>
      <c r="N485" s="28">
        <v>0</v>
      </c>
    </row>
    <row r="486" spans="7:14">
      <c r="G486" s="24">
        <v>485</v>
      </c>
      <c r="H486" s="25">
        <f>S0_</f>
        <v>100</v>
      </c>
      <c r="I486" s="25">
        <f ca="1">S0_*EXP((mu_-sigma_^2/2)*Dt_+sigma_*SQRT(Dt_)*_xlfn.NORM.INV(RAND(),0,1))</f>
        <v>97.1648029624779</v>
      </c>
      <c r="J486" s="25">
        <f ca="1">MAX(k_-I486,0)*EXP(-rs_*T_)</f>
        <v>0</v>
      </c>
      <c r="K486" s="25">
        <v>-2.75278034792705</v>
      </c>
      <c r="L486" s="25">
        <v>-3.32278034792705</v>
      </c>
      <c r="M486" s="28">
        <v>1</v>
      </c>
      <c r="N486" s="28">
        <v>1</v>
      </c>
    </row>
    <row r="487" spans="7:14">
      <c r="G487" s="24">
        <v>486</v>
      </c>
      <c r="H487" s="25">
        <f>S0_</f>
        <v>100</v>
      </c>
      <c r="I487" s="25">
        <f ca="1">S0_*EXP((mu_-sigma_^2/2)*Dt_+sigma_*SQRT(Dt_)*_xlfn.NORM.INV(RAND(),0,1))</f>
        <v>100.433508691595</v>
      </c>
      <c r="J487" s="25">
        <f ca="1">MAX(k_-I487,0)*EXP(-rs_*T_)</f>
        <v>0</v>
      </c>
      <c r="K487" s="25">
        <v>0.420906974395221</v>
      </c>
      <c r="L487" s="25">
        <v>-0.149093025604779</v>
      </c>
      <c r="M487" s="28">
        <v>0</v>
      </c>
      <c r="N487" s="28">
        <v>1</v>
      </c>
    </row>
    <row r="488" spans="7:14">
      <c r="G488" s="24">
        <v>487</v>
      </c>
      <c r="H488" s="25">
        <f>S0_</f>
        <v>100</v>
      </c>
      <c r="I488" s="25">
        <f ca="1">S0_*EXP((mu_-sigma_^2/2)*Dt_+sigma_*SQRT(Dt_)*_xlfn.NORM.INV(RAND(),0,1))</f>
        <v>95.3800235077938</v>
      </c>
      <c r="J488" s="25">
        <f ca="1">MAX(k_-I488,0)*EXP(-rs_*T_)</f>
        <v>1.5728851973359</v>
      </c>
      <c r="K488" s="25">
        <v>-4.48567783025949</v>
      </c>
      <c r="L488" s="25">
        <v>-3.48279263292358</v>
      </c>
      <c r="M488" s="28">
        <v>1</v>
      </c>
      <c r="N488" s="28">
        <v>1</v>
      </c>
    </row>
    <row r="489" spans="7:14">
      <c r="G489" s="24">
        <v>488</v>
      </c>
      <c r="H489" s="25">
        <f>S0_</f>
        <v>100</v>
      </c>
      <c r="I489" s="25">
        <f ca="1">S0_*EXP((mu_-sigma_^2/2)*Dt_+sigma_*SQRT(Dt_)*_xlfn.NORM.INV(RAND(),0,1))</f>
        <v>84.196971226413</v>
      </c>
      <c r="J489" s="25">
        <f ca="1">MAX(k_-I489,0)*EXP(-rs_*T_)</f>
        <v>12.4308559636043</v>
      </c>
      <c r="K489" s="25">
        <v>-15.3436485965278</v>
      </c>
      <c r="L489" s="25">
        <v>-3.48279263292358</v>
      </c>
      <c r="M489" s="28">
        <v>1</v>
      </c>
      <c r="N489" s="28">
        <v>1</v>
      </c>
    </row>
    <row r="490" spans="7:14">
      <c r="G490" s="24">
        <v>489</v>
      </c>
      <c r="H490" s="25">
        <f>S0_</f>
        <v>100</v>
      </c>
      <c r="I490" s="25">
        <f ca="1">S0_*EXP((mu_-sigma_^2/2)*Dt_+sigma_*SQRT(Dt_)*_xlfn.NORM.INV(RAND(),0,1))</f>
        <v>90.9492805061303</v>
      </c>
      <c r="J490" s="25">
        <f ca="1">MAX(k_-I490,0)*EXP(-rs_*T_)</f>
        <v>5.87483038854361</v>
      </c>
      <c r="K490" s="25">
        <v>-8.78762302146719</v>
      </c>
      <c r="L490" s="25">
        <v>-3.48279263292358</v>
      </c>
      <c r="M490" s="28">
        <v>1</v>
      </c>
      <c r="N490" s="28">
        <v>1</v>
      </c>
    </row>
    <row r="491" spans="7:14">
      <c r="G491" s="24">
        <v>490</v>
      </c>
      <c r="H491" s="25">
        <f>S0_</f>
        <v>100</v>
      </c>
      <c r="I491" s="25">
        <f ca="1">S0_*EXP((mu_-sigma_^2/2)*Dt_+sigma_*SQRT(Dt_)*_xlfn.NORM.INV(RAND(),0,1))</f>
        <v>102.901568446082</v>
      </c>
      <c r="J491" s="25">
        <f ca="1">MAX(k_-I491,0)*EXP(-rs_*T_)</f>
        <v>0</v>
      </c>
      <c r="K491" s="25">
        <v>2.81722239789006</v>
      </c>
      <c r="L491" s="25">
        <v>2.24722239789006</v>
      </c>
      <c r="M491" s="28">
        <v>0</v>
      </c>
      <c r="N491" s="28">
        <v>0</v>
      </c>
    </row>
    <row r="492" spans="7:14">
      <c r="G492" s="24">
        <v>491</v>
      </c>
      <c r="H492" s="25">
        <f>S0_</f>
        <v>100</v>
      </c>
      <c r="I492" s="25">
        <f ca="1">S0_*EXP((mu_-sigma_^2/2)*Dt_+sigma_*SQRT(Dt_)*_xlfn.NORM.INV(RAND(),0,1))</f>
        <v>101.572004967921</v>
      </c>
      <c r="J492" s="25">
        <f ca="1">MAX(k_-I492,0)*EXP(-rs_*T_)</f>
        <v>0</v>
      </c>
      <c r="K492" s="25">
        <v>1.52630816315943</v>
      </c>
      <c r="L492" s="25">
        <v>0.95630816315943</v>
      </c>
      <c r="M492" s="28">
        <v>0</v>
      </c>
      <c r="N492" s="28">
        <v>0</v>
      </c>
    </row>
    <row r="493" spans="7:14">
      <c r="G493" s="24">
        <v>492</v>
      </c>
      <c r="H493" s="25">
        <f>S0_</f>
        <v>100</v>
      </c>
      <c r="I493" s="25">
        <f ca="1">S0_*EXP((mu_-sigma_^2/2)*Dt_+sigma_*SQRT(Dt_)*_xlfn.NORM.INV(RAND(),0,1))</f>
        <v>93.6183212056905</v>
      </c>
      <c r="J493" s="25">
        <f ca="1">MAX(k_-I493,0)*EXP(-rs_*T_)</f>
        <v>3.28337635965955</v>
      </c>
      <c r="K493" s="25">
        <v>-6.19616899258313</v>
      </c>
      <c r="L493" s="25">
        <v>-3.48279263292358</v>
      </c>
      <c r="M493" s="28">
        <v>1</v>
      </c>
      <c r="N493" s="28">
        <v>1</v>
      </c>
    </row>
    <row r="494" spans="7:14">
      <c r="G494" s="24">
        <v>493</v>
      </c>
      <c r="H494" s="25">
        <f>S0_</f>
        <v>100</v>
      </c>
      <c r="I494" s="25">
        <f ca="1">S0_*EXP((mu_-sigma_^2/2)*Dt_+sigma_*SQRT(Dt_)*_xlfn.NORM.INV(RAND(),0,1))</f>
        <v>104.608206261137</v>
      </c>
      <c r="J494" s="25">
        <f ca="1">MAX(k_-I494,0)*EXP(-rs_*T_)</f>
        <v>0</v>
      </c>
      <c r="K494" s="25">
        <v>4.47424974947727</v>
      </c>
      <c r="L494" s="25">
        <v>3.90424974947727</v>
      </c>
      <c r="M494" s="28">
        <v>0</v>
      </c>
      <c r="N494" s="28">
        <v>0</v>
      </c>
    </row>
    <row r="495" spans="7:14">
      <c r="G495" s="24">
        <v>494</v>
      </c>
      <c r="H495" s="25">
        <f>S0_</f>
        <v>100</v>
      </c>
      <c r="I495" s="25">
        <f ca="1">S0_*EXP((mu_-sigma_^2/2)*Dt_+sigma_*SQRT(Dt_)*_xlfn.NORM.INV(RAND(),0,1))</f>
        <v>113.908683934945</v>
      </c>
      <c r="J495" s="25">
        <f ca="1">MAX(k_-I495,0)*EXP(-rs_*T_)</f>
        <v>0</v>
      </c>
      <c r="K495" s="25">
        <v>13.5043706997903</v>
      </c>
      <c r="L495" s="25">
        <v>12.9343706997903</v>
      </c>
      <c r="M495" s="28">
        <v>0</v>
      </c>
      <c r="N495" s="28">
        <v>0</v>
      </c>
    </row>
    <row r="496" spans="7:14">
      <c r="G496" s="24">
        <v>495</v>
      </c>
      <c r="H496" s="25">
        <f>S0_</f>
        <v>100</v>
      </c>
      <c r="I496" s="25">
        <f ca="1">S0_*EXP((mu_-sigma_^2/2)*Dt_+sigma_*SQRT(Dt_)*_xlfn.NORM.INV(RAND(),0,1))</f>
        <v>111.467731883261</v>
      </c>
      <c r="J496" s="25">
        <f ca="1">MAX(k_-I496,0)*EXP(-rs_*T_)</f>
        <v>0</v>
      </c>
      <c r="K496" s="25">
        <v>11.1343749819685</v>
      </c>
      <c r="L496" s="25">
        <v>10.5643749819685</v>
      </c>
      <c r="M496" s="28">
        <v>0</v>
      </c>
      <c r="N496" s="28">
        <v>0</v>
      </c>
    </row>
    <row r="497" spans="7:14">
      <c r="G497" s="24">
        <v>496</v>
      </c>
      <c r="H497" s="25">
        <f>S0_</f>
        <v>100</v>
      </c>
      <c r="I497" s="25">
        <f ca="1">S0_*EXP((mu_-sigma_^2/2)*Dt_+sigma_*SQRT(Dt_)*_xlfn.NORM.INV(RAND(),0,1))</f>
        <v>104.858825778602</v>
      </c>
      <c r="J497" s="25">
        <f ca="1">MAX(k_-I497,0)*EXP(-rs_*T_)</f>
        <v>0</v>
      </c>
      <c r="K497" s="25">
        <v>4.71758397752412</v>
      </c>
      <c r="L497" s="25">
        <v>4.14758397752412</v>
      </c>
      <c r="M497" s="28">
        <v>0</v>
      </c>
      <c r="N497" s="28">
        <v>0</v>
      </c>
    </row>
    <row r="498" spans="7:14">
      <c r="G498" s="24">
        <v>497</v>
      </c>
      <c r="H498" s="25">
        <f>S0_</f>
        <v>100</v>
      </c>
      <c r="I498" s="25">
        <f ca="1">S0_*EXP((mu_-sigma_^2/2)*Dt_+sigma_*SQRT(Dt_)*_xlfn.NORM.INV(RAND(),0,1))</f>
        <v>108.43314008137</v>
      </c>
      <c r="J498" s="25">
        <f ca="1">MAX(k_-I498,0)*EXP(-rs_*T_)</f>
        <v>0</v>
      </c>
      <c r="K498" s="25">
        <v>8.18799610047617</v>
      </c>
      <c r="L498" s="25">
        <v>7.61799610047617</v>
      </c>
      <c r="M498" s="28">
        <v>0</v>
      </c>
      <c r="N498" s="28">
        <v>0</v>
      </c>
    </row>
    <row r="499" spans="7:14">
      <c r="G499" s="24">
        <v>498</v>
      </c>
      <c r="H499" s="25">
        <f>S0_</f>
        <v>100</v>
      </c>
      <c r="I499" s="25">
        <f ca="1">S0_*EXP((mu_-sigma_^2/2)*Dt_+sigma_*SQRT(Dt_)*_xlfn.NORM.INV(RAND(),0,1))</f>
        <v>97.232398578429</v>
      </c>
      <c r="J499" s="25">
        <f ca="1">MAX(k_-I499,0)*EXP(-rs_*T_)</f>
        <v>0</v>
      </c>
      <c r="K499" s="25">
        <v>-2.68714967720695</v>
      </c>
      <c r="L499" s="25">
        <v>-3.25714967720695</v>
      </c>
      <c r="M499" s="28">
        <v>1</v>
      </c>
      <c r="N499" s="28">
        <v>1</v>
      </c>
    </row>
    <row r="500" spans="7:14">
      <c r="G500" s="24">
        <v>499</v>
      </c>
      <c r="H500" s="25">
        <f>S0_</f>
        <v>100</v>
      </c>
      <c r="I500" s="25">
        <f ca="1">S0_*EXP((mu_-sigma_^2/2)*Dt_+sigma_*SQRT(Dt_)*_xlfn.NORM.INV(RAND(),0,1))</f>
        <v>102.027488487661</v>
      </c>
      <c r="J500" s="25">
        <f ca="1">MAX(k_-I500,0)*EXP(-rs_*T_)</f>
        <v>0</v>
      </c>
      <c r="K500" s="25">
        <v>1.96855117673218</v>
      </c>
      <c r="L500" s="25">
        <v>1.39855117673218</v>
      </c>
      <c r="M500" s="28">
        <v>0</v>
      </c>
      <c r="N500" s="28">
        <v>0</v>
      </c>
    </row>
    <row r="501" spans="7:14">
      <c r="G501" s="24">
        <v>500</v>
      </c>
      <c r="H501" s="25">
        <f>S0_</f>
        <v>100</v>
      </c>
      <c r="I501" s="25">
        <f ca="1">S0_*EXP((mu_-sigma_^2/2)*Dt_+sigma_*SQRT(Dt_)*_xlfn.NORM.INV(RAND(),0,1))</f>
        <v>125.492220395488</v>
      </c>
      <c r="J501" s="25">
        <f ca="1">MAX(k_-I501,0)*EXP(-rs_*T_)</f>
        <v>0</v>
      </c>
      <c r="K501" s="25">
        <v>24.7511839216139</v>
      </c>
      <c r="L501" s="25">
        <v>24.1811839216139</v>
      </c>
      <c r="M501" s="28">
        <v>0</v>
      </c>
      <c r="N501" s="28">
        <v>0</v>
      </c>
    </row>
    <row r="502" spans="7:14">
      <c r="G502" s="24">
        <v>501</v>
      </c>
      <c r="H502" s="25">
        <f>S0_</f>
        <v>100</v>
      </c>
      <c r="I502" s="25">
        <f ca="1">S0_*EXP((mu_-sigma_^2/2)*Dt_+sigma_*SQRT(Dt_)*_xlfn.NORM.INV(RAND(),0,1))</f>
        <v>96.6044427461436</v>
      </c>
      <c r="J502" s="25">
        <f ca="1">MAX(k_-I502,0)*EXP(-rs_*T_)</f>
        <v>0.384058751644158</v>
      </c>
      <c r="K502" s="25">
        <v>-3.29685138456774</v>
      </c>
      <c r="L502" s="25">
        <v>-3.48279263292358</v>
      </c>
      <c r="M502" s="28">
        <v>1</v>
      </c>
      <c r="N502" s="28">
        <v>1</v>
      </c>
    </row>
    <row r="503" spans="7:14">
      <c r="G503" s="24">
        <v>502</v>
      </c>
      <c r="H503" s="25">
        <f>S0_</f>
        <v>100</v>
      </c>
      <c r="I503" s="25">
        <f ca="1">S0_*EXP((mu_-sigma_^2/2)*Dt_+sigma_*SQRT(Dt_)*_xlfn.NORM.INV(RAND(),0,1))</f>
        <v>96.3968889197524</v>
      </c>
      <c r="J503" s="25">
        <f ca="1">MAX(k_-I503,0)*EXP(-rs_*T_)</f>
        <v>0.585579170459959</v>
      </c>
      <c r="K503" s="25">
        <v>-3.49837180338354</v>
      </c>
      <c r="L503" s="25">
        <v>-3.48279263292358</v>
      </c>
      <c r="M503" s="28">
        <v>1</v>
      </c>
      <c r="N503" s="28">
        <v>1</v>
      </c>
    </row>
    <row r="504" spans="7:14">
      <c r="G504" s="24">
        <v>503</v>
      </c>
      <c r="H504" s="25">
        <f>S0_</f>
        <v>100</v>
      </c>
      <c r="I504" s="25">
        <f ca="1">S0_*EXP((mu_-sigma_^2/2)*Dt_+sigma_*SQRT(Dt_)*_xlfn.NORM.INV(RAND(),0,1))</f>
        <v>109.652741171369</v>
      </c>
      <c r="J504" s="25">
        <f ca="1">MAX(k_-I504,0)*EXP(-rs_*T_)</f>
        <v>0</v>
      </c>
      <c r="K504" s="25">
        <v>9.37214445716064</v>
      </c>
      <c r="L504" s="25">
        <v>8.80214445716063</v>
      </c>
      <c r="M504" s="28">
        <v>0</v>
      </c>
      <c r="N504" s="28">
        <v>0</v>
      </c>
    </row>
    <row r="505" spans="7:14">
      <c r="G505" s="24">
        <v>504</v>
      </c>
      <c r="H505" s="25">
        <f>S0_</f>
        <v>100</v>
      </c>
      <c r="I505" s="25">
        <f ca="1">S0_*EXP((mu_-sigma_^2/2)*Dt_+sigma_*SQRT(Dt_)*_xlfn.NORM.INV(RAND(),0,1))</f>
        <v>106.546853037668</v>
      </c>
      <c r="J505" s="25">
        <f ca="1">MAX(k_-I505,0)*EXP(-rs_*T_)</f>
        <v>0</v>
      </c>
      <c r="K505" s="25">
        <v>6.35654176565076</v>
      </c>
      <c r="L505" s="25">
        <v>5.78654176565076</v>
      </c>
      <c r="M505" s="28">
        <v>0</v>
      </c>
      <c r="N505" s="28">
        <v>0</v>
      </c>
    </row>
    <row r="506" spans="7:14">
      <c r="G506" s="24">
        <v>505</v>
      </c>
      <c r="H506" s="25">
        <f>S0_</f>
        <v>100</v>
      </c>
      <c r="I506" s="25">
        <f ca="1">S0_*EXP((mu_-sigma_^2/2)*Dt_+sigma_*SQRT(Dt_)*_xlfn.NORM.INV(RAND(),0,1))</f>
        <v>111.370379365841</v>
      </c>
      <c r="J506" s="25">
        <f ca="1">MAX(k_-I506,0)*EXP(-rs_*T_)</f>
        <v>0</v>
      </c>
      <c r="K506" s="25">
        <v>11.0398524167892</v>
      </c>
      <c r="L506" s="25">
        <v>10.4698524167892</v>
      </c>
      <c r="M506" s="28">
        <v>0</v>
      </c>
      <c r="N506" s="28">
        <v>0</v>
      </c>
    </row>
    <row r="507" spans="7:14">
      <c r="G507" s="24">
        <v>506</v>
      </c>
      <c r="H507" s="25">
        <f>S0_</f>
        <v>100</v>
      </c>
      <c r="I507" s="25">
        <f ca="1">S0_*EXP((mu_-sigma_^2/2)*Dt_+sigma_*SQRT(Dt_)*_xlfn.NORM.INV(RAND(),0,1))</f>
        <v>105.069032225386</v>
      </c>
      <c r="J507" s="25">
        <f ca="1">MAX(k_-I507,0)*EXP(-rs_*T_)</f>
        <v>0</v>
      </c>
      <c r="K507" s="25">
        <v>4.92167990738576</v>
      </c>
      <c r="L507" s="25">
        <v>4.35167990738576</v>
      </c>
      <c r="M507" s="28">
        <v>0</v>
      </c>
      <c r="N507" s="28">
        <v>0</v>
      </c>
    </row>
    <row r="508" spans="7:14">
      <c r="G508" s="24">
        <v>507</v>
      </c>
      <c r="H508" s="25">
        <f>S0_</f>
        <v>100</v>
      </c>
      <c r="I508" s="25">
        <f ca="1">S0_*EXP((mu_-sigma_^2/2)*Dt_+sigma_*SQRT(Dt_)*_xlfn.NORM.INV(RAND(),0,1))</f>
        <v>98.8984229932123</v>
      </c>
      <c r="J508" s="25">
        <f ca="1">MAX(k_-I508,0)*EXP(-rs_*T_)</f>
        <v>0</v>
      </c>
      <c r="K508" s="25">
        <v>-1.06955512998975</v>
      </c>
      <c r="L508" s="25">
        <v>-1.63955512998975</v>
      </c>
      <c r="M508" s="28">
        <v>1</v>
      </c>
      <c r="N508" s="28">
        <v>1</v>
      </c>
    </row>
    <row r="509" spans="7:14">
      <c r="G509" s="24">
        <v>508</v>
      </c>
      <c r="H509" s="25">
        <f>S0_</f>
        <v>100</v>
      </c>
      <c r="I509" s="25">
        <f ca="1">S0_*EXP((mu_-sigma_^2/2)*Dt_+sigma_*SQRT(Dt_)*_xlfn.NORM.INV(RAND(),0,1))</f>
        <v>88.0286425646162</v>
      </c>
      <c r="J509" s="25">
        <f ca="1">MAX(k_-I509,0)*EXP(-rs_*T_)</f>
        <v>8.71056794837</v>
      </c>
      <c r="K509" s="25">
        <v>-11.6233605812936</v>
      </c>
      <c r="L509" s="25">
        <v>-3.48279263292358</v>
      </c>
      <c r="M509" s="28">
        <v>1</v>
      </c>
      <c r="N509" s="28">
        <v>1</v>
      </c>
    </row>
    <row r="510" spans="7:14">
      <c r="G510" s="24">
        <v>509</v>
      </c>
      <c r="H510" s="25">
        <f>S0_</f>
        <v>100</v>
      </c>
      <c r="I510" s="25">
        <f ca="1">S0_*EXP((mu_-sigma_^2/2)*Dt_+sigma_*SQRT(Dt_)*_xlfn.NORM.INV(RAND(),0,1))</f>
        <v>112.916096942941</v>
      </c>
      <c r="J510" s="25">
        <f ca="1">MAX(k_-I510,0)*EXP(-rs_*T_)</f>
        <v>0</v>
      </c>
      <c r="K510" s="25">
        <v>12.5406373405082</v>
      </c>
      <c r="L510" s="25">
        <v>11.9706373405082</v>
      </c>
      <c r="M510" s="28">
        <v>0</v>
      </c>
      <c r="N510" s="28">
        <v>0</v>
      </c>
    </row>
    <row r="511" spans="7:14">
      <c r="G511" s="24">
        <v>510</v>
      </c>
      <c r="H511" s="25">
        <f>S0_</f>
        <v>100</v>
      </c>
      <c r="I511" s="25">
        <f ca="1">S0_*EXP((mu_-sigma_^2/2)*Dt_+sigma_*SQRT(Dt_)*_xlfn.NORM.INV(RAND(),0,1))</f>
        <v>111.433623005805</v>
      </c>
      <c r="J511" s="25">
        <f ca="1">MAX(k_-I511,0)*EXP(-rs_*T_)</f>
        <v>0</v>
      </c>
      <c r="K511" s="25">
        <v>11.1012576196451</v>
      </c>
      <c r="L511" s="25">
        <v>10.531257619645</v>
      </c>
      <c r="M511" s="28">
        <v>0</v>
      </c>
      <c r="N511" s="28">
        <v>0</v>
      </c>
    </row>
    <row r="512" spans="7:14">
      <c r="G512" s="24">
        <v>511</v>
      </c>
      <c r="H512" s="25">
        <f>S0_</f>
        <v>100</v>
      </c>
      <c r="I512" s="25">
        <f ca="1">S0_*EXP((mu_-sigma_^2/2)*Dt_+sigma_*SQRT(Dt_)*_xlfn.NORM.INV(RAND(),0,1))</f>
        <v>92.5211380343519</v>
      </c>
      <c r="J512" s="25">
        <f ca="1">MAX(k_-I512,0)*EXP(-rs_*T_)</f>
        <v>4.34866537914045</v>
      </c>
      <c r="K512" s="25">
        <v>-7.26145801206404</v>
      </c>
      <c r="L512" s="25">
        <v>-3.48279263292358</v>
      </c>
      <c r="M512" s="28">
        <v>1</v>
      </c>
      <c r="N512" s="28">
        <v>1</v>
      </c>
    </row>
    <row r="513" spans="7:14">
      <c r="G513" s="24">
        <v>512</v>
      </c>
      <c r="H513" s="25">
        <f>S0_</f>
        <v>100</v>
      </c>
      <c r="I513" s="25">
        <f ca="1">S0_*EXP((mu_-sigma_^2/2)*Dt_+sigma_*SQRT(Dt_)*_xlfn.NORM.INV(RAND(),0,1))</f>
        <v>106.501001611235</v>
      </c>
      <c r="J513" s="25">
        <f ca="1">MAX(k_-I513,0)*EXP(-rs_*T_)</f>
        <v>0</v>
      </c>
      <c r="K513" s="25">
        <v>6.31202319994356</v>
      </c>
      <c r="L513" s="25">
        <v>5.74202319994356</v>
      </c>
      <c r="M513" s="28">
        <v>0</v>
      </c>
      <c r="N513" s="28">
        <v>0</v>
      </c>
    </row>
    <row r="514" spans="7:14">
      <c r="G514" s="24">
        <v>513</v>
      </c>
      <c r="H514" s="25">
        <f>S0_</f>
        <v>100</v>
      </c>
      <c r="I514" s="25">
        <f ca="1">S0_*EXP((mu_-sigma_^2/2)*Dt_+sigma_*SQRT(Dt_)*_xlfn.NORM.INV(RAND(),0,1))</f>
        <v>101.931012112458</v>
      </c>
      <c r="J514" s="25">
        <f ca="1">MAX(k_-I514,0)*EXP(-rs_*T_)</f>
        <v>0</v>
      </c>
      <c r="K514" s="25">
        <v>1.87487928508496</v>
      </c>
      <c r="L514" s="25">
        <v>1.30487928508496</v>
      </c>
      <c r="M514" s="28">
        <v>0</v>
      </c>
      <c r="N514" s="28">
        <v>0</v>
      </c>
    </row>
    <row r="515" spans="7:14">
      <c r="G515" s="24">
        <v>514</v>
      </c>
      <c r="H515" s="25">
        <f>S0_</f>
        <v>100</v>
      </c>
      <c r="I515" s="25">
        <f ca="1">S0_*EXP((mu_-sigma_^2/2)*Dt_+sigma_*SQRT(Dt_)*_xlfn.NORM.INV(RAND(),0,1))</f>
        <v>99.5166568652222</v>
      </c>
      <c r="J515" s="25">
        <f ca="1">MAX(k_-I515,0)*EXP(-rs_*T_)</f>
        <v>0</v>
      </c>
      <c r="K515" s="25">
        <v>-0.469292774051667</v>
      </c>
      <c r="L515" s="25">
        <v>-1.03929277405167</v>
      </c>
      <c r="M515" s="28">
        <v>1</v>
      </c>
      <c r="N515" s="28">
        <v>1</v>
      </c>
    </row>
    <row r="516" spans="7:14">
      <c r="G516" s="24">
        <v>515</v>
      </c>
      <c r="H516" s="25">
        <f>S0_</f>
        <v>100</v>
      </c>
      <c r="I516" s="25">
        <f ca="1">S0_*EXP((mu_-sigma_^2/2)*Dt_+sigma_*SQRT(Dt_)*_xlfn.NORM.INV(RAND(),0,1))</f>
        <v>111.62953650715</v>
      </c>
      <c r="J516" s="25">
        <f ca="1">MAX(k_-I516,0)*EXP(-rs_*T_)</f>
        <v>0</v>
      </c>
      <c r="K516" s="25">
        <v>11.2914760874476</v>
      </c>
      <c r="L516" s="25">
        <v>10.7214760874476</v>
      </c>
      <c r="M516" s="28">
        <v>0</v>
      </c>
      <c r="N516" s="28">
        <v>0</v>
      </c>
    </row>
    <row r="517" spans="7:14">
      <c r="G517" s="24">
        <v>516</v>
      </c>
      <c r="H517" s="25">
        <f>S0_</f>
        <v>100</v>
      </c>
      <c r="I517" s="25">
        <f ca="1">S0_*EXP((mu_-sigma_^2/2)*Dt_+sigma_*SQRT(Dt_)*_xlfn.NORM.INV(RAND(),0,1))</f>
        <v>89.0338937493793</v>
      </c>
      <c r="J517" s="25">
        <f ca="1">MAX(k_-I517,0)*EXP(-rs_*T_)</f>
        <v>7.73453853329812</v>
      </c>
      <c r="K517" s="25">
        <v>-10.6473311662217</v>
      </c>
      <c r="L517" s="25">
        <v>-3.48279263292358</v>
      </c>
      <c r="M517" s="28">
        <v>1</v>
      </c>
      <c r="N517" s="28">
        <v>1</v>
      </c>
    </row>
    <row r="518" spans="7:14">
      <c r="G518" s="24">
        <v>517</v>
      </c>
      <c r="H518" s="25">
        <f>S0_</f>
        <v>100</v>
      </c>
      <c r="I518" s="25">
        <f ca="1">S0_*EXP((mu_-sigma_^2/2)*Dt_+sigma_*SQRT(Dt_)*_xlfn.NORM.INV(RAND(),0,1))</f>
        <v>99.5457885874008</v>
      </c>
      <c r="J518" s="25">
        <f ca="1">MAX(k_-I518,0)*EXP(-rs_*T_)</f>
        <v>0</v>
      </c>
      <c r="K518" s="25">
        <v>-0.441007885469553</v>
      </c>
      <c r="L518" s="25">
        <v>-1.01100788546955</v>
      </c>
      <c r="M518" s="28">
        <v>1</v>
      </c>
      <c r="N518" s="28">
        <v>1</v>
      </c>
    </row>
    <row r="519" spans="7:14">
      <c r="G519" s="24">
        <v>518</v>
      </c>
      <c r="H519" s="25">
        <f>S0_</f>
        <v>100</v>
      </c>
      <c r="I519" s="25">
        <f ca="1">S0_*EXP((mu_-sigma_^2/2)*Dt_+sigma_*SQRT(Dt_)*_xlfn.NORM.INV(RAND(),0,1))</f>
        <v>116.739867987157</v>
      </c>
      <c r="J519" s="25">
        <f ca="1">MAX(k_-I519,0)*EXP(-rs_*T_)</f>
        <v>0</v>
      </c>
      <c r="K519" s="25">
        <v>16.253254716368</v>
      </c>
      <c r="L519" s="25">
        <v>15.683254716368</v>
      </c>
      <c r="M519" s="28">
        <v>0</v>
      </c>
      <c r="N519" s="28">
        <v>0</v>
      </c>
    </row>
    <row r="520" spans="7:14">
      <c r="G520" s="24">
        <v>519</v>
      </c>
      <c r="H520" s="25">
        <f>S0_</f>
        <v>100</v>
      </c>
      <c r="I520" s="25">
        <f ca="1">S0_*EXP((mu_-sigma_^2/2)*Dt_+sigma_*SQRT(Dt_)*_xlfn.NORM.INV(RAND(),0,1))</f>
        <v>104.110082011792</v>
      </c>
      <c r="J520" s="25">
        <f ca="1">MAX(k_-I520,0)*EXP(-rs_*T_)</f>
        <v>0</v>
      </c>
      <c r="K520" s="25">
        <v>3.99060553488694</v>
      </c>
      <c r="L520" s="25">
        <v>3.42060553488694</v>
      </c>
      <c r="M520" s="28">
        <v>0</v>
      </c>
      <c r="N520" s="28">
        <v>0</v>
      </c>
    </row>
    <row r="521" spans="7:14">
      <c r="G521" s="24">
        <v>520</v>
      </c>
      <c r="H521" s="25">
        <f>S0_</f>
        <v>100</v>
      </c>
      <c r="I521" s="25">
        <f ca="1">S0_*EXP((mu_-sigma_^2/2)*Dt_+sigma_*SQRT(Dt_)*_xlfn.NORM.INV(RAND(),0,1))</f>
        <v>113.032047073778</v>
      </c>
      <c r="J521" s="25">
        <f ca="1">MAX(k_-I521,0)*EXP(-rs_*T_)</f>
        <v>0</v>
      </c>
      <c r="K521" s="25">
        <v>12.653216902805</v>
      </c>
      <c r="L521" s="25">
        <v>12.083216902805</v>
      </c>
      <c r="M521" s="28">
        <v>0</v>
      </c>
      <c r="N521" s="28">
        <v>0</v>
      </c>
    </row>
    <row r="522" spans="7:14">
      <c r="G522" s="24">
        <v>521</v>
      </c>
      <c r="H522" s="25">
        <f>S0_</f>
        <v>100</v>
      </c>
      <c r="I522" s="25">
        <f ca="1">S0_*EXP((mu_-sigma_^2/2)*Dt_+sigma_*SQRT(Dt_)*_xlfn.NORM.INV(RAND(),0,1))</f>
        <v>109.177273721796</v>
      </c>
      <c r="J522" s="25">
        <f ca="1">MAX(k_-I522,0)*EXP(-rs_*T_)</f>
        <v>0</v>
      </c>
      <c r="K522" s="25">
        <v>8.91049842905644</v>
      </c>
      <c r="L522" s="25">
        <v>8.34049842905644</v>
      </c>
      <c r="M522" s="28">
        <v>0</v>
      </c>
      <c r="N522" s="28">
        <v>0</v>
      </c>
    </row>
    <row r="523" spans="7:14">
      <c r="G523" s="24">
        <v>522</v>
      </c>
      <c r="H523" s="25">
        <f>S0_</f>
        <v>100</v>
      </c>
      <c r="I523" s="25">
        <f ca="1">S0_*EXP((mu_-sigma_^2/2)*Dt_+sigma_*SQRT(Dt_)*_xlfn.NORM.INV(RAND(),0,1))</f>
        <v>93.3083660657569</v>
      </c>
      <c r="J523" s="25">
        <f ca="1">MAX(k_-I523,0)*EXP(-rs_*T_)</f>
        <v>3.58432137570468</v>
      </c>
      <c r="K523" s="25">
        <v>-6.49711400862826</v>
      </c>
      <c r="L523" s="25">
        <v>-3.48279263292358</v>
      </c>
      <c r="M523" s="28">
        <v>1</v>
      </c>
      <c r="N523" s="28">
        <v>1</v>
      </c>
    </row>
    <row r="524" spans="7:14">
      <c r="G524" s="24">
        <v>523</v>
      </c>
      <c r="H524" s="25">
        <f>S0_</f>
        <v>100</v>
      </c>
      <c r="I524" s="25">
        <f ca="1">S0_*EXP((mu_-sigma_^2/2)*Dt_+sigma_*SQRT(Dt_)*_xlfn.NORM.INV(RAND(),0,1))</f>
        <v>100.789800955681</v>
      </c>
      <c r="J524" s="25">
        <f ca="1">MAX(k_-I524,0)*EXP(-rs_*T_)</f>
        <v>0</v>
      </c>
      <c r="K524" s="25">
        <v>0.766842135061361</v>
      </c>
      <c r="L524" s="25">
        <v>0.196842135061361</v>
      </c>
      <c r="M524" s="28">
        <v>0</v>
      </c>
      <c r="N524" s="28">
        <v>0</v>
      </c>
    </row>
    <row r="525" spans="7:14">
      <c r="G525" s="24">
        <v>524</v>
      </c>
      <c r="H525" s="25">
        <f>S0_</f>
        <v>100</v>
      </c>
      <c r="I525" s="25">
        <f ca="1">S0_*EXP((mu_-sigma_^2/2)*Dt_+sigma_*SQRT(Dt_)*_xlfn.NORM.INV(RAND(),0,1))</f>
        <v>109.852405254305</v>
      </c>
      <c r="J525" s="25">
        <f ca="1">MAX(k_-I525,0)*EXP(-rs_*T_)</f>
        <v>0</v>
      </c>
      <c r="K525" s="25">
        <v>9.56600448043923</v>
      </c>
      <c r="L525" s="25">
        <v>8.99600448043923</v>
      </c>
      <c r="M525" s="28">
        <v>0</v>
      </c>
      <c r="N525" s="28">
        <v>0</v>
      </c>
    </row>
    <row r="526" spans="7:14">
      <c r="G526" s="24">
        <v>525</v>
      </c>
      <c r="H526" s="25">
        <f>S0_</f>
        <v>100</v>
      </c>
      <c r="I526" s="25">
        <f ca="1">S0_*EXP((mu_-sigma_^2/2)*Dt_+sigma_*SQRT(Dt_)*_xlfn.NORM.INV(RAND(),0,1))</f>
        <v>96.9494672958682</v>
      </c>
      <c r="J526" s="25">
        <f ca="1">MAX(k_-I526,0)*EXP(-rs_*T_)</f>
        <v>0.0490637627722546</v>
      </c>
      <c r="K526" s="25">
        <v>-2.96185639569584</v>
      </c>
      <c r="L526" s="25">
        <v>-3.48279263292358</v>
      </c>
      <c r="M526" s="28">
        <v>1</v>
      </c>
      <c r="N526" s="28">
        <v>1</v>
      </c>
    </row>
    <row r="527" spans="7:14">
      <c r="G527" s="24">
        <v>526</v>
      </c>
      <c r="H527" s="25">
        <f>S0_</f>
        <v>100</v>
      </c>
      <c r="I527" s="25">
        <f ca="1">S0_*EXP((mu_-sigma_^2/2)*Dt_+sigma_*SQRT(Dt_)*_xlfn.NORM.INV(RAND(),0,1))</f>
        <v>92.8588842646909</v>
      </c>
      <c r="J527" s="25">
        <f ca="1">MAX(k_-I527,0)*EXP(-rs_*T_)</f>
        <v>4.0207371352974</v>
      </c>
      <c r="K527" s="25">
        <v>-6.93352976822098</v>
      </c>
      <c r="L527" s="25">
        <v>-3.48279263292358</v>
      </c>
      <c r="M527" s="28">
        <v>1</v>
      </c>
      <c r="N527" s="28">
        <v>1</v>
      </c>
    </row>
    <row r="528" spans="7:14">
      <c r="G528" s="24">
        <v>527</v>
      </c>
      <c r="H528" s="25">
        <f>S0_</f>
        <v>100</v>
      </c>
      <c r="I528" s="25">
        <f ca="1">S0_*EXP((mu_-sigma_^2/2)*Dt_+sigma_*SQRT(Dt_)*_xlfn.NORM.INV(RAND(),0,1))</f>
        <v>102.064057119594</v>
      </c>
      <c r="J528" s="25">
        <f ca="1">MAX(k_-I528,0)*EXP(-rs_*T_)</f>
        <v>0</v>
      </c>
      <c r="K528" s="25">
        <v>2.00405679062878</v>
      </c>
      <c r="L528" s="25">
        <v>1.43405679062878</v>
      </c>
      <c r="M528" s="28">
        <v>0</v>
      </c>
      <c r="N528" s="28">
        <v>0</v>
      </c>
    </row>
    <row r="529" spans="7:14">
      <c r="G529" s="24">
        <v>528</v>
      </c>
      <c r="H529" s="25">
        <f>S0_</f>
        <v>100</v>
      </c>
      <c r="I529" s="25">
        <f ca="1">S0_*EXP((mu_-sigma_^2/2)*Dt_+sigma_*SQRT(Dt_)*_xlfn.NORM.INV(RAND(),0,1))</f>
        <v>120.539333992915</v>
      </c>
      <c r="J529" s="25">
        <f ca="1">MAX(k_-I529,0)*EXP(-rs_*T_)</f>
        <v>0</v>
      </c>
      <c r="K529" s="25">
        <v>19.9422735799068</v>
      </c>
      <c r="L529" s="25">
        <v>19.3722735799068</v>
      </c>
      <c r="M529" s="28">
        <v>0</v>
      </c>
      <c r="N529" s="28">
        <v>0</v>
      </c>
    </row>
    <row r="530" spans="7:14">
      <c r="G530" s="24">
        <v>529</v>
      </c>
      <c r="H530" s="25">
        <f>S0_</f>
        <v>100</v>
      </c>
      <c r="I530" s="25">
        <f ca="1">S0_*EXP((mu_-sigma_^2/2)*Dt_+sigma_*SQRT(Dt_)*_xlfn.NORM.INV(RAND(),0,1))</f>
        <v>97.4826296984098</v>
      </c>
      <c r="J530" s="25">
        <f ca="1">MAX(k_-I530,0)*EXP(-rs_*T_)</f>
        <v>0</v>
      </c>
      <c r="K530" s="25">
        <v>-2.44419255627081</v>
      </c>
      <c r="L530" s="25">
        <v>-3.01419255627081</v>
      </c>
      <c r="M530" s="28">
        <v>1</v>
      </c>
      <c r="N530" s="28">
        <v>1</v>
      </c>
    </row>
    <row r="531" spans="7:14">
      <c r="G531" s="24">
        <v>530</v>
      </c>
      <c r="H531" s="25">
        <f>S0_</f>
        <v>100</v>
      </c>
      <c r="I531" s="25">
        <f ca="1">S0_*EXP((mu_-sigma_^2/2)*Dt_+sigma_*SQRT(Dt_)*_xlfn.NORM.INV(RAND(),0,1))</f>
        <v>110.019873354157</v>
      </c>
      <c r="J531" s="25">
        <f ca="1">MAX(k_-I531,0)*EXP(-rs_*T_)</f>
        <v>0</v>
      </c>
      <c r="K531" s="25">
        <v>9.72860442960533</v>
      </c>
      <c r="L531" s="25">
        <v>9.15860442960533</v>
      </c>
      <c r="M531" s="28">
        <v>0</v>
      </c>
      <c r="N531" s="28">
        <v>0</v>
      </c>
    </row>
    <row r="532" spans="7:14">
      <c r="G532" s="24">
        <v>531</v>
      </c>
      <c r="H532" s="25">
        <f>S0_</f>
        <v>100</v>
      </c>
      <c r="I532" s="25">
        <f ca="1">S0_*EXP((mu_-sigma_^2/2)*Dt_+sigma_*SQRT(Dt_)*_xlfn.NORM.INV(RAND(),0,1))</f>
        <v>105.151435267336</v>
      </c>
      <c r="J532" s="25">
        <f ca="1">MAX(k_-I532,0)*EXP(-rs_*T_)</f>
        <v>0</v>
      </c>
      <c r="K532" s="25">
        <v>5.00168756522674</v>
      </c>
      <c r="L532" s="25">
        <v>4.43168756522674</v>
      </c>
      <c r="M532" s="28">
        <v>0</v>
      </c>
      <c r="N532" s="28">
        <v>0</v>
      </c>
    </row>
    <row r="533" spans="7:14">
      <c r="G533" s="24">
        <v>532</v>
      </c>
      <c r="H533" s="25">
        <f>S0_</f>
        <v>100</v>
      </c>
      <c r="I533" s="25">
        <f ca="1">S0_*EXP((mu_-sigma_^2/2)*Dt_+sigma_*SQRT(Dt_)*_xlfn.NORM.INV(RAND(),0,1))</f>
        <v>107.724791213494</v>
      </c>
      <c r="J533" s="25">
        <f ca="1">MAX(k_-I533,0)*EXP(-rs_*T_)</f>
        <v>0</v>
      </c>
      <c r="K533" s="25">
        <v>7.50023831251278</v>
      </c>
      <c r="L533" s="25">
        <v>6.93023831251278</v>
      </c>
      <c r="M533" s="28">
        <v>0</v>
      </c>
      <c r="N533" s="28">
        <v>0</v>
      </c>
    </row>
    <row r="534" spans="7:14">
      <c r="G534" s="24">
        <v>533</v>
      </c>
      <c r="H534" s="25">
        <f>S0_</f>
        <v>100</v>
      </c>
      <c r="I534" s="25">
        <f ca="1">S0_*EXP((mu_-sigma_^2/2)*Dt_+sigma_*SQRT(Dt_)*_xlfn.NORM.INV(RAND(),0,1))</f>
        <v>112.706091711484</v>
      </c>
      <c r="J534" s="25">
        <f ca="1">MAX(k_-I534,0)*EXP(-rs_*T_)</f>
        <v>0</v>
      </c>
      <c r="K534" s="25">
        <v>12.3367367768206</v>
      </c>
      <c r="L534" s="25">
        <v>11.7667367768206</v>
      </c>
      <c r="M534" s="28">
        <v>0</v>
      </c>
      <c r="N534" s="28">
        <v>0</v>
      </c>
    </row>
    <row r="535" spans="7:14">
      <c r="G535" s="24">
        <v>534</v>
      </c>
      <c r="H535" s="25">
        <f>S0_</f>
        <v>100</v>
      </c>
      <c r="I535" s="25">
        <f ca="1">S0_*EXP((mu_-sigma_^2/2)*Dt_+sigma_*SQRT(Dt_)*_xlfn.NORM.INV(RAND(),0,1))</f>
        <v>104.301851575498</v>
      </c>
      <c r="J535" s="25">
        <f ca="1">MAX(k_-I535,0)*EXP(-rs_*T_)</f>
        <v>0</v>
      </c>
      <c r="K535" s="25">
        <v>4.17680052568001</v>
      </c>
      <c r="L535" s="25">
        <v>3.60680052568001</v>
      </c>
      <c r="M535" s="28">
        <v>0</v>
      </c>
      <c r="N535" s="28">
        <v>0</v>
      </c>
    </row>
    <row r="536" spans="7:14">
      <c r="G536" s="24">
        <v>535</v>
      </c>
      <c r="H536" s="25">
        <f>S0_</f>
        <v>100</v>
      </c>
      <c r="I536" s="25">
        <f ca="1">S0_*EXP((mu_-sigma_^2/2)*Dt_+sigma_*SQRT(Dt_)*_xlfn.NORM.INV(RAND(),0,1))</f>
        <v>112.55842889518</v>
      </c>
      <c r="J536" s="25">
        <f ca="1">MAX(k_-I536,0)*EXP(-rs_*T_)</f>
        <v>0</v>
      </c>
      <c r="K536" s="25">
        <v>12.1933663889914</v>
      </c>
      <c r="L536" s="25">
        <v>11.6233663889914</v>
      </c>
      <c r="M536" s="28">
        <v>0</v>
      </c>
      <c r="N536" s="28">
        <v>0</v>
      </c>
    </row>
    <row r="537" spans="7:14">
      <c r="G537" s="24">
        <v>536</v>
      </c>
      <c r="H537" s="25">
        <f>S0_</f>
        <v>100</v>
      </c>
      <c r="I537" s="25">
        <f ca="1">S0_*EXP((mu_-sigma_^2/2)*Dt_+sigma_*SQRT(Dt_)*_xlfn.NORM.INV(RAND(),0,1))</f>
        <v>112.225187496847</v>
      </c>
      <c r="J537" s="25">
        <f ca="1">MAX(k_-I537,0)*EXP(-rs_*T_)</f>
        <v>0</v>
      </c>
      <c r="K537" s="25">
        <v>11.8698120256417</v>
      </c>
      <c r="L537" s="25">
        <v>11.2998120256417</v>
      </c>
      <c r="M537" s="28">
        <v>0</v>
      </c>
      <c r="N537" s="28">
        <v>0</v>
      </c>
    </row>
    <row r="538" spans="7:14">
      <c r="G538" s="24">
        <v>537</v>
      </c>
      <c r="H538" s="25">
        <f>S0_</f>
        <v>100</v>
      </c>
      <c r="I538" s="25">
        <f ca="1">S0_*EXP((mu_-sigma_^2/2)*Dt_+sigma_*SQRT(Dt_)*_xlfn.NORM.INV(RAND(),0,1))</f>
        <v>92.893784110853</v>
      </c>
      <c r="J538" s="25">
        <f ca="1">MAX(k_-I538,0)*EXP(-rs_*T_)</f>
        <v>3.98685179703374</v>
      </c>
      <c r="K538" s="25">
        <v>-6.89964442995732</v>
      </c>
      <c r="L538" s="25">
        <v>-3.48279263292358</v>
      </c>
      <c r="M538" s="28">
        <v>1</v>
      </c>
      <c r="N538" s="28">
        <v>1</v>
      </c>
    </row>
    <row r="539" spans="7:14">
      <c r="G539" s="24">
        <v>538</v>
      </c>
      <c r="H539" s="25">
        <f>S0_</f>
        <v>100</v>
      </c>
      <c r="I539" s="25">
        <f ca="1">S0_*EXP((mu_-sigma_^2/2)*Dt_+sigma_*SQRT(Dt_)*_xlfn.NORM.INV(RAND(),0,1))</f>
        <v>110.809688823913</v>
      </c>
      <c r="J539" s="25">
        <f ca="1">MAX(k_-I539,0)*EXP(-rs_*T_)</f>
        <v>0</v>
      </c>
      <c r="K539" s="25">
        <v>10.4954606568303</v>
      </c>
      <c r="L539" s="25">
        <v>9.92546065683034</v>
      </c>
      <c r="M539" s="28">
        <v>0</v>
      </c>
      <c r="N539" s="28">
        <v>0</v>
      </c>
    </row>
    <row r="540" spans="7:14">
      <c r="G540" s="24">
        <v>539</v>
      </c>
      <c r="H540" s="25">
        <f>S0_</f>
        <v>100</v>
      </c>
      <c r="I540" s="25">
        <f ca="1">S0_*EXP((mu_-sigma_^2/2)*Dt_+sigma_*SQRT(Dt_)*_xlfn.NORM.INV(RAND(),0,1))</f>
        <v>99.2335022473877</v>
      </c>
      <c r="J540" s="25">
        <f ca="1">MAX(k_-I540,0)*EXP(-rs_*T_)</f>
        <v>0</v>
      </c>
      <c r="K540" s="25">
        <v>-0.744216335653831</v>
      </c>
      <c r="L540" s="25">
        <v>-1.31421633565383</v>
      </c>
      <c r="M540" s="28">
        <v>1</v>
      </c>
      <c r="N540" s="28">
        <v>1</v>
      </c>
    </row>
    <row r="541" spans="7:14">
      <c r="G541" s="24">
        <v>540</v>
      </c>
      <c r="H541" s="25">
        <f>S0_</f>
        <v>100</v>
      </c>
      <c r="I541" s="25">
        <f ca="1">S0_*EXP((mu_-sigma_^2/2)*Dt_+sigma_*SQRT(Dt_)*_xlfn.NORM.INV(RAND(),0,1))</f>
        <v>87.9104179644546</v>
      </c>
      <c r="J541" s="25">
        <f ca="1">MAX(k_-I541,0)*EXP(-rs_*T_)</f>
        <v>8.82535586316376</v>
      </c>
      <c r="K541" s="25">
        <v>-11.7381484960873</v>
      </c>
      <c r="L541" s="25">
        <v>-3.48279263292358</v>
      </c>
      <c r="M541" s="28">
        <v>1</v>
      </c>
      <c r="N541" s="28">
        <v>1</v>
      </c>
    </row>
    <row r="542" spans="7:14">
      <c r="G542" s="24">
        <v>541</v>
      </c>
      <c r="H542" s="25">
        <f>S0_</f>
        <v>100</v>
      </c>
      <c r="I542" s="25">
        <f ca="1">S0_*EXP((mu_-sigma_^2/2)*Dt_+sigma_*SQRT(Dt_)*_xlfn.NORM.INV(RAND(),0,1))</f>
        <v>99.9663819507668</v>
      </c>
      <c r="J542" s="25">
        <f ca="1">MAX(k_-I542,0)*EXP(-rs_*T_)</f>
        <v>0</v>
      </c>
      <c r="K542" s="25">
        <v>-0.0326408020465321</v>
      </c>
      <c r="L542" s="25">
        <v>-0.602640802046532</v>
      </c>
      <c r="M542" s="28">
        <v>1</v>
      </c>
      <c r="N542" s="28">
        <v>1</v>
      </c>
    </row>
    <row r="543" spans="7:14">
      <c r="G543" s="24">
        <v>542</v>
      </c>
      <c r="H543" s="25">
        <f>S0_</f>
        <v>100</v>
      </c>
      <c r="I543" s="25">
        <f ca="1">S0_*EXP((mu_-sigma_^2/2)*Dt_+sigma_*SQRT(Dt_)*_xlfn.NORM.INV(RAND(),0,1))</f>
        <v>105.350039571843</v>
      </c>
      <c r="J543" s="25">
        <f ca="1">MAX(k_-I543,0)*EXP(-rs_*T_)</f>
        <v>0</v>
      </c>
      <c r="K543" s="25">
        <v>5.1945186169047</v>
      </c>
      <c r="L543" s="25">
        <v>4.6245186169047</v>
      </c>
      <c r="M543" s="28">
        <v>0</v>
      </c>
      <c r="N543" s="28">
        <v>0</v>
      </c>
    </row>
    <row r="544" spans="7:14">
      <c r="G544" s="24">
        <v>543</v>
      </c>
      <c r="H544" s="25">
        <f>S0_</f>
        <v>100</v>
      </c>
      <c r="I544" s="25">
        <f ca="1">S0_*EXP((mu_-sigma_^2/2)*Dt_+sigma_*SQRT(Dt_)*_xlfn.NORM.INV(RAND(),0,1))</f>
        <v>90.3389839384905</v>
      </c>
      <c r="J544" s="25">
        <f ca="1">MAX(k_-I544,0)*EXP(-rs_*T_)</f>
        <v>6.46738617058347</v>
      </c>
      <c r="K544" s="25">
        <v>-9.38017880350705</v>
      </c>
      <c r="L544" s="25">
        <v>-3.48279263292358</v>
      </c>
      <c r="M544" s="28">
        <v>1</v>
      </c>
      <c r="N544" s="28">
        <v>1</v>
      </c>
    </row>
    <row r="545" spans="7:14">
      <c r="G545" s="24">
        <v>544</v>
      </c>
      <c r="H545" s="25">
        <f>S0_</f>
        <v>100</v>
      </c>
      <c r="I545" s="25">
        <f ca="1">S0_*EXP((mu_-sigma_^2/2)*Dt_+sigma_*SQRT(Dt_)*_xlfn.NORM.INV(RAND(),0,1))</f>
        <v>86.2784437403189</v>
      </c>
      <c r="J545" s="25">
        <f ca="1">MAX(k_-I545,0)*EXP(-rs_*T_)</f>
        <v>10.4098900288916</v>
      </c>
      <c r="K545" s="25">
        <v>-13.3226826618152</v>
      </c>
      <c r="L545" s="25">
        <v>-3.48279263292358</v>
      </c>
      <c r="M545" s="28">
        <v>1</v>
      </c>
      <c r="N545" s="28">
        <v>1</v>
      </c>
    </row>
    <row r="546" spans="7:14">
      <c r="G546" s="24">
        <v>545</v>
      </c>
      <c r="H546" s="25">
        <f>S0_</f>
        <v>100</v>
      </c>
      <c r="I546" s="25">
        <f ca="1">S0_*EXP((mu_-sigma_^2/2)*Dt_+sigma_*SQRT(Dt_)*_xlfn.NORM.INV(RAND(),0,1))</f>
        <v>85.9867262118871</v>
      </c>
      <c r="J546" s="25">
        <f ca="1">MAX(k_-I546,0)*EXP(-rs_*T_)</f>
        <v>10.6931275847952</v>
      </c>
      <c r="K546" s="25">
        <v>-13.6059202177188</v>
      </c>
      <c r="L546" s="25">
        <v>-3.48279263292358</v>
      </c>
      <c r="M546" s="28">
        <v>1</v>
      </c>
      <c r="N546" s="28">
        <v>1</v>
      </c>
    </row>
    <row r="547" spans="7:14">
      <c r="G547" s="24">
        <v>546</v>
      </c>
      <c r="H547" s="25">
        <f>S0_</f>
        <v>100</v>
      </c>
      <c r="I547" s="25">
        <f ca="1">S0_*EXP((mu_-sigma_^2/2)*Dt_+sigma_*SQRT(Dt_)*_xlfn.NORM.INV(RAND(),0,1))</f>
        <v>98.0048285422373</v>
      </c>
      <c r="J547" s="25">
        <f ca="1">MAX(k_-I547,0)*EXP(-rs_*T_)</f>
        <v>0</v>
      </c>
      <c r="K547" s="25">
        <v>-1.93717357453015</v>
      </c>
      <c r="L547" s="25">
        <v>-2.50717357453015</v>
      </c>
      <c r="M547" s="28">
        <v>1</v>
      </c>
      <c r="N547" s="28">
        <v>1</v>
      </c>
    </row>
    <row r="548" spans="7:14">
      <c r="G548" s="24">
        <v>547</v>
      </c>
      <c r="H548" s="25">
        <f>S0_</f>
        <v>100</v>
      </c>
      <c r="I548" s="25">
        <f ca="1">S0_*EXP((mu_-sigma_^2/2)*Dt_+sigma_*SQRT(Dt_)*_xlfn.NORM.INV(RAND(),0,1))</f>
        <v>100.794710506734</v>
      </c>
      <c r="J548" s="25">
        <f ca="1">MAX(k_-I548,0)*EXP(-rs_*T_)</f>
        <v>0</v>
      </c>
      <c r="K548" s="25">
        <v>0.771608969774272</v>
      </c>
      <c r="L548" s="25">
        <v>0.201608969774272</v>
      </c>
      <c r="M548" s="28">
        <v>0</v>
      </c>
      <c r="N548" s="28">
        <v>0</v>
      </c>
    </row>
    <row r="549" spans="7:14">
      <c r="G549" s="24">
        <v>548</v>
      </c>
      <c r="H549" s="25">
        <f>S0_</f>
        <v>100</v>
      </c>
      <c r="I549" s="25">
        <f ca="1">S0_*EXP((mu_-sigma_^2/2)*Dt_+sigma_*SQRT(Dt_)*_xlfn.NORM.INV(RAND(),0,1))</f>
        <v>109.814474930156</v>
      </c>
      <c r="J549" s="25">
        <f ca="1">MAX(k_-I549,0)*EXP(-rs_*T_)</f>
        <v>0</v>
      </c>
      <c r="K549" s="25">
        <v>9.52917675752403</v>
      </c>
      <c r="L549" s="25">
        <v>8.95917675752403</v>
      </c>
      <c r="M549" s="28">
        <v>0</v>
      </c>
      <c r="N549" s="28">
        <v>0</v>
      </c>
    </row>
    <row r="550" spans="7:14">
      <c r="G550" s="24">
        <v>549</v>
      </c>
      <c r="H550" s="25">
        <f>S0_</f>
        <v>100</v>
      </c>
      <c r="I550" s="25">
        <f ca="1">S0_*EXP((mu_-sigma_^2/2)*Dt_+sigma_*SQRT(Dt_)*_xlfn.NORM.INV(RAND(),0,1))</f>
        <v>116.209051112384</v>
      </c>
      <c r="J550" s="25">
        <f ca="1">MAX(k_-I550,0)*EXP(-rs_*T_)</f>
        <v>0</v>
      </c>
      <c r="K550" s="25">
        <v>15.7378682222781</v>
      </c>
      <c r="L550" s="25">
        <v>15.1678682222781</v>
      </c>
      <c r="M550" s="28">
        <v>0</v>
      </c>
      <c r="N550" s="28">
        <v>0</v>
      </c>
    </row>
    <row r="551" spans="7:14">
      <c r="G551" s="24">
        <v>550</v>
      </c>
      <c r="H551" s="25">
        <f>S0_</f>
        <v>100</v>
      </c>
      <c r="I551" s="25">
        <f ca="1">S0_*EXP((mu_-sigma_^2/2)*Dt_+sigma_*SQRT(Dt_)*_xlfn.NORM.INV(RAND(),0,1))</f>
        <v>86.8333092955275</v>
      </c>
      <c r="J551" s="25">
        <f ca="1">MAX(k_-I551,0)*EXP(-rs_*T_)</f>
        <v>9.87115392840003</v>
      </c>
      <c r="K551" s="25">
        <v>-12.7839465613236</v>
      </c>
      <c r="L551" s="25">
        <v>-3.48279263292358</v>
      </c>
      <c r="M551" s="28">
        <v>1</v>
      </c>
      <c r="N551" s="28">
        <v>1</v>
      </c>
    </row>
    <row r="552" spans="7:14">
      <c r="G552" s="24">
        <v>551</v>
      </c>
      <c r="H552" s="25">
        <f>S0_</f>
        <v>100</v>
      </c>
      <c r="I552" s="25">
        <f ca="1">S0_*EXP((mu_-sigma_^2/2)*Dt_+sigma_*SQRT(Dt_)*_xlfn.NORM.INV(RAND(),0,1))</f>
        <v>85.7877564606467</v>
      </c>
      <c r="J552" s="25">
        <f ca="1">MAX(k_-I552,0)*EXP(-rs_*T_)</f>
        <v>10.8863134599911</v>
      </c>
      <c r="K552" s="25">
        <v>-13.7991060929147</v>
      </c>
      <c r="L552" s="25">
        <v>-3.48279263292358</v>
      </c>
      <c r="M552" s="28">
        <v>1</v>
      </c>
      <c r="N552" s="28">
        <v>1</v>
      </c>
    </row>
    <row r="553" spans="7:14">
      <c r="G553" s="24">
        <v>552</v>
      </c>
      <c r="H553" s="25">
        <f>S0_</f>
        <v>100</v>
      </c>
      <c r="I553" s="25">
        <f ca="1">S0_*EXP((mu_-sigma_^2/2)*Dt_+sigma_*SQRT(Dt_)*_xlfn.NORM.INV(RAND(),0,1))</f>
        <v>94.4486464738525</v>
      </c>
      <c r="J553" s="25">
        <f ca="1">MAX(k_-I553,0)*EXP(-rs_*T_)</f>
        <v>2.47718791831537</v>
      </c>
      <c r="K553" s="25">
        <v>-5.38998055123895</v>
      </c>
      <c r="L553" s="25">
        <v>-3.48279263292358</v>
      </c>
      <c r="M553" s="28">
        <v>1</v>
      </c>
      <c r="N553" s="28">
        <v>1</v>
      </c>
    </row>
    <row r="554" spans="7:14">
      <c r="G554" s="24">
        <v>553</v>
      </c>
      <c r="H554" s="25">
        <f>S0_</f>
        <v>100</v>
      </c>
      <c r="I554" s="25">
        <f ca="1">S0_*EXP((mu_-sigma_^2/2)*Dt_+sigma_*SQRT(Dt_)*_xlfn.NORM.INV(RAND(),0,1))</f>
        <v>110.030886433095</v>
      </c>
      <c r="J554" s="25">
        <f ca="1">MAX(k_-I554,0)*EXP(-rs_*T_)</f>
        <v>0</v>
      </c>
      <c r="K554" s="25">
        <v>9.73929736800452</v>
      </c>
      <c r="L554" s="25">
        <v>9.16929736800452</v>
      </c>
      <c r="M554" s="28">
        <v>0</v>
      </c>
      <c r="N554" s="28">
        <v>0</v>
      </c>
    </row>
    <row r="555" spans="7:14">
      <c r="G555" s="24">
        <v>554</v>
      </c>
      <c r="H555" s="25">
        <f>S0_</f>
        <v>100</v>
      </c>
      <c r="I555" s="25">
        <f ca="1">S0_*EXP((mu_-sigma_^2/2)*Dt_+sigma_*SQRT(Dt_)*_xlfn.NORM.INV(RAND(),0,1))</f>
        <v>105.456682505773</v>
      </c>
      <c r="J555" s="25">
        <f ca="1">MAX(k_-I555,0)*EXP(-rs_*T_)</f>
        <v>0</v>
      </c>
      <c r="K555" s="25">
        <v>5.29806153433981</v>
      </c>
      <c r="L555" s="25">
        <v>4.72806153433981</v>
      </c>
      <c r="M555" s="28">
        <v>0</v>
      </c>
      <c r="N555" s="28">
        <v>0</v>
      </c>
    </row>
    <row r="556" spans="7:14">
      <c r="G556" s="24">
        <v>555</v>
      </c>
      <c r="H556" s="25">
        <f>S0_</f>
        <v>100</v>
      </c>
      <c r="I556" s="25">
        <f ca="1">S0_*EXP((mu_-sigma_^2/2)*Dt_+sigma_*SQRT(Dt_)*_xlfn.NORM.INV(RAND(),0,1))</f>
        <v>107.792643381307</v>
      </c>
      <c r="J556" s="25">
        <f ca="1">MAX(k_-I556,0)*EXP(-rs_*T_)</f>
        <v>0</v>
      </c>
      <c r="K556" s="25">
        <v>7.56611807735762</v>
      </c>
      <c r="L556" s="25">
        <v>6.99611807735762</v>
      </c>
      <c r="M556" s="28">
        <v>0</v>
      </c>
      <c r="N556" s="28">
        <v>0</v>
      </c>
    </row>
    <row r="557" spans="7:14">
      <c r="G557" s="24">
        <v>556</v>
      </c>
      <c r="H557" s="25">
        <f>S0_</f>
        <v>100</v>
      </c>
      <c r="I557" s="25">
        <f ca="1">S0_*EXP((mu_-sigma_^2/2)*Dt_+sigma_*SQRT(Dt_)*_xlfn.NORM.INV(RAND(),0,1))</f>
        <v>90.0164197504379</v>
      </c>
      <c r="J557" s="25">
        <f ca="1">MAX(k_-I557,0)*EXP(-rs_*T_)</f>
        <v>6.78057370078506</v>
      </c>
      <c r="K557" s="25">
        <v>-9.69336633370865</v>
      </c>
      <c r="L557" s="25">
        <v>-3.48279263292358</v>
      </c>
      <c r="M557" s="28">
        <v>1</v>
      </c>
      <c r="N557" s="28">
        <v>1</v>
      </c>
    </row>
    <row r="558" spans="7:14">
      <c r="G558" s="24">
        <v>557</v>
      </c>
      <c r="H558" s="25">
        <f>S0_</f>
        <v>100</v>
      </c>
      <c r="I558" s="25">
        <f ca="1">S0_*EXP((mu_-sigma_^2/2)*Dt_+sigma_*SQRT(Dt_)*_xlfn.NORM.INV(RAND(),0,1))</f>
        <v>105.817982286411</v>
      </c>
      <c r="J558" s="25">
        <f ca="1">MAX(k_-I558,0)*EXP(-rs_*T_)</f>
        <v>0</v>
      </c>
      <c r="K558" s="25">
        <v>5.64885864744627</v>
      </c>
      <c r="L558" s="25">
        <v>5.07885864744627</v>
      </c>
      <c r="M558" s="28">
        <v>0</v>
      </c>
      <c r="N558" s="28">
        <v>0</v>
      </c>
    </row>
    <row r="559" spans="7:14">
      <c r="G559" s="24">
        <v>558</v>
      </c>
      <c r="H559" s="25">
        <f>S0_</f>
        <v>100</v>
      </c>
      <c r="I559" s="25">
        <f ca="1">S0_*EXP((mu_-sigma_^2/2)*Dt_+sigma_*SQRT(Dt_)*_xlfn.NORM.INV(RAND(),0,1))</f>
        <v>101.848768509477</v>
      </c>
      <c r="J559" s="25">
        <f ca="1">MAX(k_-I559,0)*EXP(-rs_*T_)</f>
        <v>0</v>
      </c>
      <c r="K559" s="25">
        <v>1.79502643146157</v>
      </c>
      <c r="L559" s="25">
        <v>1.22502643146157</v>
      </c>
      <c r="M559" s="28">
        <v>0</v>
      </c>
      <c r="N559" s="28">
        <v>0</v>
      </c>
    </row>
    <row r="560" spans="7:14">
      <c r="G560" s="24">
        <v>559</v>
      </c>
      <c r="H560" s="25">
        <f>S0_</f>
        <v>100</v>
      </c>
      <c r="I560" s="25">
        <f ca="1">S0_*EXP((mu_-sigma_^2/2)*Dt_+sigma_*SQRT(Dt_)*_xlfn.NORM.INV(RAND(),0,1))</f>
        <v>96.8545557599422</v>
      </c>
      <c r="J560" s="25">
        <f ca="1">MAX(k_-I560,0)*EXP(-rs_*T_)</f>
        <v>0.141216303647161</v>
      </c>
      <c r="K560" s="25">
        <v>-3.05400893657074</v>
      </c>
      <c r="L560" s="25">
        <v>-3.48279263292358</v>
      </c>
      <c r="M560" s="28">
        <v>1</v>
      </c>
      <c r="N560" s="28">
        <v>1</v>
      </c>
    </row>
    <row r="561" spans="7:14">
      <c r="G561" s="24">
        <v>560</v>
      </c>
      <c r="H561" s="25">
        <f>S0_</f>
        <v>100</v>
      </c>
      <c r="I561" s="25">
        <f ca="1">S0_*EXP((mu_-sigma_^2/2)*Dt_+sigma_*SQRT(Dt_)*_xlfn.NORM.INV(RAND(),0,1))</f>
        <v>107.150611684396</v>
      </c>
      <c r="J561" s="25">
        <f ca="1">MAX(k_-I561,0)*EXP(-rs_*T_)</f>
        <v>0</v>
      </c>
      <c r="K561" s="25">
        <v>6.94274967840203</v>
      </c>
      <c r="L561" s="25">
        <v>6.37274967840202</v>
      </c>
      <c r="M561" s="28">
        <v>0</v>
      </c>
      <c r="N561" s="28">
        <v>0</v>
      </c>
    </row>
    <row r="562" spans="7:14">
      <c r="G562" s="24">
        <v>561</v>
      </c>
      <c r="H562" s="25">
        <f>S0_</f>
        <v>100</v>
      </c>
      <c r="I562" s="25">
        <f ca="1">S0_*EXP((mu_-sigma_^2/2)*Dt_+sigma_*SQRT(Dt_)*_xlfn.NORM.INV(RAND(),0,1))</f>
        <v>114.231968802891</v>
      </c>
      <c r="J562" s="25">
        <f ca="1">MAX(k_-I562,0)*EXP(-rs_*T_)</f>
        <v>0</v>
      </c>
      <c r="K562" s="25">
        <v>13.8182579603535</v>
      </c>
      <c r="L562" s="25">
        <v>13.2482579603535</v>
      </c>
      <c r="M562" s="28">
        <v>0</v>
      </c>
      <c r="N562" s="28">
        <v>0</v>
      </c>
    </row>
    <row r="563" spans="7:14">
      <c r="G563" s="24">
        <v>562</v>
      </c>
      <c r="H563" s="25">
        <f>S0_</f>
        <v>100</v>
      </c>
      <c r="I563" s="25">
        <f ca="1">S0_*EXP((mu_-sigma_^2/2)*Dt_+sigma_*SQRT(Dt_)*_xlfn.NORM.INV(RAND(),0,1))</f>
        <v>117.393294287326</v>
      </c>
      <c r="J563" s="25">
        <f ca="1">MAX(k_-I563,0)*EXP(-rs_*T_)</f>
        <v>0</v>
      </c>
      <c r="K563" s="25">
        <v>16.8876864874646</v>
      </c>
      <c r="L563" s="25">
        <v>16.3176864874646</v>
      </c>
      <c r="M563" s="28">
        <v>0</v>
      </c>
      <c r="N563" s="28">
        <v>0</v>
      </c>
    </row>
    <row r="564" spans="7:14">
      <c r="G564" s="24">
        <v>563</v>
      </c>
      <c r="H564" s="25">
        <f>S0_</f>
        <v>100</v>
      </c>
      <c r="I564" s="25">
        <f ca="1">S0_*EXP((mu_-sigma_^2/2)*Dt_+sigma_*SQRT(Dt_)*_xlfn.NORM.INV(RAND(),0,1))</f>
        <v>102.280039363712</v>
      </c>
      <c r="J564" s="25">
        <f ca="1">MAX(k_-I564,0)*EXP(-rs_*T_)</f>
        <v>0</v>
      </c>
      <c r="K564" s="25">
        <v>2.21376062046544</v>
      </c>
      <c r="L564" s="25">
        <v>1.64376062046544</v>
      </c>
      <c r="M564" s="28">
        <v>0</v>
      </c>
      <c r="N564" s="28">
        <v>0</v>
      </c>
    </row>
    <row r="565" spans="7:14">
      <c r="G565" s="24">
        <v>564</v>
      </c>
      <c r="H565" s="25">
        <f>S0_</f>
        <v>100</v>
      </c>
      <c r="I565" s="25">
        <f ca="1">S0_*EXP((mu_-sigma_^2/2)*Dt_+sigma_*SQRT(Dt_)*_xlfn.NORM.INV(RAND(),0,1))</f>
        <v>98.7571162819989</v>
      </c>
      <c r="J565" s="25">
        <f ca="1">MAX(k_-I565,0)*EXP(-rs_*T_)</f>
        <v>0</v>
      </c>
      <c r="K565" s="25">
        <v>-1.20675417912471</v>
      </c>
      <c r="L565" s="25">
        <v>-1.77675417912471</v>
      </c>
      <c r="M565" s="28">
        <v>1</v>
      </c>
      <c r="N565" s="28">
        <v>1</v>
      </c>
    </row>
    <row r="566" spans="7:14">
      <c r="G566" s="24">
        <v>565</v>
      </c>
      <c r="H566" s="25">
        <f>S0_</f>
        <v>100</v>
      </c>
      <c r="I566" s="25">
        <f ca="1">S0_*EXP((mu_-sigma_^2/2)*Dt_+sigma_*SQRT(Dt_)*_xlfn.NORM.INV(RAND(),0,1))</f>
        <v>106.790197880491</v>
      </c>
      <c r="J566" s="25">
        <f ca="1">MAX(k_-I566,0)*EXP(-rs_*T_)</f>
        <v>0</v>
      </c>
      <c r="K566" s="25">
        <v>6.5928127874624</v>
      </c>
      <c r="L566" s="25">
        <v>6.0228127874624</v>
      </c>
      <c r="M566" s="28">
        <v>0</v>
      </c>
      <c r="N566" s="28">
        <v>0</v>
      </c>
    </row>
    <row r="567" spans="7:14">
      <c r="G567" s="24">
        <v>566</v>
      </c>
      <c r="H567" s="25">
        <f>S0_</f>
        <v>100</v>
      </c>
      <c r="I567" s="25">
        <f ca="1">S0_*EXP((mu_-sigma_^2/2)*Dt_+sigma_*SQRT(Dt_)*_xlfn.NORM.INV(RAND(),0,1))</f>
        <v>95.4624434949713</v>
      </c>
      <c r="J567" s="25">
        <f ca="1">MAX(k_-I567,0)*EXP(-rs_*T_)</f>
        <v>1.49286108685042</v>
      </c>
      <c r="K567" s="25">
        <v>-4.405653719774</v>
      </c>
      <c r="L567" s="25">
        <v>-3.48279263292358</v>
      </c>
      <c r="M567" s="28">
        <v>1</v>
      </c>
      <c r="N567" s="28">
        <v>1</v>
      </c>
    </row>
    <row r="568" spans="7:14">
      <c r="G568" s="24">
        <v>567</v>
      </c>
      <c r="H568" s="25">
        <f>S0_</f>
        <v>100</v>
      </c>
      <c r="I568" s="25">
        <f ca="1">S0_*EXP((mu_-sigma_^2/2)*Dt_+sigma_*SQRT(Dt_)*_xlfn.NORM.INV(RAND(),0,1))</f>
        <v>111.445695952609</v>
      </c>
      <c r="J568" s="25">
        <f ca="1">MAX(k_-I568,0)*EXP(-rs_*T_)</f>
        <v>0</v>
      </c>
      <c r="K568" s="25">
        <v>11.1129796164813</v>
      </c>
      <c r="L568" s="25">
        <v>10.5429796164813</v>
      </c>
      <c r="M568" s="28">
        <v>0</v>
      </c>
      <c r="N568" s="28">
        <v>0</v>
      </c>
    </row>
    <row r="569" spans="7:14">
      <c r="G569" s="24">
        <v>568</v>
      </c>
      <c r="H569" s="25">
        <f>S0_</f>
        <v>100</v>
      </c>
      <c r="I569" s="25">
        <f ca="1">S0_*EXP((mu_-sigma_^2/2)*Dt_+sigma_*SQRT(Dt_)*_xlfn.NORM.INV(RAND(),0,1))</f>
        <v>103.463737185562</v>
      </c>
      <c r="J569" s="25">
        <f ca="1">MAX(k_-I569,0)*EXP(-rs_*T_)</f>
        <v>0</v>
      </c>
      <c r="K569" s="25">
        <v>3.36304938549601</v>
      </c>
      <c r="L569" s="25">
        <v>2.79304938549601</v>
      </c>
      <c r="M569" s="28">
        <v>0</v>
      </c>
      <c r="N569" s="28">
        <v>0</v>
      </c>
    </row>
    <row r="570" spans="7:14">
      <c r="G570" s="24">
        <v>569</v>
      </c>
      <c r="H570" s="25">
        <f>S0_</f>
        <v>100</v>
      </c>
      <c r="I570" s="25">
        <f ca="1">S0_*EXP((mu_-sigma_^2/2)*Dt_+sigma_*SQRT(Dt_)*_xlfn.NORM.INV(RAND(),0,1))</f>
        <v>104.887911465335</v>
      </c>
      <c r="J570" s="25">
        <f ca="1">MAX(k_-I570,0)*EXP(-rs_*T_)</f>
        <v>0</v>
      </c>
      <c r="K570" s="25">
        <v>4.74582416887045</v>
      </c>
      <c r="L570" s="25">
        <v>4.17582416887045</v>
      </c>
      <c r="M570" s="28">
        <v>0</v>
      </c>
      <c r="N570" s="28">
        <v>0</v>
      </c>
    </row>
    <row r="571" spans="7:14">
      <c r="G571" s="24">
        <v>570</v>
      </c>
      <c r="H571" s="25">
        <f>S0_</f>
        <v>100</v>
      </c>
      <c r="I571" s="25">
        <f ca="1">S0_*EXP((mu_-sigma_^2/2)*Dt_+sigma_*SQRT(Dt_)*_xlfn.NORM.INV(RAND(),0,1))</f>
        <v>101.274857121339</v>
      </c>
      <c r="J571" s="25">
        <f ca="1">MAX(k_-I571,0)*EXP(-rs_*T_)</f>
        <v>0</v>
      </c>
      <c r="K571" s="25">
        <v>1.23779814368889</v>
      </c>
      <c r="L571" s="25">
        <v>0.667798143688895</v>
      </c>
      <c r="M571" s="28">
        <v>0</v>
      </c>
      <c r="N571" s="28">
        <v>0</v>
      </c>
    </row>
    <row r="572" spans="7:14">
      <c r="G572" s="24">
        <v>571</v>
      </c>
      <c r="H572" s="25">
        <f>S0_</f>
        <v>100</v>
      </c>
      <c r="I572" s="25">
        <f ca="1">S0_*EXP((mu_-sigma_^2/2)*Dt_+sigma_*SQRT(Dt_)*_xlfn.NORM.INV(RAND(),0,1))</f>
        <v>104.670114485746</v>
      </c>
      <c r="J572" s="25">
        <f ca="1">MAX(k_-I572,0)*EXP(-rs_*T_)</f>
        <v>0</v>
      </c>
      <c r="K572" s="25">
        <v>4.53435835633001</v>
      </c>
      <c r="L572" s="25">
        <v>3.96435835633001</v>
      </c>
      <c r="M572" s="28">
        <v>0</v>
      </c>
      <c r="N572" s="28">
        <v>0</v>
      </c>
    </row>
    <row r="573" spans="7:14">
      <c r="G573" s="24">
        <v>572</v>
      </c>
      <c r="H573" s="25">
        <f>S0_</f>
        <v>100</v>
      </c>
      <c r="I573" s="25">
        <f ca="1">S0_*EXP((mu_-sigma_^2/2)*Dt_+sigma_*SQRT(Dt_)*_xlfn.NORM.INV(RAND(),0,1))</f>
        <v>119.998196005825</v>
      </c>
      <c r="J573" s="25">
        <f ca="1">MAX(k_-I573,0)*EXP(-rs_*T_)</f>
        <v>0</v>
      </c>
      <c r="K573" s="25">
        <v>19.4168659991764</v>
      </c>
      <c r="L573" s="25">
        <v>18.8468659991764</v>
      </c>
      <c r="M573" s="28">
        <v>0</v>
      </c>
      <c r="N573" s="28">
        <v>0</v>
      </c>
    </row>
    <row r="574" spans="7:14">
      <c r="G574" s="24">
        <v>573</v>
      </c>
      <c r="H574" s="25">
        <f>S0_</f>
        <v>100</v>
      </c>
      <c r="I574" s="25">
        <f ca="1">S0_*EXP((mu_-sigma_^2/2)*Dt_+sigma_*SQRT(Dt_)*_xlfn.NORM.INV(RAND(),0,1))</f>
        <v>93.7965060942707</v>
      </c>
      <c r="J574" s="25">
        <f ca="1">MAX(k_-I574,0)*EXP(-rs_*T_)</f>
        <v>3.11037114940801</v>
      </c>
      <c r="K574" s="25">
        <v>-6.02316378233159</v>
      </c>
      <c r="L574" s="25">
        <v>-3.48279263292358</v>
      </c>
      <c r="M574" s="28">
        <v>1</v>
      </c>
      <c r="N574" s="28">
        <v>1</v>
      </c>
    </row>
    <row r="575" spans="7:14">
      <c r="G575" s="24">
        <v>574</v>
      </c>
      <c r="H575" s="25">
        <f>S0_</f>
        <v>100</v>
      </c>
      <c r="I575" s="25">
        <f ca="1">S0_*EXP((mu_-sigma_^2/2)*Dt_+sigma_*SQRT(Dt_)*_xlfn.NORM.INV(RAND(),0,1))</f>
        <v>109.257120852504</v>
      </c>
      <c r="J575" s="25">
        <f ca="1">MAX(k_-I575,0)*EXP(-rs_*T_)</f>
        <v>0</v>
      </c>
      <c r="K575" s="25">
        <v>8.9880244737523</v>
      </c>
      <c r="L575" s="25">
        <v>8.4180244737523</v>
      </c>
      <c r="M575" s="28">
        <v>0</v>
      </c>
      <c r="N575" s="28">
        <v>0</v>
      </c>
    </row>
    <row r="576" spans="7:14">
      <c r="G576" s="24">
        <v>575</v>
      </c>
      <c r="H576" s="25">
        <f>S0_</f>
        <v>100</v>
      </c>
      <c r="I576" s="25">
        <f ca="1">S0_*EXP((mu_-sigma_^2/2)*Dt_+sigma_*SQRT(Dt_)*_xlfn.NORM.INV(RAND(),0,1))</f>
        <v>105.430797718926</v>
      </c>
      <c r="J576" s="25">
        <f ca="1">MAX(k_-I576,0)*EXP(-rs_*T_)</f>
        <v>0</v>
      </c>
      <c r="K576" s="25">
        <v>5.27292919552841</v>
      </c>
      <c r="L576" s="25">
        <v>4.70292919552841</v>
      </c>
      <c r="M576" s="28">
        <v>0</v>
      </c>
      <c r="N576" s="28">
        <v>0</v>
      </c>
    </row>
    <row r="577" spans="7:14">
      <c r="G577" s="24">
        <v>576</v>
      </c>
      <c r="H577" s="25">
        <f>S0_</f>
        <v>100</v>
      </c>
      <c r="I577" s="25">
        <f ca="1">S0_*EXP((mu_-sigma_^2/2)*Dt_+sigma_*SQRT(Dt_)*_xlfn.NORM.INV(RAND(),0,1))</f>
        <v>108.559901509229</v>
      </c>
      <c r="J577" s="25">
        <f ca="1">MAX(k_-I577,0)*EXP(-rs_*T_)</f>
        <v>0</v>
      </c>
      <c r="K577" s="25">
        <v>8.31107268487822</v>
      </c>
      <c r="L577" s="25">
        <v>7.74107268487822</v>
      </c>
      <c r="M577" s="28">
        <v>0</v>
      </c>
      <c r="N577" s="28">
        <v>0</v>
      </c>
    </row>
    <row r="578" spans="7:14">
      <c r="G578" s="24">
        <v>577</v>
      </c>
      <c r="H578" s="25">
        <f>S0_</f>
        <v>100</v>
      </c>
      <c r="I578" s="25">
        <f ca="1">S0_*EXP((mu_-sigma_^2/2)*Dt_+sigma_*SQRT(Dt_)*_xlfn.NORM.INV(RAND(),0,1))</f>
        <v>106.336622592132</v>
      </c>
      <c r="J578" s="25">
        <f ca="1">MAX(k_-I578,0)*EXP(-rs_*T_)</f>
        <v>0</v>
      </c>
      <c r="K578" s="25">
        <v>6.15242253465987</v>
      </c>
      <c r="L578" s="25">
        <v>5.58242253465987</v>
      </c>
      <c r="M578" s="28">
        <v>0</v>
      </c>
      <c r="N578" s="28">
        <v>0</v>
      </c>
    </row>
    <row r="579" spans="7:14">
      <c r="G579" s="24">
        <v>578</v>
      </c>
      <c r="H579" s="25">
        <f>S0_</f>
        <v>100</v>
      </c>
      <c r="I579" s="25">
        <f ca="1">S0_*EXP((mu_-sigma_^2/2)*Dt_+sigma_*SQRT(Dt_)*_xlfn.NORM.INV(RAND(),0,1))</f>
        <v>97.6694918701665</v>
      </c>
      <c r="J579" s="25">
        <f ca="1">MAX(k_-I579,0)*EXP(-rs_*T_)</f>
        <v>0</v>
      </c>
      <c r="K579" s="25">
        <v>-2.26276230384918</v>
      </c>
      <c r="L579" s="25">
        <v>-2.83276230384918</v>
      </c>
      <c r="M579" s="28">
        <v>1</v>
      </c>
      <c r="N579" s="28">
        <v>1</v>
      </c>
    </row>
    <row r="580" spans="7:14">
      <c r="G580" s="24">
        <v>579</v>
      </c>
      <c r="H580" s="25">
        <f>S0_</f>
        <v>100</v>
      </c>
      <c r="I580" s="25">
        <f ca="1">S0_*EXP((mu_-sigma_^2/2)*Dt_+sigma_*SQRT(Dt_)*_xlfn.NORM.INV(RAND(),0,1))</f>
        <v>123.227292077158</v>
      </c>
      <c r="J580" s="25">
        <f ca="1">MAX(k_-I580,0)*EXP(-rs_*T_)</f>
        <v>0</v>
      </c>
      <c r="K580" s="25">
        <v>22.5520950817032</v>
      </c>
      <c r="L580" s="25">
        <v>21.9820950817032</v>
      </c>
      <c r="M580" s="28">
        <v>0</v>
      </c>
      <c r="N580" s="28">
        <v>0</v>
      </c>
    </row>
    <row r="581" spans="7:14">
      <c r="G581" s="24">
        <v>580</v>
      </c>
      <c r="H581" s="25">
        <f>S0_</f>
        <v>100</v>
      </c>
      <c r="I581" s="25">
        <f ca="1">S0_*EXP((mu_-sigma_^2/2)*Dt_+sigma_*SQRT(Dt_)*_xlfn.NORM.INV(RAND(),0,1))</f>
        <v>101.10896883743</v>
      </c>
      <c r="J581" s="25">
        <f ca="1">MAX(k_-I581,0)*EXP(-rs_*T_)</f>
        <v>0</v>
      </c>
      <c r="K581" s="25">
        <v>1.07673208660304</v>
      </c>
      <c r="L581" s="25">
        <v>0.506732086603043</v>
      </c>
      <c r="M581" s="28">
        <v>0</v>
      </c>
      <c r="N581" s="28">
        <v>0</v>
      </c>
    </row>
    <row r="582" spans="7:14">
      <c r="G582" s="24">
        <v>581</v>
      </c>
      <c r="H582" s="25">
        <f>S0_</f>
        <v>100</v>
      </c>
      <c r="I582" s="25">
        <f ca="1">S0_*EXP((mu_-sigma_^2/2)*Dt_+sigma_*SQRT(Dt_)*_xlfn.NORM.INV(RAND(),0,1))</f>
        <v>109.313487924726</v>
      </c>
      <c r="J582" s="25">
        <f ca="1">MAX(k_-I582,0)*EXP(-rs_*T_)</f>
        <v>0</v>
      </c>
      <c r="K582" s="25">
        <v>9.04275300465491</v>
      </c>
      <c r="L582" s="25">
        <v>8.47275300465491</v>
      </c>
      <c r="M582" s="28">
        <v>0</v>
      </c>
      <c r="N582" s="28">
        <v>0</v>
      </c>
    </row>
    <row r="583" spans="7:14">
      <c r="G583" s="24">
        <v>582</v>
      </c>
      <c r="H583" s="25">
        <f>S0_</f>
        <v>100</v>
      </c>
      <c r="I583" s="25">
        <f ca="1">S0_*EXP((mu_-sigma_^2/2)*Dt_+sigma_*SQRT(Dt_)*_xlfn.NORM.INV(RAND(),0,1))</f>
        <v>114.992965408664</v>
      </c>
      <c r="J583" s="25">
        <f ca="1">MAX(k_-I583,0)*EXP(-rs_*T_)</f>
        <v>0</v>
      </c>
      <c r="K583" s="25">
        <v>14.5571330626782</v>
      </c>
      <c r="L583" s="25">
        <v>13.9871330626782</v>
      </c>
      <c r="M583" s="28">
        <v>0</v>
      </c>
      <c r="N583" s="28">
        <v>0</v>
      </c>
    </row>
    <row r="584" spans="7:14">
      <c r="G584" s="24">
        <v>583</v>
      </c>
      <c r="H584" s="25">
        <f>S0_</f>
        <v>100</v>
      </c>
      <c r="I584" s="25">
        <f ca="1">S0_*EXP((mu_-sigma_^2/2)*Dt_+sigma_*SQRT(Dt_)*_xlfn.NORM.INV(RAND(),0,1))</f>
        <v>99.5380253511914</v>
      </c>
      <c r="J584" s="25">
        <f ca="1">MAX(k_-I584,0)*EXP(-rs_*T_)</f>
        <v>0</v>
      </c>
      <c r="K584" s="25">
        <v>-0.448545451215737</v>
      </c>
      <c r="L584" s="25">
        <v>-1.01854545121574</v>
      </c>
      <c r="M584" s="28">
        <v>1</v>
      </c>
      <c r="N584" s="28">
        <v>1</v>
      </c>
    </row>
    <row r="585" spans="7:14">
      <c r="G585" s="24">
        <v>584</v>
      </c>
      <c r="H585" s="25">
        <f>S0_</f>
        <v>100</v>
      </c>
      <c r="I585" s="25">
        <f ca="1">S0_*EXP((mu_-sigma_^2/2)*Dt_+sigma_*SQRT(Dt_)*_xlfn.NORM.INV(RAND(),0,1))</f>
        <v>100.521680135277</v>
      </c>
      <c r="J585" s="25">
        <f ca="1">MAX(k_-I585,0)*EXP(-rs_*T_)</f>
        <v>0</v>
      </c>
      <c r="K585" s="25">
        <v>0.506515351592911</v>
      </c>
      <c r="L585" s="25">
        <v>-0.0634846484070889</v>
      </c>
      <c r="M585" s="28">
        <v>0</v>
      </c>
      <c r="N585" s="28">
        <v>1</v>
      </c>
    </row>
    <row r="586" spans="7:14">
      <c r="G586" s="24">
        <v>585</v>
      </c>
      <c r="H586" s="25">
        <f>S0_</f>
        <v>100</v>
      </c>
      <c r="I586" s="25">
        <f ca="1">S0_*EXP((mu_-sigma_^2/2)*Dt_+sigma_*SQRT(Dt_)*_xlfn.NORM.INV(RAND(),0,1))</f>
        <v>119.647427242109</v>
      </c>
      <c r="J586" s="25">
        <f ca="1">MAX(k_-I586,0)*EXP(-rs_*T_)</f>
        <v>0</v>
      </c>
      <c r="K586" s="25">
        <v>19.0762937755726</v>
      </c>
      <c r="L586" s="25">
        <v>18.5062937755726</v>
      </c>
      <c r="M586" s="28">
        <v>0</v>
      </c>
      <c r="N586" s="28">
        <v>0</v>
      </c>
    </row>
    <row r="587" spans="7:14">
      <c r="G587" s="24">
        <v>586</v>
      </c>
      <c r="H587" s="25">
        <f>S0_</f>
        <v>100</v>
      </c>
      <c r="I587" s="25">
        <f ca="1">S0_*EXP((mu_-sigma_^2/2)*Dt_+sigma_*SQRT(Dt_)*_xlfn.NORM.INV(RAND(),0,1))</f>
        <v>106.621678190799</v>
      </c>
      <c r="J587" s="25">
        <f ca="1">MAX(k_-I587,0)*EXP(-rs_*T_)</f>
        <v>0</v>
      </c>
      <c r="K587" s="25">
        <v>6.42919181725027</v>
      </c>
      <c r="L587" s="25">
        <v>5.85919181725026</v>
      </c>
      <c r="M587" s="28">
        <v>0</v>
      </c>
      <c r="N587" s="28">
        <v>0</v>
      </c>
    </row>
    <row r="588" spans="7:14">
      <c r="G588" s="24">
        <v>587</v>
      </c>
      <c r="H588" s="25">
        <f>S0_</f>
        <v>100</v>
      </c>
      <c r="I588" s="25">
        <f ca="1">S0_*EXP((mu_-sigma_^2/2)*Dt_+sigma_*SQRT(Dt_)*_xlfn.NORM.INV(RAND(),0,1))</f>
        <v>94.2203011450368</v>
      </c>
      <c r="J588" s="25">
        <f ca="1">MAX(k_-I588,0)*EXP(-rs_*T_)</f>
        <v>2.69889544882767</v>
      </c>
      <c r="K588" s="25">
        <v>-5.61168808175125</v>
      </c>
      <c r="L588" s="25">
        <v>-3.48279263292358</v>
      </c>
      <c r="M588" s="28">
        <v>1</v>
      </c>
      <c r="N588" s="28">
        <v>1</v>
      </c>
    </row>
    <row r="589" spans="7:14">
      <c r="G589" s="24">
        <v>588</v>
      </c>
      <c r="H589" s="25">
        <f>S0_</f>
        <v>100</v>
      </c>
      <c r="I589" s="25">
        <f ca="1">S0_*EXP((mu_-sigma_^2/2)*Dt_+sigma_*SQRT(Dt_)*_xlfn.NORM.INV(RAND(),0,1))</f>
        <v>103.812509562547</v>
      </c>
      <c r="J589" s="25">
        <f ca="1">MAX(k_-I589,0)*EXP(-rs_*T_)</f>
        <v>0</v>
      </c>
      <c r="K589" s="25">
        <v>3.70168325557957</v>
      </c>
      <c r="L589" s="25">
        <v>3.13168325557957</v>
      </c>
      <c r="M589" s="28">
        <v>0</v>
      </c>
      <c r="N589" s="28">
        <v>0</v>
      </c>
    </row>
    <row r="590" spans="7:14">
      <c r="G590" s="24">
        <v>589</v>
      </c>
      <c r="H590" s="25">
        <f>S0_</f>
        <v>100</v>
      </c>
      <c r="I590" s="25">
        <f ca="1">S0_*EXP((mu_-sigma_^2/2)*Dt_+sigma_*SQRT(Dt_)*_xlfn.NORM.INV(RAND(),0,1))</f>
        <v>105.632117749697</v>
      </c>
      <c r="J590" s="25">
        <f ca="1">MAX(k_-I590,0)*EXP(-rs_*T_)</f>
        <v>0</v>
      </c>
      <c r="K590" s="25">
        <v>5.46839702969158</v>
      </c>
      <c r="L590" s="25">
        <v>4.89839702969158</v>
      </c>
      <c r="M590" s="28">
        <v>0</v>
      </c>
      <c r="N590" s="28">
        <v>0</v>
      </c>
    </row>
    <row r="591" spans="7:14">
      <c r="G591" s="24">
        <v>590</v>
      </c>
      <c r="H591" s="25">
        <f>S0_</f>
        <v>100</v>
      </c>
      <c r="I591" s="25">
        <f ca="1">S0_*EXP((mu_-sigma_^2/2)*Dt_+sigma_*SQRT(Dt_)*_xlfn.NORM.INV(RAND(),0,1))</f>
        <v>102.513819141107</v>
      </c>
      <c r="J591" s="25">
        <f ca="1">MAX(k_-I591,0)*EXP(-rs_*T_)</f>
        <v>0</v>
      </c>
      <c r="K591" s="25">
        <v>2.44074462490578</v>
      </c>
      <c r="L591" s="25">
        <v>1.87074462490578</v>
      </c>
      <c r="M591" s="28">
        <v>0</v>
      </c>
      <c r="N591" s="28">
        <v>0</v>
      </c>
    </row>
    <row r="592" spans="7:14">
      <c r="G592" s="24">
        <v>591</v>
      </c>
      <c r="H592" s="25">
        <f>S0_</f>
        <v>100</v>
      </c>
      <c r="I592" s="25">
        <f ca="1">S0_*EXP((mu_-sigma_^2/2)*Dt_+sigma_*SQRT(Dt_)*_xlfn.NORM.INV(RAND(),0,1))</f>
        <v>101.41941492591</v>
      </c>
      <c r="J592" s="25">
        <f ca="1">MAX(k_-I592,0)*EXP(-rs_*T_)</f>
        <v>0</v>
      </c>
      <c r="K592" s="25">
        <v>1.3781537797507</v>
      </c>
      <c r="L592" s="25">
        <v>0.808153779750701</v>
      </c>
      <c r="M592" s="28">
        <v>0</v>
      </c>
      <c r="N592" s="28">
        <v>0</v>
      </c>
    </row>
    <row r="593" spans="7:14">
      <c r="G593" s="24">
        <v>592</v>
      </c>
      <c r="H593" s="25">
        <f>S0_</f>
        <v>100</v>
      </c>
      <c r="I593" s="25">
        <f ca="1">S0_*EXP((mu_-sigma_^2/2)*Dt_+sigma_*SQRT(Dt_)*_xlfn.NORM.INV(RAND(),0,1))</f>
        <v>106.756952759865</v>
      </c>
      <c r="J593" s="25">
        <f ca="1">MAX(k_-I593,0)*EXP(-rs_*T_)</f>
        <v>0</v>
      </c>
      <c r="K593" s="25">
        <v>6.56053407331539</v>
      </c>
      <c r="L593" s="25">
        <v>5.99053407331539</v>
      </c>
      <c r="M593" s="28">
        <v>0</v>
      </c>
      <c r="N593" s="28">
        <v>0</v>
      </c>
    </row>
    <row r="594" spans="7:14">
      <c r="G594" s="24">
        <v>593</v>
      </c>
      <c r="H594" s="25">
        <f>S0_</f>
        <v>100</v>
      </c>
      <c r="I594" s="25">
        <f ca="1">S0_*EXP((mu_-sigma_^2/2)*Dt_+sigma_*SQRT(Dt_)*_xlfn.NORM.INV(RAND(),0,1))</f>
        <v>116.623291305677</v>
      </c>
      <c r="J594" s="25">
        <f ca="1">MAX(k_-I594,0)*EXP(-rs_*T_)</f>
        <v>0</v>
      </c>
      <c r="K594" s="25">
        <v>16.1400668167057</v>
      </c>
      <c r="L594" s="25">
        <v>15.5700668167057</v>
      </c>
      <c r="M594" s="28">
        <v>0</v>
      </c>
      <c r="N594" s="28">
        <v>0</v>
      </c>
    </row>
    <row r="595" spans="7:14">
      <c r="G595" s="24">
        <v>594</v>
      </c>
      <c r="H595" s="25">
        <f>S0_</f>
        <v>100</v>
      </c>
      <c r="I595" s="25">
        <f ca="1">S0_*EXP((mu_-sigma_^2/2)*Dt_+sigma_*SQRT(Dt_)*_xlfn.NORM.INV(RAND(),0,1))</f>
        <v>103.170133380938</v>
      </c>
      <c r="J595" s="25">
        <f ca="1">MAX(k_-I595,0)*EXP(-rs_*T_)</f>
        <v>0</v>
      </c>
      <c r="K595" s="25">
        <v>3.07798038579338</v>
      </c>
      <c r="L595" s="25">
        <v>2.50798038579338</v>
      </c>
      <c r="M595" s="28">
        <v>0</v>
      </c>
      <c r="N595" s="28">
        <v>0</v>
      </c>
    </row>
    <row r="596" spans="7:14">
      <c r="G596" s="24">
        <v>595</v>
      </c>
      <c r="H596" s="25">
        <f>S0_</f>
        <v>100</v>
      </c>
      <c r="I596" s="25">
        <f ca="1">S0_*EXP((mu_-sigma_^2/2)*Dt_+sigma_*SQRT(Dt_)*_xlfn.NORM.INV(RAND(),0,1))</f>
        <v>104.732034704752</v>
      </c>
      <c r="J596" s="25">
        <f ca="1">MAX(k_-I596,0)*EXP(-rs_*T_)</f>
        <v>0</v>
      </c>
      <c r="K596" s="25">
        <v>4.5944786089132</v>
      </c>
      <c r="L596" s="25">
        <v>4.0244786089132</v>
      </c>
      <c r="M596" s="28">
        <v>0</v>
      </c>
      <c r="N596" s="28">
        <v>0</v>
      </c>
    </row>
    <row r="597" spans="7:14">
      <c r="G597" s="24">
        <v>596</v>
      </c>
      <c r="H597" s="25">
        <f>S0_</f>
        <v>100</v>
      </c>
      <c r="I597" s="25">
        <f ca="1">S0_*EXP((mu_-sigma_^2/2)*Dt_+sigma_*SQRT(Dt_)*_xlfn.NORM.INV(RAND(),0,1))</f>
        <v>93.095862568286</v>
      </c>
      <c r="J597" s="25">
        <f ca="1">MAX(k_-I597,0)*EXP(-rs_*T_)</f>
        <v>3.79064758300594</v>
      </c>
      <c r="K597" s="25">
        <v>-6.70344021592953</v>
      </c>
      <c r="L597" s="25">
        <v>-3.48279263292358</v>
      </c>
      <c r="M597" s="28">
        <v>1</v>
      </c>
      <c r="N597" s="28">
        <v>1</v>
      </c>
    </row>
    <row r="598" spans="7:14">
      <c r="G598" s="24">
        <v>597</v>
      </c>
      <c r="H598" s="25">
        <f>S0_</f>
        <v>100</v>
      </c>
      <c r="I598" s="25">
        <f ca="1">S0_*EXP((mu_-sigma_^2/2)*Dt_+sigma_*SQRT(Dt_)*_xlfn.NORM.INV(RAND(),0,1))</f>
        <v>107.59210134232</v>
      </c>
      <c r="J598" s="25">
        <f ca="1">MAX(k_-I598,0)*EXP(-rs_*T_)</f>
        <v>0</v>
      </c>
      <c r="K598" s="25">
        <v>7.37140561943954</v>
      </c>
      <c r="L598" s="25">
        <v>6.80140561943954</v>
      </c>
      <c r="M598" s="28">
        <v>0</v>
      </c>
      <c r="N598" s="28">
        <v>0</v>
      </c>
    </row>
    <row r="599" spans="7:14">
      <c r="G599" s="24">
        <v>598</v>
      </c>
      <c r="H599" s="25">
        <f>S0_</f>
        <v>100</v>
      </c>
      <c r="I599" s="25">
        <f ca="1">S0_*EXP((mu_-sigma_^2/2)*Dt_+sigma_*SQRT(Dt_)*_xlfn.NORM.INV(RAND(),0,1))</f>
        <v>107.104406536586</v>
      </c>
      <c r="J599" s="25">
        <f ca="1">MAX(k_-I599,0)*EXP(-rs_*T_)</f>
        <v>0</v>
      </c>
      <c r="K599" s="25">
        <v>6.89788767368714</v>
      </c>
      <c r="L599" s="25">
        <v>6.32788767368714</v>
      </c>
      <c r="M599" s="28">
        <v>0</v>
      </c>
      <c r="N599" s="28">
        <v>0</v>
      </c>
    </row>
    <row r="600" spans="7:14">
      <c r="G600" s="24">
        <v>599</v>
      </c>
      <c r="H600" s="25">
        <f>S0_</f>
        <v>100</v>
      </c>
      <c r="I600" s="25">
        <f ca="1">S0_*EXP((mu_-sigma_^2/2)*Dt_+sigma_*SQRT(Dt_)*_xlfn.NORM.INV(RAND(),0,1))</f>
        <v>112.539238990208</v>
      </c>
      <c r="J600" s="25">
        <f ca="1">MAX(k_-I600,0)*EXP(-rs_*T_)</f>
        <v>0</v>
      </c>
      <c r="K600" s="25">
        <v>12.1747343177157</v>
      </c>
      <c r="L600" s="25">
        <v>11.6047343177157</v>
      </c>
      <c r="M600" s="28">
        <v>0</v>
      </c>
      <c r="N600" s="28">
        <v>0</v>
      </c>
    </row>
    <row r="601" spans="7:14">
      <c r="G601" s="24">
        <v>600</v>
      </c>
      <c r="H601" s="25">
        <f>S0_</f>
        <v>100</v>
      </c>
      <c r="I601" s="25">
        <f ca="1">S0_*EXP((mu_-sigma_^2/2)*Dt_+sigma_*SQRT(Dt_)*_xlfn.NORM.INV(RAND(),0,1))</f>
        <v>103.747137535619</v>
      </c>
      <c r="J601" s="25">
        <f ca="1">MAX(k_-I601,0)*EXP(-rs_*T_)</f>
        <v>0</v>
      </c>
      <c r="K601" s="25">
        <v>3.63821153610066</v>
      </c>
      <c r="L601" s="25">
        <v>3.06821153610066</v>
      </c>
      <c r="M601" s="28">
        <v>0</v>
      </c>
      <c r="N601" s="28">
        <v>0</v>
      </c>
    </row>
    <row r="602" spans="7:14">
      <c r="G602" s="24">
        <v>601</v>
      </c>
      <c r="H602" s="25">
        <f>S0_</f>
        <v>100</v>
      </c>
      <c r="I602" s="25">
        <f ca="1">S0_*EXP((mu_-sigma_^2/2)*Dt_+sigma_*SQRT(Dt_)*_xlfn.NORM.INV(RAND(),0,1))</f>
        <v>109.914804674379</v>
      </c>
      <c r="J602" s="25">
        <f ca="1">MAX(k_-I602,0)*EXP(-rs_*T_)</f>
        <v>0</v>
      </c>
      <c r="K602" s="25">
        <v>9.62659000413547</v>
      </c>
      <c r="L602" s="25">
        <v>9.05659000413547</v>
      </c>
      <c r="M602" s="28">
        <v>0</v>
      </c>
      <c r="N602" s="28">
        <v>0</v>
      </c>
    </row>
    <row r="603" spans="7:14">
      <c r="G603" s="24">
        <v>602</v>
      </c>
      <c r="H603" s="25">
        <f>S0_</f>
        <v>100</v>
      </c>
      <c r="I603" s="25">
        <f ca="1">S0_*EXP((mu_-sigma_^2/2)*Dt_+sigma_*SQRT(Dt_)*_xlfn.NORM.INV(RAND(),0,1))</f>
        <v>117.754710485186</v>
      </c>
      <c r="J603" s="25">
        <f ca="1">MAX(k_-I603,0)*EXP(-rs_*T_)</f>
        <v>0</v>
      </c>
      <c r="K603" s="25">
        <v>17.2385966336466</v>
      </c>
      <c r="L603" s="25">
        <v>16.6685966336466</v>
      </c>
      <c r="M603" s="28">
        <v>0</v>
      </c>
      <c r="N603" s="28">
        <v>0</v>
      </c>
    </row>
    <row r="604" spans="7:14">
      <c r="G604" s="24">
        <v>603</v>
      </c>
      <c r="H604" s="25">
        <f>S0_</f>
        <v>100</v>
      </c>
      <c r="I604" s="25">
        <f ca="1">S0_*EXP((mu_-sigma_^2/2)*Dt_+sigma_*SQRT(Dt_)*_xlfn.NORM.INV(RAND(),0,1))</f>
        <v>116.381608538331</v>
      </c>
      <c r="J604" s="25">
        <f ca="1">MAX(k_-I604,0)*EXP(-rs_*T_)</f>
        <v>0</v>
      </c>
      <c r="K604" s="25">
        <v>15.905409555296</v>
      </c>
      <c r="L604" s="25">
        <v>15.335409555296</v>
      </c>
      <c r="M604" s="28">
        <v>0</v>
      </c>
      <c r="N604" s="28">
        <v>0</v>
      </c>
    </row>
    <row r="605" spans="7:14">
      <c r="G605" s="24">
        <v>604</v>
      </c>
      <c r="H605" s="25">
        <f>S0_</f>
        <v>100</v>
      </c>
      <c r="I605" s="25">
        <f ca="1">S0_*EXP((mu_-sigma_^2/2)*Dt_+sigma_*SQRT(Dt_)*_xlfn.NORM.INV(RAND(),0,1))</f>
        <v>100.28798348796</v>
      </c>
      <c r="J605" s="25">
        <f ca="1">MAX(k_-I605,0)*EXP(-rs_*T_)</f>
        <v>0</v>
      </c>
      <c r="K605" s="25">
        <v>0.27961206071107</v>
      </c>
      <c r="L605" s="25">
        <v>-0.29038793928893</v>
      </c>
      <c r="M605" s="28">
        <v>0</v>
      </c>
      <c r="N605" s="28">
        <v>1</v>
      </c>
    </row>
    <row r="606" spans="7:14">
      <c r="G606" s="24">
        <v>605</v>
      </c>
      <c r="H606" s="25">
        <f>S0_</f>
        <v>100</v>
      </c>
      <c r="I606" s="25">
        <f ca="1">S0_*EXP((mu_-sigma_^2/2)*Dt_+sigma_*SQRT(Dt_)*_xlfn.NORM.INV(RAND(),0,1))</f>
        <v>99.0609988786813</v>
      </c>
      <c r="J606" s="25">
        <f ca="1">MAX(k_-I606,0)*EXP(-rs_*T_)</f>
        <v>0</v>
      </c>
      <c r="K606" s="25">
        <v>-0.911705182828</v>
      </c>
      <c r="L606" s="25">
        <v>-1.481705182828</v>
      </c>
      <c r="M606" s="28">
        <v>1</v>
      </c>
      <c r="N606" s="28">
        <v>1</v>
      </c>
    </row>
    <row r="607" spans="7:14">
      <c r="G607" s="24">
        <v>606</v>
      </c>
      <c r="H607" s="25">
        <f>S0_</f>
        <v>100</v>
      </c>
      <c r="I607" s="25">
        <f ca="1">S0_*EXP((mu_-sigma_^2/2)*Dt_+sigma_*SQRT(Dt_)*_xlfn.NORM.INV(RAND(),0,1))</f>
        <v>97.7386358508597</v>
      </c>
      <c r="J607" s="25">
        <f ca="1">MAX(k_-I607,0)*EXP(-rs_*T_)</f>
        <v>0</v>
      </c>
      <c r="K607" s="25">
        <v>-2.1956282779911</v>
      </c>
      <c r="L607" s="25">
        <v>-2.7656282779911</v>
      </c>
      <c r="M607" s="28">
        <v>1</v>
      </c>
      <c r="N607" s="28">
        <v>1</v>
      </c>
    </row>
    <row r="608" spans="7:14">
      <c r="G608" s="24">
        <v>607</v>
      </c>
      <c r="H608" s="25">
        <f>S0_</f>
        <v>100</v>
      </c>
      <c r="I608" s="25">
        <f ca="1">S0_*EXP((mu_-sigma_^2/2)*Dt_+sigma_*SQRT(Dt_)*_xlfn.NORM.INV(RAND(),0,1))</f>
        <v>93.4285086221673</v>
      </c>
      <c r="J608" s="25">
        <f ca="1">MAX(k_-I608,0)*EXP(-rs_*T_)</f>
        <v>3.46767125796706</v>
      </c>
      <c r="K608" s="25">
        <v>-6.38046389089064</v>
      </c>
      <c r="L608" s="25">
        <v>-3.48279263292358</v>
      </c>
      <c r="M608" s="28">
        <v>1</v>
      </c>
      <c r="N608" s="28">
        <v>1</v>
      </c>
    </row>
    <row r="609" spans="7:14">
      <c r="G609" s="24">
        <v>608</v>
      </c>
      <c r="H609" s="25">
        <f>S0_</f>
        <v>100</v>
      </c>
      <c r="I609" s="25">
        <f ca="1">S0_*EXP((mu_-sigma_^2/2)*Dt_+sigma_*SQRT(Dt_)*_xlfn.NORM.INV(RAND(),0,1))</f>
        <v>99.9836089983567</v>
      </c>
      <c r="J609" s="25">
        <f ca="1">MAX(k_-I609,0)*EXP(-rs_*T_)</f>
        <v>0</v>
      </c>
      <c r="K609" s="25">
        <v>-0.0159145296109883</v>
      </c>
      <c r="L609" s="25">
        <v>-0.585914529610988</v>
      </c>
      <c r="M609" s="28">
        <v>1</v>
      </c>
      <c r="N609" s="28">
        <v>1</v>
      </c>
    </row>
    <row r="610" spans="7:14">
      <c r="G610" s="24">
        <v>609</v>
      </c>
      <c r="H610" s="25">
        <f>S0_</f>
        <v>100</v>
      </c>
      <c r="I610" s="25">
        <f ca="1">S0_*EXP((mu_-sigma_^2/2)*Dt_+sigma_*SQRT(Dt_)*_xlfn.NORM.INV(RAND(),0,1))</f>
        <v>125.864052264059</v>
      </c>
      <c r="J610" s="25">
        <f ca="1">MAX(k_-I610,0)*EXP(-rs_*T_)</f>
        <v>0</v>
      </c>
      <c r="K610" s="25">
        <v>25.1122069641005</v>
      </c>
      <c r="L610" s="25">
        <v>24.5422069641005</v>
      </c>
      <c r="M610" s="28">
        <v>0</v>
      </c>
      <c r="N610" s="28">
        <v>0</v>
      </c>
    </row>
    <row r="611" spans="7:14">
      <c r="G611" s="24">
        <v>610</v>
      </c>
      <c r="H611" s="25">
        <f>S0_</f>
        <v>100</v>
      </c>
      <c r="I611" s="25">
        <f ca="1">S0_*EXP((mu_-sigma_^2/2)*Dt_+sigma_*SQRT(Dt_)*_xlfn.NORM.INV(RAND(),0,1))</f>
        <v>103.928498731933</v>
      </c>
      <c r="J611" s="25">
        <f ca="1">MAX(k_-I611,0)*EXP(-rs_*T_)</f>
        <v>0</v>
      </c>
      <c r="K611" s="25">
        <v>3.81430072160826</v>
      </c>
      <c r="L611" s="25">
        <v>3.24430072160826</v>
      </c>
      <c r="M611" s="28">
        <v>0</v>
      </c>
      <c r="N611" s="28">
        <v>0</v>
      </c>
    </row>
    <row r="612" spans="7:14">
      <c r="G612" s="24">
        <v>611</v>
      </c>
      <c r="H612" s="25">
        <f>S0_</f>
        <v>100</v>
      </c>
      <c r="I612" s="25">
        <f ca="1">S0_*EXP((mu_-sigma_^2/2)*Dt_+sigma_*SQRT(Dt_)*_xlfn.NORM.INV(RAND(),0,1))</f>
        <v>108.591456044582</v>
      </c>
      <c r="J612" s="25">
        <f ca="1">MAX(k_-I612,0)*EXP(-rs_*T_)</f>
        <v>0</v>
      </c>
      <c r="K612" s="25">
        <v>8.34170995758142</v>
      </c>
      <c r="L612" s="25">
        <v>7.77170995758142</v>
      </c>
      <c r="M612" s="28">
        <v>0</v>
      </c>
      <c r="N612" s="28">
        <v>0</v>
      </c>
    </row>
    <row r="613" spans="7:14">
      <c r="G613" s="24">
        <v>612</v>
      </c>
      <c r="H613" s="25">
        <f>S0_</f>
        <v>100</v>
      </c>
      <c r="I613" s="25">
        <f ca="1">S0_*EXP((mu_-sigma_^2/2)*Dt_+sigma_*SQRT(Dt_)*_xlfn.NORM.INV(RAND(),0,1))</f>
        <v>96.7762823256191</v>
      </c>
      <c r="J613" s="25">
        <f ca="1">MAX(k_-I613,0)*EXP(-rs_*T_)</f>
        <v>0.217214397930515</v>
      </c>
      <c r="K613" s="25">
        <v>-3.1300070308541</v>
      </c>
      <c r="L613" s="25">
        <v>-3.48279263292358</v>
      </c>
      <c r="M613" s="28">
        <v>1</v>
      </c>
      <c r="N613" s="28">
        <v>1</v>
      </c>
    </row>
    <row r="614" spans="7:14">
      <c r="G614" s="24">
        <v>613</v>
      </c>
      <c r="H614" s="25">
        <f>S0_</f>
        <v>100</v>
      </c>
      <c r="I614" s="25">
        <f ca="1">S0_*EXP((mu_-sigma_^2/2)*Dt_+sigma_*SQRT(Dt_)*_xlfn.NORM.INV(RAND(),0,1))</f>
        <v>122.211881003319</v>
      </c>
      <c r="J614" s="25">
        <f ca="1">MAX(k_-I614,0)*EXP(-rs_*T_)</f>
        <v>0</v>
      </c>
      <c r="K614" s="25">
        <v>21.5662011166147</v>
      </c>
      <c r="L614" s="25">
        <v>20.9962011166147</v>
      </c>
      <c r="M614" s="28">
        <v>0</v>
      </c>
      <c r="N614" s="28">
        <v>0</v>
      </c>
    </row>
    <row r="615" spans="7:14">
      <c r="G615" s="24">
        <v>614</v>
      </c>
      <c r="H615" s="25">
        <f>S0_</f>
        <v>100</v>
      </c>
      <c r="I615" s="25">
        <f ca="1">S0_*EXP((mu_-sigma_^2/2)*Dt_+sigma_*SQRT(Dt_)*_xlfn.NORM.INV(RAND(),0,1))</f>
        <v>98.3693650380065</v>
      </c>
      <c r="J615" s="25">
        <f ca="1">MAX(k_-I615,0)*EXP(-rs_*T_)</f>
        <v>0</v>
      </c>
      <c r="K615" s="25">
        <v>-1.58323383476077</v>
      </c>
      <c r="L615" s="25">
        <v>-2.15323383476077</v>
      </c>
      <c r="M615" s="28">
        <v>1</v>
      </c>
      <c r="N615" s="28">
        <v>1</v>
      </c>
    </row>
    <row r="616" spans="7:14">
      <c r="G616" s="24">
        <v>615</v>
      </c>
      <c r="H616" s="25">
        <f>S0_</f>
        <v>100</v>
      </c>
      <c r="I616" s="25">
        <f ca="1">S0_*EXP((mu_-sigma_^2/2)*Dt_+sigma_*SQRT(Dt_)*_xlfn.NORM.INV(RAND(),0,1))</f>
        <v>109.10100494498</v>
      </c>
      <c r="J616" s="25">
        <f ca="1">MAX(k_-I616,0)*EXP(-rs_*T_)</f>
        <v>0</v>
      </c>
      <c r="K616" s="25">
        <v>8.83644671864637</v>
      </c>
      <c r="L616" s="25">
        <v>8.26644671864637</v>
      </c>
      <c r="M616" s="28">
        <v>0</v>
      </c>
      <c r="N616" s="28">
        <v>0</v>
      </c>
    </row>
    <row r="617" spans="7:14">
      <c r="G617" s="24">
        <v>616</v>
      </c>
      <c r="H617" s="25">
        <f>S0_</f>
        <v>100</v>
      </c>
      <c r="I617" s="25">
        <f ca="1">S0_*EXP((mu_-sigma_^2/2)*Dt_+sigma_*SQRT(Dt_)*_xlfn.NORM.INV(RAND(),0,1))</f>
        <v>113.576134552393</v>
      </c>
      <c r="J617" s="25">
        <f ca="1">MAX(k_-I617,0)*EXP(-rs_*T_)</f>
        <v>0</v>
      </c>
      <c r="K617" s="25">
        <v>13.1814882359304</v>
      </c>
      <c r="L617" s="25">
        <v>12.6114882359304</v>
      </c>
      <c r="M617" s="28">
        <v>0</v>
      </c>
      <c r="N617" s="28">
        <v>0</v>
      </c>
    </row>
    <row r="618" spans="7:14">
      <c r="G618" s="24">
        <v>617</v>
      </c>
      <c r="H618" s="25">
        <f>S0_</f>
        <v>100</v>
      </c>
      <c r="I618" s="25">
        <f ca="1">S0_*EXP((mu_-sigma_^2/2)*Dt_+sigma_*SQRT(Dt_)*_xlfn.NORM.INV(RAND(),0,1))</f>
        <v>104.270852462785</v>
      </c>
      <c r="J618" s="25">
        <f ca="1">MAX(k_-I618,0)*EXP(-rs_*T_)</f>
        <v>0</v>
      </c>
      <c r="K618" s="25">
        <v>4.14670252996797</v>
      </c>
      <c r="L618" s="25">
        <v>3.57670252996797</v>
      </c>
      <c r="M618" s="28">
        <v>0</v>
      </c>
      <c r="N618" s="28">
        <v>0</v>
      </c>
    </row>
    <row r="619" spans="7:14">
      <c r="G619" s="24">
        <v>618</v>
      </c>
      <c r="H619" s="25">
        <f>S0_</f>
        <v>100</v>
      </c>
      <c r="I619" s="25">
        <f ca="1">S0_*EXP((mu_-sigma_^2/2)*Dt_+sigma_*SQRT(Dt_)*_xlfn.NORM.INV(RAND(),0,1))</f>
        <v>110.318855535056</v>
      </c>
      <c r="J619" s="25">
        <f ca="1">MAX(k_-I619,0)*EXP(-rs_*T_)</f>
        <v>0</v>
      </c>
      <c r="K619" s="25">
        <v>10.0188954609043</v>
      </c>
      <c r="L619" s="25">
        <v>9.44889546090432</v>
      </c>
      <c r="M619" s="28">
        <v>0</v>
      </c>
      <c r="N619" s="28">
        <v>0</v>
      </c>
    </row>
    <row r="620" spans="7:14">
      <c r="G620" s="24">
        <v>619</v>
      </c>
      <c r="H620" s="25">
        <f>S0_</f>
        <v>100</v>
      </c>
      <c r="I620" s="25">
        <f ca="1">S0_*EXP((mu_-sigma_^2/2)*Dt_+sigma_*SQRT(Dt_)*_xlfn.NORM.INV(RAND(),0,1))</f>
        <v>97.4999696437003</v>
      </c>
      <c r="J620" s="25">
        <f ca="1">MAX(k_-I620,0)*EXP(-rs_*T_)</f>
        <v>0</v>
      </c>
      <c r="K620" s="25">
        <v>-2.42735666797166</v>
      </c>
      <c r="L620" s="25">
        <v>-2.99735666797166</v>
      </c>
      <c r="M620" s="28">
        <v>1</v>
      </c>
      <c r="N620" s="28">
        <v>1</v>
      </c>
    </row>
    <row r="621" spans="7:14">
      <c r="G621" s="24">
        <v>620</v>
      </c>
      <c r="H621" s="25">
        <f>S0_</f>
        <v>100</v>
      </c>
      <c r="I621" s="25">
        <f ca="1">S0_*EXP((mu_-sigma_^2/2)*Dt_+sigma_*SQRT(Dt_)*_xlfn.NORM.INV(RAND(),0,1))</f>
        <v>92.2807609874246</v>
      </c>
      <c r="J621" s="25">
        <f ca="1">MAX(k_-I621,0)*EXP(-rs_*T_)</f>
        <v>4.5820548762784</v>
      </c>
      <c r="K621" s="25">
        <v>-7.49484750920198</v>
      </c>
      <c r="L621" s="25">
        <v>-3.48279263292358</v>
      </c>
      <c r="M621" s="28">
        <v>1</v>
      </c>
      <c r="N621" s="28">
        <v>1</v>
      </c>
    </row>
    <row r="622" spans="7:14">
      <c r="G622" s="24">
        <v>621</v>
      </c>
      <c r="H622" s="25">
        <f>S0_</f>
        <v>100</v>
      </c>
      <c r="I622" s="25">
        <f ca="1">S0_*EXP((mu_-sigma_^2/2)*Dt_+sigma_*SQRT(Dt_)*_xlfn.NORM.INV(RAND(),0,1))</f>
        <v>106.105018510282</v>
      </c>
      <c r="J622" s="25">
        <f ca="1">MAX(k_-I622,0)*EXP(-rs_*T_)</f>
        <v>0</v>
      </c>
      <c r="K622" s="25">
        <v>5.92755098020405</v>
      </c>
      <c r="L622" s="25">
        <v>5.35755098020405</v>
      </c>
      <c r="M622" s="28">
        <v>0</v>
      </c>
      <c r="N622" s="28">
        <v>0</v>
      </c>
    </row>
    <row r="623" spans="7:14">
      <c r="G623" s="24">
        <v>622</v>
      </c>
      <c r="H623" s="25">
        <f>S0_</f>
        <v>100</v>
      </c>
      <c r="I623" s="25">
        <f ca="1">S0_*EXP((mu_-sigma_^2/2)*Dt_+sigma_*SQRT(Dt_)*_xlfn.NORM.INV(RAND(),0,1))</f>
        <v>114.719017184078</v>
      </c>
      <c r="J623" s="25">
        <f ca="1">MAX(k_-I623,0)*EXP(-rs_*T_)</f>
        <v>0</v>
      </c>
      <c r="K623" s="25">
        <v>14.2911482725527</v>
      </c>
      <c r="L623" s="25">
        <v>13.7211482725527</v>
      </c>
      <c r="M623" s="28">
        <v>0</v>
      </c>
      <c r="N623" s="28">
        <v>0</v>
      </c>
    </row>
    <row r="624" spans="7:14">
      <c r="G624" s="24">
        <v>623</v>
      </c>
      <c r="H624" s="25">
        <f>S0_</f>
        <v>100</v>
      </c>
      <c r="I624" s="25">
        <f ca="1">S0_*EXP((mu_-sigma_^2/2)*Dt_+sigma_*SQRT(Dt_)*_xlfn.NORM.INV(RAND(),0,1))</f>
        <v>94.072879533965</v>
      </c>
      <c r="J624" s="25">
        <f ca="1">MAX(k_-I624,0)*EXP(-rs_*T_)</f>
        <v>2.84203164304888</v>
      </c>
      <c r="K624" s="25">
        <v>-5.75482427597247</v>
      </c>
      <c r="L624" s="25">
        <v>-3.48279263292358</v>
      </c>
      <c r="M624" s="28">
        <v>1</v>
      </c>
      <c r="N624" s="28">
        <v>1</v>
      </c>
    </row>
    <row r="625" spans="7:14">
      <c r="G625" s="24">
        <v>624</v>
      </c>
      <c r="H625" s="25">
        <f>S0_</f>
        <v>100</v>
      </c>
      <c r="I625" s="25">
        <f ca="1">S0_*EXP((mu_-sigma_^2/2)*Dt_+sigma_*SQRT(Dt_)*_xlfn.NORM.INV(RAND(),0,1))</f>
        <v>100.938097438742</v>
      </c>
      <c r="J625" s="25">
        <f ca="1">MAX(k_-I625,0)*EXP(-rs_*T_)</f>
        <v>0</v>
      </c>
      <c r="K625" s="25">
        <v>0.910827769510746</v>
      </c>
      <c r="L625" s="25">
        <v>0.340827769510746</v>
      </c>
      <c r="M625" s="28">
        <v>0</v>
      </c>
      <c r="N625" s="28">
        <v>0</v>
      </c>
    </row>
    <row r="626" spans="7:14">
      <c r="G626" s="24">
        <v>625</v>
      </c>
      <c r="H626" s="25">
        <f>S0_</f>
        <v>100</v>
      </c>
      <c r="I626" s="25">
        <f ca="1">S0_*EXP((mu_-sigma_^2/2)*Dt_+sigma_*SQRT(Dt_)*_xlfn.NORM.INV(RAND(),0,1))</f>
        <v>119.584532074627</v>
      </c>
      <c r="J626" s="25">
        <f ca="1">MAX(k_-I626,0)*EXP(-rs_*T_)</f>
        <v>0</v>
      </c>
      <c r="K626" s="25">
        <v>19.0152269154093</v>
      </c>
      <c r="L626" s="25">
        <v>18.4452269154093</v>
      </c>
      <c r="M626" s="28">
        <v>0</v>
      </c>
      <c r="N626" s="28">
        <v>0</v>
      </c>
    </row>
    <row r="627" spans="7:14">
      <c r="G627" s="24">
        <v>626</v>
      </c>
      <c r="H627" s="25">
        <f>S0_</f>
        <v>100</v>
      </c>
      <c r="I627" s="25">
        <f ca="1">S0_*EXP((mu_-sigma_^2/2)*Dt_+sigma_*SQRT(Dt_)*_xlfn.NORM.INV(RAND(),0,1))</f>
        <v>105.840516200181</v>
      </c>
      <c r="J627" s="25">
        <f ca="1">MAX(k_-I627,0)*EXP(-rs_*T_)</f>
        <v>0</v>
      </c>
      <c r="K627" s="25">
        <v>5.67073752011981</v>
      </c>
      <c r="L627" s="25">
        <v>5.10073752011981</v>
      </c>
      <c r="M627" s="28">
        <v>0</v>
      </c>
      <c r="N627" s="28">
        <v>0</v>
      </c>
    </row>
    <row r="628" spans="7:14">
      <c r="G628" s="24">
        <v>627</v>
      </c>
      <c r="H628" s="25">
        <f>S0_</f>
        <v>100</v>
      </c>
      <c r="I628" s="25">
        <f ca="1">S0_*EXP((mu_-sigma_^2/2)*Dt_+sigma_*SQRT(Dt_)*_xlfn.NORM.INV(RAND(),0,1))</f>
        <v>113.542275343983</v>
      </c>
      <c r="J628" s="25">
        <f ca="1">MAX(k_-I628,0)*EXP(-rs_*T_)</f>
        <v>0</v>
      </c>
      <c r="K628" s="25">
        <v>13.1486132849924</v>
      </c>
      <c r="L628" s="25">
        <v>12.5786132849924</v>
      </c>
      <c r="M628" s="28">
        <v>0</v>
      </c>
      <c r="N628" s="28">
        <v>0</v>
      </c>
    </row>
    <row r="629" spans="7:14">
      <c r="G629" s="24">
        <v>628</v>
      </c>
      <c r="H629" s="25">
        <f>S0_</f>
        <v>100</v>
      </c>
      <c r="I629" s="25">
        <f ca="1">S0_*EXP((mu_-sigma_^2/2)*Dt_+sigma_*SQRT(Dt_)*_xlfn.NORM.INV(RAND(),0,1))</f>
        <v>102.228441670676</v>
      </c>
      <c r="J629" s="25">
        <f ca="1">MAX(k_-I629,0)*EXP(-rs_*T_)</f>
        <v>0</v>
      </c>
      <c r="K629" s="25">
        <v>2.16366282708119</v>
      </c>
      <c r="L629" s="25">
        <v>1.59366282708119</v>
      </c>
      <c r="M629" s="28">
        <v>0</v>
      </c>
      <c r="N629" s="28">
        <v>0</v>
      </c>
    </row>
    <row r="630" spans="7:14">
      <c r="G630" s="24">
        <v>629</v>
      </c>
      <c r="H630" s="25">
        <f>S0_</f>
        <v>100</v>
      </c>
      <c r="I630" s="25">
        <f ca="1">S0_*EXP((mu_-sigma_^2/2)*Dt_+sigma_*SQRT(Dt_)*_xlfn.NORM.INV(RAND(),0,1))</f>
        <v>110.461083433421</v>
      </c>
      <c r="J630" s="25">
        <f ca="1">MAX(k_-I630,0)*EXP(-rs_*T_)</f>
        <v>0</v>
      </c>
      <c r="K630" s="25">
        <v>10.1569889190895</v>
      </c>
      <c r="L630" s="25">
        <v>9.58698891908953</v>
      </c>
      <c r="M630" s="28">
        <v>0</v>
      </c>
      <c r="N630" s="28">
        <v>0</v>
      </c>
    </row>
    <row r="631" spans="7:14">
      <c r="G631" s="24">
        <v>630</v>
      </c>
      <c r="H631" s="25">
        <f>S0_</f>
        <v>100</v>
      </c>
      <c r="I631" s="25">
        <f ca="1">S0_*EXP((mu_-sigma_^2/2)*Dt_+sigma_*SQRT(Dt_)*_xlfn.NORM.INV(RAND(),0,1))</f>
        <v>121.757725746934</v>
      </c>
      <c r="J631" s="25">
        <f ca="1">MAX(k_-I631,0)*EXP(-rs_*T_)</f>
        <v>0</v>
      </c>
      <c r="K631" s="25">
        <v>21.125247754947</v>
      </c>
      <c r="L631" s="25">
        <v>20.555247754947</v>
      </c>
      <c r="M631" s="28">
        <v>0</v>
      </c>
      <c r="N631" s="28">
        <v>0</v>
      </c>
    </row>
    <row r="632" spans="7:14">
      <c r="G632" s="24">
        <v>631</v>
      </c>
      <c r="H632" s="25">
        <f>S0_</f>
        <v>100</v>
      </c>
      <c r="I632" s="25">
        <f ca="1">S0_*EXP((mu_-sigma_^2/2)*Dt_+sigma_*SQRT(Dt_)*_xlfn.NORM.INV(RAND(),0,1))</f>
        <v>89.9972875897482</v>
      </c>
      <c r="J632" s="25">
        <f ca="1">MAX(k_-I632,0)*EXP(-rs_*T_)</f>
        <v>6.79914970635464</v>
      </c>
      <c r="K632" s="25">
        <v>-9.71194233927822</v>
      </c>
      <c r="L632" s="25">
        <v>-3.48279263292358</v>
      </c>
      <c r="M632" s="28">
        <v>1</v>
      </c>
      <c r="N632" s="28">
        <v>1</v>
      </c>
    </row>
    <row r="633" spans="7:14">
      <c r="G633" s="24">
        <v>632</v>
      </c>
      <c r="H633" s="25">
        <f>S0_</f>
        <v>100</v>
      </c>
      <c r="I633" s="25">
        <f ca="1">S0_*EXP((mu_-sigma_^2/2)*Dt_+sigma_*SQRT(Dt_)*_xlfn.NORM.INV(RAND(),0,1))</f>
        <v>102.03047591607</v>
      </c>
      <c r="J633" s="25">
        <f ca="1">MAX(k_-I633,0)*EXP(-rs_*T_)</f>
        <v>0</v>
      </c>
      <c r="K633" s="25">
        <v>1.97145176321939</v>
      </c>
      <c r="L633" s="25">
        <v>1.40145176321939</v>
      </c>
      <c r="M633" s="28">
        <v>0</v>
      </c>
      <c r="N633" s="28">
        <v>0</v>
      </c>
    </row>
    <row r="634" spans="7:14">
      <c r="G634" s="24">
        <v>633</v>
      </c>
      <c r="H634" s="25">
        <f>S0_</f>
        <v>100</v>
      </c>
      <c r="I634" s="25">
        <f ca="1">S0_*EXP((mu_-sigma_^2/2)*Dt_+sigma_*SQRT(Dt_)*_xlfn.NORM.INV(RAND(),0,1))</f>
        <v>102.927945156751</v>
      </c>
      <c r="J634" s="25">
        <f ca="1">MAX(k_-I634,0)*EXP(-rs_*T_)</f>
        <v>0</v>
      </c>
      <c r="K634" s="25">
        <v>2.84283236072972</v>
      </c>
      <c r="L634" s="25">
        <v>2.27283236072972</v>
      </c>
      <c r="M634" s="28">
        <v>0</v>
      </c>
      <c r="N634" s="28">
        <v>0</v>
      </c>
    </row>
    <row r="635" spans="7:14">
      <c r="G635" s="24">
        <v>634</v>
      </c>
      <c r="H635" s="25">
        <f>S0_</f>
        <v>100</v>
      </c>
      <c r="I635" s="25">
        <f ca="1">S0_*EXP((mu_-sigma_^2/2)*Dt_+sigma_*SQRT(Dt_)*_xlfn.NORM.INV(RAND(),0,1))</f>
        <v>104.561915700101</v>
      </c>
      <c r="J635" s="25">
        <f ca="1">MAX(k_-I635,0)*EXP(-rs_*T_)</f>
        <v>0</v>
      </c>
      <c r="K635" s="25">
        <v>4.42930481442393</v>
      </c>
      <c r="L635" s="25">
        <v>3.85930481442393</v>
      </c>
      <c r="M635" s="28">
        <v>0</v>
      </c>
      <c r="N635" s="28">
        <v>0</v>
      </c>
    </row>
    <row r="636" spans="7:14">
      <c r="G636" s="24">
        <v>635</v>
      </c>
      <c r="H636" s="25">
        <f>S0_</f>
        <v>100</v>
      </c>
      <c r="I636" s="25">
        <f ca="1">S0_*EXP((mu_-sigma_^2/2)*Dt_+sigma_*SQRT(Dt_)*_xlfn.NORM.INV(RAND(),0,1))</f>
        <v>94.7739647969791</v>
      </c>
      <c r="J636" s="25">
        <f ca="1">MAX(k_-I636,0)*EXP(-rs_*T_)</f>
        <v>2.16132631332925</v>
      </c>
      <c r="K636" s="25">
        <v>-5.07411894625283</v>
      </c>
      <c r="L636" s="25">
        <v>-3.48279263292358</v>
      </c>
      <c r="M636" s="28">
        <v>1</v>
      </c>
      <c r="N636" s="28">
        <v>1</v>
      </c>
    </row>
    <row r="637" spans="7:14">
      <c r="G637" s="24">
        <v>636</v>
      </c>
      <c r="H637" s="25">
        <f>S0_</f>
        <v>100</v>
      </c>
      <c r="I637" s="25">
        <f ca="1">S0_*EXP((mu_-sigma_^2/2)*Dt_+sigma_*SQRT(Dt_)*_xlfn.NORM.INV(RAND(),0,1))</f>
        <v>118.575025734486</v>
      </c>
      <c r="J637" s="25">
        <f ca="1">MAX(k_-I637,0)*EXP(-rs_*T_)</f>
        <v>0</v>
      </c>
      <c r="K637" s="25">
        <v>18.0350660385922</v>
      </c>
      <c r="L637" s="25">
        <v>17.4650660385922</v>
      </c>
      <c r="M637" s="28">
        <v>0</v>
      </c>
      <c r="N637" s="28">
        <v>0</v>
      </c>
    </row>
    <row r="638" spans="7:14">
      <c r="G638" s="24">
        <v>637</v>
      </c>
      <c r="H638" s="25">
        <f>S0_</f>
        <v>100</v>
      </c>
      <c r="I638" s="25">
        <f ca="1">S0_*EXP((mu_-sigma_^2/2)*Dt_+sigma_*SQRT(Dt_)*_xlfn.NORM.INV(RAND(),0,1))</f>
        <v>104.839429493051</v>
      </c>
      <c r="J638" s="25">
        <f ca="1">MAX(k_-I638,0)*EXP(-rs_*T_)</f>
        <v>0</v>
      </c>
      <c r="K638" s="25">
        <v>4.6987515249704</v>
      </c>
      <c r="L638" s="25">
        <v>4.1287515249704</v>
      </c>
      <c r="M638" s="28">
        <v>0</v>
      </c>
      <c r="N638" s="28">
        <v>0</v>
      </c>
    </row>
    <row r="639" spans="7:14">
      <c r="G639" s="24">
        <v>638</v>
      </c>
      <c r="H639" s="25">
        <f>S0_</f>
        <v>100</v>
      </c>
      <c r="I639" s="25">
        <f ca="1">S0_*EXP((mu_-sigma_^2/2)*Dt_+sigma_*SQRT(Dt_)*_xlfn.NORM.INV(RAND(),0,1))</f>
        <v>100.180784771893</v>
      </c>
      <c r="J639" s="25">
        <f ca="1">MAX(k_-I639,0)*EXP(-rs_*T_)</f>
        <v>0</v>
      </c>
      <c r="K639" s="25">
        <v>0.175529517238649</v>
      </c>
      <c r="L639" s="25">
        <v>-0.39447048276135</v>
      </c>
      <c r="M639" s="28">
        <v>0</v>
      </c>
      <c r="N639" s="28">
        <v>1</v>
      </c>
    </row>
    <row r="640" spans="7:14">
      <c r="G640" s="24">
        <v>639</v>
      </c>
      <c r="H640" s="25">
        <f>S0_</f>
        <v>100</v>
      </c>
      <c r="I640" s="25">
        <f ca="1">S0_*EXP((mu_-sigma_^2/2)*Dt_+sigma_*SQRT(Dt_)*_xlfn.NORM.INV(RAND(),0,1))</f>
        <v>90.0239183153448</v>
      </c>
      <c r="J640" s="25">
        <f ca="1">MAX(k_-I640,0)*EXP(-rs_*T_)</f>
        <v>6.77329311257895</v>
      </c>
      <c r="K640" s="25">
        <v>-9.68608574550253</v>
      </c>
      <c r="L640" s="25">
        <v>-3.48279263292358</v>
      </c>
      <c r="M640" s="28">
        <v>1</v>
      </c>
      <c r="N640" s="28">
        <v>1</v>
      </c>
    </row>
    <row r="641" spans="7:14">
      <c r="G641" s="24">
        <v>640</v>
      </c>
      <c r="H641" s="25">
        <f>S0_</f>
        <v>100</v>
      </c>
      <c r="I641" s="25">
        <f ca="1">S0_*EXP((mu_-sigma_^2/2)*Dt_+sigma_*SQRT(Dt_)*_xlfn.NORM.INV(RAND(),0,1))</f>
        <v>112.568524125892</v>
      </c>
      <c r="J641" s="25">
        <f ca="1">MAX(k_-I641,0)*EXP(-rs_*T_)</f>
        <v>0</v>
      </c>
      <c r="K641" s="25">
        <v>12.2031681602068</v>
      </c>
      <c r="L641" s="25">
        <v>11.6331681602068</v>
      </c>
      <c r="M641" s="28">
        <v>0</v>
      </c>
      <c r="N641" s="28">
        <v>0</v>
      </c>
    </row>
    <row r="642" spans="7:14">
      <c r="G642" s="24">
        <v>641</v>
      </c>
      <c r="H642" s="25">
        <f>S0_</f>
        <v>100</v>
      </c>
      <c r="I642" s="25">
        <f ca="1">S0_*EXP((mu_-sigma_^2/2)*Dt_+sigma_*SQRT(Dt_)*_xlfn.NORM.INV(RAND(),0,1))</f>
        <v>90.4224046797891</v>
      </c>
      <c r="J642" s="25">
        <f ca="1">MAX(k_-I642,0)*EXP(-rs_*T_)</f>
        <v>6.38639039702101</v>
      </c>
      <c r="K642" s="25">
        <v>-9.2991830299446</v>
      </c>
      <c r="L642" s="25">
        <v>-3.48279263292358</v>
      </c>
      <c r="M642" s="28">
        <v>1</v>
      </c>
      <c r="N642" s="28">
        <v>1</v>
      </c>
    </row>
    <row r="643" spans="7:14">
      <c r="G643" s="24">
        <v>642</v>
      </c>
      <c r="H643" s="25">
        <f>S0_</f>
        <v>100</v>
      </c>
      <c r="I643" s="25">
        <f ca="1">S0_*EXP((mu_-sigma_^2/2)*Dt_+sigma_*SQRT(Dt_)*_xlfn.NORM.INV(RAND(),0,1))</f>
        <v>107.028686104527</v>
      </c>
      <c r="J643" s="25">
        <f ca="1">MAX(k_-I643,0)*EXP(-rs_*T_)</f>
        <v>0</v>
      </c>
      <c r="K643" s="25">
        <v>6.82436836813262</v>
      </c>
      <c r="L643" s="25">
        <v>6.25436836813262</v>
      </c>
      <c r="M643" s="28">
        <v>0</v>
      </c>
      <c r="N643" s="28">
        <v>0</v>
      </c>
    </row>
    <row r="644" spans="7:14">
      <c r="G644" s="24">
        <v>643</v>
      </c>
      <c r="H644" s="25">
        <f>S0_</f>
        <v>100</v>
      </c>
      <c r="I644" s="25">
        <f ca="1">S0_*EXP((mu_-sigma_^2/2)*Dt_+sigma_*SQRT(Dt_)*_xlfn.NORM.INV(RAND(),0,1))</f>
        <v>93.2254654946434</v>
      </c>
      <c r="J644" s="25">
        <f ca="1">MAX(k_-I644,0)*EXP(-rs_*T_)</f>
        <v>3.66481209997281</v>
      </c>
      <c r="K644" s="25">
        <v>-6.57760473289639</v>
      </c>
      <c r="L644" s="25">
        <v>-3.48279263292358</v>
      </c>
      <c r="M644" s="28">
        <v>1</v>
      </c>
      <c r="N644" s="28">
        <v>1</v>
      </c>
    </row>
    <row r="645" spans="7:14">
      <c r="G645" s="24">
        <v>644</v>
      </c>
      <c r="H645" s="25">
        <f>S0_</f>
        <v>100</v>
      </c>
      <c r="I645" s="25">
        <f ca="1">S0_*EXP((mu_-sigma_^2/2)*Dt_+sigma_*SQRT(Dt_)*_xlfn.NORM.INV(RAND(),0,1))</f>
        <v>119.494851655103</v>
      </c>
      <c r="J645" s="25">
        <f ca="1">MAX(k_-I645,0)*EXP(-rs_*T_)</f>
        <v>0</v>
      </c>
      <c r="K645" s="25">
        <v>18.9281534269739</v>
      </c>
      <c r="L645" s="25">
        <v>18.3581534269739</v>
      </c>
      <c r="M645" s="28">
        <v>0</v>
      </c>
      <c r="N645" s="28">
        <v>0</v>
      </c>
    </row>
    <row r="646" spans="7:14">
      <c r="G646" s="24">
        <v>645</v>
      </c>
      <c r="H646" s="25">
        <f>S0_</f>
        <v>100</v>
      </c>
      <c r="I646" s="25">
        <f ca="1">S0_*EXP((mu_-sigma_^2/2)*Dt_+sigma_*SQRT(Dt_)*_xlfn.NORM.INV(RAND(),0,1))</f>
        <v>87.6252109686794</v>
      </c>
      <c r="J646" s="25">
        <f ca="1">MAX(k_-I646,0)*EXP(-rs_*T_)</f>
        <v>9.10227214188111</v>
      </c>
      <c r="K646" s="25">
        <v>-12.0150647748047</v>
      </c>
      <c r="L646" s="25">
        <v>-3.48279263292358</v>
      </c>
      <c r="M646" s="28">
        <v>1</v>
      </c>
      <c r="N646" s="28">
        <v>1</v>
      </c>
    </row>
    <row r="647" spans="7:14">
      <c r="G647" s="24">
        <v>646</v>
      </c>
      <c r="H647" s="25">
        <f>S0_</f>
        <v>100</v>
      </c>
      <c r="I647" s="25">
        <f ca="1">S0_*EXP((mu_-sigma_^2/2)*Dt_+sigma_*SQRT(Dt_)*_xlfn.NORM.INV(RAND(),0,1))</f>
        <v>104.985931442038</v>
      </c>
      <c r="J647" s="25">
        <f ca="1">MAX(k_-I647,0)*EXP(-rs_*T_)</f>
        <v>0</v>
      </c>
      <c r="K647" s="25">
        <v>4.84099479087664</v>
      </c>
      <c r="L647" s="25">
        <v>4.27099479087664</v>
      </c>
      <c r="M647" s="28">
        <v>0</v>
      </c>
      <c r="N647" s="28">
        <v>0</v>
      </c>
    </row>
    <row r="648" spans="7:14">
      <c r="G648" s="24">
        <v>647</v>
      </c>
      <c r="H648" s="25">
        <f>S0_</f>
        <v>100</v>
      </c>
      <c r="I648" s="25">
        <f ca="1">S0_*EXP((mu_-sigma_^2/2)*Dt_+sigma_*SQRT(Dt_)*_xlfn.NORM.INV(RAND(),0,1))</f>
        <v>94.644815950056</v>
      </c>
      <c r="J648" s="25">
        <f ca="1">MAX(k_-I648,0)*EXP(-rs_*T_)</f>
        <v>2.28672091661863</v>
      </c>
      <c r="K648" s="25">
        <v>-5.19951354954221</v>
      </c>
      <c r="L648" s="25">
        <v>-3.48279263292358</v>
      </c>
      <c r="M648" s="28">
        <v>1</v>
      </c>
      <c r="N648" s="28">
        <v>1</v>
      </c>
    </row>
    <row r="649" spans="7:14">
      <c r="G649" s="24">
        <v>648</v>
      </c>
      <c r="H649" s="25">
        <f>S0_</f>
        <v>100</v>
      </c>
      <c r="I649" s="25">
        <f ca="1">S0_*EXP((mu_-sigma_^2/2)*Dt_+sigma_*SQRT(Dt_)*_xlfn.NORM.INV(RAND(),0,1))</f>
        <v>100.757631447953</v>
      </c>
      <c r="J649" s="25">
        <f ca="1">MAX(k_-I649,0)*EXP(-rs_*T_)</f>
        <v>0</v>
      </c>
      <c r="K649" s="25">
        <v>0.735607766689964</v>
      </c>
      <c r="L649" s="25">
        <v>0.165607766689964</v>
      </c>
      <c r="M649" s="28">
        <v>0</v>
      </c>
      <c r="N649" s="28">
        <v>0</v>
      </c>
    </row>
    <row r="650" spans="7:14">
      <c r="G650" s="24">
        <v>649</v>
      </c>
      <c r="H650" s="25">
        <f>S0_</f>
        <v>100</v>
      </c>
      <c r="I650" s="25">
        <f ca="1">S0_*EXP((mu_-sigma_^2/2)*Dt_+sigma_*SQRT(Dt_)*_xlfn.NORM.INV(RAND(),0,1))</f>
        <v>112.921789195753</v>
      </c>
      <c r="J650" s="25">
        <f ca="1">MAX(k_-I650,0)*EXP(-rs_*T_)</f>
        <v>0</v>
      </c>
      <c r="K650" s="25">
        <v>12.5461641245267</v>
      </c>
      <c r="L650" s="25">
        <v>11.9761641245267</v>
      </c>
      <c r="M650" s="28">
        <v>0</v>
      </c>
      <c r="N650" s="28">
        <v>0</v>
      </c>
    </row>
    <row r="651" spans="7:14">
      <c r="G651" s="24">
        <v>650</v>
      </c>
      <c r="H651" s="25">
        <f>S0_</f>
        <v>100</v>
      </c>
      <c r="I651" s="25">
        <f ca="1">S0_*EXP((mu_-sigma_^2/2)*Dt_+sigma_*SQRT(Dt_)*_xlfn.NORM.INV(RAND(),0,1))</f>
        <v>105.310844504492</v>
      </c>
      <c r="J651" s="25">
        <f ca="1">MAX(k_-I651,0)*EXP(-rs_*T_)</f>
        <v>0</v>
      </c>
      <c r="K651" s="25">
        <v>5.15646291576255</v>
      </c>
      <c r="L651" s="25">
        <v>4.58646291576255</v>
      </c>
      <c r="M651" s="28">
        <v>0</v>
      </c>
      <c r="N651" s="28">
        <v>0</v>
      </c>
    </row>
    <row r="652" spans="7:14">
      <c r="G652" s="24">
        <v>651</v>
      </c>
      <c r="H652" s="25">
        <f>S0_</f>
        <v>100</v>
      </c>
      <c r="I652" s="25">
        <f ca="1">S0_*EXP((mu_-sigma_^2/2)*Dt_+sigma_*SQRT(Dt_)*_xlfn.NORM.INV(RAND(),0,1))</f>
        <v>96.4875772559646</v>
      </c>
      <c r="J652" s="25">
        <f ca="1">MAX(k_-I652,0)*EXP(-rs_*T_)</f>
        <v>0.497527064589577</v>
      </c>
      <c r="K652" s="25">
        <v>-3.41031969751316</v>
      </c>
      <c r="L652" s="25">
        <v>-3.48279263292358</v>
      </c>
      <c r="M652" s="28">
        <v>1</v>
      </c>
      <c r="N652" s="28">
        <v>1</v>
      </c>
    </row>
    <row r="653" spans="7:14">
      <c r="G653" s="24">
        <v>652</v>
      </c>
      <c r="H653" s="25">
        <f>S0_</f>
        <v>100</v>
      </c>
      <c r="I653" s="25">
        <f ca="1">S0_*EXP((mu_-sigma_^2/2)*Dt_+sigma_*SQRT(Dt_)*_xlfn.NORM.INV(RAND(),0,1))</f>
        <v>116.849747212737</v>
      </c>
      <c r="J653" s="25">
        <f ca="1">MAX(k_-I653,0)*EXP(-rs_*T_)</f>
        <v>0</v>
      </c>
      <c r="K653" s="25">
        <v>16.359939849295</v>
      </c>
      <c r="L653" s="25">
        <v>15.789939849295</v>
      </c>
      <c r="M653" s="28">
        <v>0</v>
      </c>
      <c r="N653" s="28">
        <v>0</v>
      </c>
    </row>
    <row r="654" spans="7:14">
      <c r="G654" s="24">
        <v>653</v>
      </c>
      <c r="H654" s="25">
        <f>S0_</f>
        <v>100</v>
      </c>
      <c r="I654" s="25">
        <f ca="1">S0_*EXP((mu_-sigma_^2/2)*Dt_+sigma_*SQRT(Dt_)*_xlfn.NORM.INV(RAND(),0,1))</f>
        <v>99.4089418507138</v>
      </c>
      <c r="J654" s="25">
        <f ca="1">MAX(k_-I654,0)*EXP(-rs_*T_)</f>
        <v>0</v>
      </c>
      <c r="K654" s="25">
        <v>-0.573876607623387</v>
      </c>
      <c r="L654" s="25">
        <v>-1.14387660762339</v>
      </c>
      <c r="M654" s="28">
        <v>1</v>
      </c>
      <c r="N654" s="28">
        <v>1</v>
      </c>
    </row>
    <row r="655" spans="7:14">
      <c r="G655" s="24">
        <v>654</v>
      </c>
      <c r="H655" s="25">
        <f>S0_</f>
        <v>100</v>
      </c>
      <c r="I655" s="25">
        <f ca="1">S0_*EXP((mu_-sigma_^2/2)*Dt_+sigma_*SQRT(Dt_)*_xlfn.NORM.INV(RAND(),0,1))</f>
        <v>102.118677015013</v>
      </c>
      <c r="J655" s="25">
        <f ca="1">MAX(k_-I655,0)*EXP(-rs_*T_)</f>
        <v>0</v>
      </c>
      <c r="K655" s="25">
        <v>2.05708893362447</v>
      </c>
      <c r="L655" s="25">
        <v>1.48708893362447</v>
      </c>
      <c r="M655" s="28">
        <v>0</v>
      </c>
      <c r="N655" s="28">
        <v>0</v>
      </c>
    </row>
    <row r="656" spans="7:14">
      <c r="G656" s="24">
        <v>655</v>
      </c>
      <c r="H656" s="25">
        <f>S0_</f>
        <v>100</v>
      </c>
      <c r="I656" s="25">
        <f ca="1">S0_*EXP((mu_-sigma_^2/2)*Dt_+sigma_*SQRT(Dt_)*_xlfn.NORM.INV(RAND(),0,1))</f>
        <v>108.97301793462</v>
      </c>
      <c r="J656" s="25">
        <f ca="1">MAX(k_-I656,0)*EXP(-rs_*T_)</f>
        <v>0</v>
      </c>
      <c r="K656" s="25">
        <v>8.71218017835062</v>
      </c>
      <c r="L656" s="25">
        <v>8.14218017835062</v>
      </c>
      <c r="M656" s="28">
        <v>0</v>
      </c>
      <c r="N656" s="28">
        <v>0</v>
      </c>
    </row>
    <row r="657" spans="7:14">
      <c r="G657" s="24">
        <v>656</v>
      </c>
      <c r="H657" s="25">
        <f>S0_</f>
        <v>100</v>
      </c>
      <c r="I657" s="25">
        <f ca="1">S0_*EXP((mu_-sigma_^2/2)*Dt_+sigma_*SQRT(Dt_)*_xlfn.NORM.INV(RAND(),0,1))</f>
        <v>109.81175756033</v>
      </c>
      <c r="J657" s="25">
        <f ca="1">MAX(k_-I657,0)*EXP(-rs_*T_)</f>
        <v>0</v>
      </c>
      <c r="K657" s="25">
        <v>9.5265383792534</v>
      </c>
      <c r="L657" s="25">
        <v>8.95653837925339</v>
      </c>
      <c r="M657" s="28">
        <v>0</v>
      </c>
      <c r="N657" s="28">
        <v>0</v>
      </c>
    </row>
    <row r="658" spans="7:14">
      <c r="G658" s="24">
        <v>657</v>
      </c>
      <c r="H658" s="25">
        <f>S0_</f>
        <v>100</v>
      </c>
      <c r="I658" s="25">
        <f ca="1">S0_*EXP((mu_-sigma_^2/2)*Dt_+sigma_*SQRT(Dt_)*_xlfn.NORM.INV(RAND(),0,1))</f>
        <v>96.8979248115105</v>
      </c>
      <c r="J658" s="25">
        <f ca="1">MAX(k_-I658,0)*EXP(-rs_*T_)</f>
        <v>0.0991079523455356</v>
      </c>
      <c r="K658" s="25">
        <v>-3.01190058526912</v>
      </c>
      <c r="L658" s="25">
        <v>-3.48279263292358</v>
      </c>
      <c r="M658" s="28">
        <v>1</v>
      </c>
      <c r="N658" s="28">
        <v>1</v>
      </c>
    </row>
    <row r="659" spans="7:14">
      <c r="G659" s="24">
        <v>658</v>
      </c>
      <c r="H659" s="25">
        <f>S0_</f>
        <v>100</v>
      </c>
      <c r="I659" s="25">
        <f ca="1">S0_*EXP((mu_-sigma_^2/2)*Dt_+sigma_*SQRT(Dt_)*_xlfn.NORM.INV(RAND(),0,1))</f>
        <v>93.0978355709583</v>
      </c>
      <c r="J659" s="25">
        <f ca="1">MAX(k_-I659,0)*EXP(-rs_*T_)</f>
        <v>3.78873193378974</v>
      </c>
      <c r="K659" s="25">
        <v>-6.70152456671332</v>
      </c>
      <c r="L659" s="25">
        <v>-3.48279263292358</v>
      </c>
      <c r="M659" s="28">
        <v>1</v>
      </c>
      <c r="N659" s="28">
        <v>1</v>
      </c>
    </row>
    <row r="660" spans="7:14">
      <c r="G660" s="24">
        <v>659</v>
      </c>
      <c r="H660" s="25">
        <f>S0_</f>
        <v>100</v>
      </c>
      <c r="I660" s="25">
        <f ca="1">S0_*EXP((mu_-sigma_^2/2)*Dt_+sigma_*SQRT(Dt_)*_xlfn.NORM.INV(RAND(),0,1))</f>
        <v>117.01071818104</v>
      </c>
      <c r="J660" s="25">
        <f ca="1">MAX(k_-I660,0)*EXP(-rs_*T_)</f>
        <v>0</v>
      </c>
      <c r="K660" s="25">
        <v>16.516231532824</v>
      </c>
      <c r="L660" s="25">
        <v>15.946231532824</v>
      </c>
      <c r="M660" s="28">
        <v>0</v>
      </c>
      <c r="N660" s="28">
        <v>0</v>
      </c>
    </row>
    <row r="661" spans="7:14">
      <c r="G661" s="24">
        <v>660</v>
      </c>
      <c r="H661" s="25">
        <f>S0_</f>
        <v>100</v>
      </c>
      <c r="I661" s="25">
        <f ca="1">S0_*EXP((mu_-sigma_^2/2)*Dt_+sigma_*SQRT(Dt_)*_xlfn.NORM.INV(RAND(),0,1))</f>
        <v>104.406887240585</v>
      </c>
      <c r="J661" s="25">
        <f ca="1">MAX(k_-I661,0)*EXP(-rs_*T_)</f>
        <v>0</v>
      </c>
      <c r="K661" s="25">
        <v>4.27878289616731</v>
      </c>
      <c r="L661" s="25">
        <v>3.70878289616731</v>
      </c>
      <c r="M661" s="28">
        <v>0</v>
      </c>
      <c r="N661" s="28">
        <v>0</v>
      </c>
    </row>
    <row r="662" spans="7:14">
      <c r="G662" s="24">
        <v>661</v>
      </c>
      <c r="H662" s="25">
        <f>S0_</f>
        <v>100</v>
      </c>
      <c r="I662" s="25">
        <f ca="1">S0_*EXP((mu_-sigma_^2/2)*Dt_+sigma_*SQRT(Dt_)*_xlfn.NORM.INV(RAND(),0,1))</f>
        <v>105.031625830923</v>
      </c>
      <c r="J662" s="25">
        <f ca="1">MAX(k_-I662,0)*EXP(-rs_*T_)</f>
        <v>0</v>
      </c>
      <c r="K662" s="25">
        <v>4.88536088397969</v>
      </c>
      <c r="L662" s="25">
        <v>4.31536088397969</v>
      </c>
      <c r="M662" s="28">
        <v>0</v>
      </c>
      <c r="N662" s="28">
        <v>0</v>
      </c>
    </row>
    <row r="663" spans="7:14">
      <c r="G663" s="24">
        <v>662</v>
      </c>
      <c r="H663" s="25">
        <f>S0_</f>
        <v>100</v>
      </c>
      <c r="I663" s="25">
        <f ca="1">S0_*EXP((mu_-sigma_^2/2)*Dt_+sigma_*SQRT(Dt_)*_xlfn.NORM.INV(RAND(),0,1))</f>
        <v>102.939901400879</v>
      </c>
      <c r="J663" s="25">
        <f ca="1">MAX(k_-I663,0)*EXP(-rs_*T_)</f>
        <v>0</v>
      </c>
      <c r="K663" s="25">
        <v>2.85444104733412</v>
      </c>
      <c r="L663" s="25">
        <v>2.28444104733412</v>
      </c>
      <c r="M663" s="28">
        <v>0</v>
      </c>
      <c r="N663" s="28">
        <v>0</v>
      </c>
    </row>
    <row r="664" spans="7:14">
      <c r="G664" s="24">
        <v>663</v>
      </c>
      <c r="H664" s="25">
        <f>S0_</f>
        <v>100</v>
      </c>
      <c r="I664" s="25">
        <f ca="1">S0_*EXP((mu_-sigma_^2/2)*Dt_+sigma_*SQRT(Dt_)*_xlfn.NORM.INV(RAND(),0,1))</f>
        <v>98.8196410250178</v>
      </c>
      <c r="J664" s="25">
        <f ca="1">MAX(k_-I664,0)*EXP(-rs_*T_)</f>
        <v>0</v>
      </c>
      <c r="K664" s="25">
        <v>-1.14604697551117</v>
      </c>
      <c r="L664" s="25">
        <v>-1.71604697551117</v>
      </c>
      <c r="M664" s="28">
        <v>1</v>
      </c>
      <c r="N664" s="28">
        <v>1</v>
      </c>
    </row>
    <row r="665" spans="7:14">
      <c r="G665" s="24">
        <v>664</v>
      </c>
      <c r="H665" s="25">
        <f>S0_</f>
        <v>100</v>
      </c>
      <c r="I665" s="25">
        <f ca="1">S0_*EXP((mu_-sigma_^2/2)*Dt_+sigma_*SQRT(Dt_)*_xlfn.NORM.INV(RAND(),0,1))</f>
        <v>87.7511532976976</v>
      </c>
      <c r="J665" s="25">
        <f ca="1">MAX(k_-I665,0)*EXP(-rs_*T_)</f>
        <v>8.97999084583538</v>
      </c>
      <c r="K665" s="25">
        <v>-11.892783478759</v>
      </c>
      <c r="L665" s="25">
        <v>-3.48279263292358</v>
      </c>
      <c r="M665" s="28">
        <v>1</v>
      </c>
      <c r="N665" s="28">
        <v>1</v>
      </c>
    </row>
    <row r="666" spans="7:14">
      <c r="G666" s="24">
        <v>665</v>
      </c>
      <c r="H666" s="25">
        <f>S0_</f>
        <v>100</v>
      </c>
      <c r="I666" s="25">
        <f ca="1">S0_*EXP((mu_-sigma_^2/2)*Dt_+sigma_*SQRT(Dt_)*_xlfn.NORM.INV(RAND(),0,1))</f>
        <v>95.463407455421</v>
      </c>
      <c r="J666" s="25">
        <f ca="1">MAX(k_-I666,0)*EXP(-rs_*T_)</f>
        <v>1.49192514788504</v>
      </c>
      <c r="K666" s="25">
        <v>-4.40471778080862</v>
      </c>
      <c r="L666" s="25">
        <v>-3.48279263292358</v>
      </c>
      <c r="M666" s="28">
        <v>1</v>
      </c>
      <c r="N666" s="28">
        <v>1</v>
      </c>
    </row>
    <row r="667" spans="7:14">
      <c r="G667" s="24">
        <v>666</v>
      </c>
      <c r="H667" s="25">
        <f>S0_</f>
        <v>100</v>
      </c>
      <c r="I667" s="25">
        <f ca="1">S0_*EXP((mu_-sigma_^2/2)*Dt_+sigma_*SQRT(Dt_)*_xlfn.NORM.INV(RAND(),0,1))</f>
        <v>104.441958669271</v>
      </c>
      <c r="J667" s="25">
        <f ca="1">MAX(k_-I667,0)*EXP(-rs_*T_)</f>
        <v>0</v>
      </c>
      <c r="K667" s="25">
        <v>4.31283482920159</v>
      </c>
      <c r="L667" s="25">
        <v>3.74283482920159</v>
      </c>
      <c r="M667" s="28">
        <v>0</v>
      </c>
      <c r="N667" s="28">
        <v>0</v>
      </c>
    </row>
    <row r="668" spans="7:14">
      <c r="G668" s="24">
        <v>667</v>
      </c>
      <c r="H668" s="25">
        <f>S0_</f>
        <v>100</v>
      </c>
      <c r="I668" s="25">
        <f ca="1">S0_*EXP((mu_-sigma_^2/2)*Dt_+sigma_*SQRT(Dt_)*_xlfn.NORM.INV(RAND(),0,1))</f>
        <v>107.522761283474</v>
      </c>
      <c r="J668" s="25">
        <f ca="1">MAX(k_-I668,0)*EXP(-rs_*T_)</f>
        <v>0</v>
      </c>
      <c r="K668" s="25">
        <v>7.30408121524845</v>
      </c>
      <c r="L668" s="25">
        <v>6.73408121524845</v>
      </c>
      <c r="M668" s="28">
        <v>0</v>
      </c>
      <c r="N668" s="28">
        <v>0</v>
      </c>
    </row>
    <row r="669" spans="7:14">
      <c r="G669" s="24">
        <v>668</v>
      </c>
      <c r="H669" s="25">
        <f>S0_</f>
        <v>100</v>
      </c>
      <c r="I669" s="25">
        <f ca="1">S0_*EXP((mu_-sigma_^2/2)*Dt_+sigma_*SQRT(Dt_)*_xlfn.NORM.INV(RAND(),0,1))</f>
        <v>103.968255830817</v>
      </c>
      <c r="J669" s="25">
        <f ca="1">MAX(k_-I669,0)*EXP(-rs_*T_)</f>
        <v>0</v>
      </c>
      <c r="K669" s="25">
        <v>3.85290211652006</v>
      </c>
      <c r="L669" s="25">
        <v>3.28290211652006</v>
      </c>
      <c r="M669" s="28">
        <v>0</v>
      </c>
      <c r="N669" s="28">
        <v>0</v>
      </c>
    </row>
    <row r="670" spans="7:14">
      <c r="G670" s="24">
        <v>669</v>
      </c>
      <c r="H670" s="25">
        <f>S0_</f>
        <v>100</v>
      </c>
      <c r="I670" s="25">
        <f ca="1">S0_*EXP((mu_-sigma_^2/2)*Dt_+sigma_*SQRT(Dt_)*_xlfn.NORM.INV(RAND(),0,1))</f>
        <v>110.558431028765</v>
      </c>
      <c r="J670" s="25">
        <f ca="1">MAX(k_-I670,0)*EXP(-rs_*T_)</f>
        <v>0</v>
      </c>
      <c r="K670" s="25">
        <v>10.2515067052724</v>
      </c>
      <c r="L670" s="25">
        <v>9.68150670527236</v>
      </c>
      <c r="M670" s="28">
        <v>0</v>
      </c>
      <c r="N670" s="28">
        <v>0</v>
      </c>
    </row>
    <row r="671" spans="7:14">
      <c r="G671" s="24">
        <v>670</v>
      </c>
      <c r="H671" s="25">
        <f>S0_</f>
        <v>100</v>
      </c>
      <c r="I671" s="25">
        <f ca="1">S0_*EXP((mu_-sigma_^2/2)*Dt_+sigma_*SQRT(Dt_)*_xlfn.NORM.INV(RAND(),0,1))</f>
        <v>114.734075684228</v>
      </c>
      <c r="J671" s="25">
        <f ca="1">MAX(k_-I671,0)*EXP(-rs_*T_)</f>
        <v>0</v>
      </c>
      <c r="K671" s="25">
        <v>14.3057690353193</v>
      </c>
      <c r="L671" s="25">
        <v>13.7357690353193</v>
      </c>
      <c r="M671" s="28">
        <v>0</v>
      </c>
      <c r="N671" s="28">
        <v>0</v>
      </c>
    </row>
    <row r="672" spans="7:14">
      <c r="G672" s="24">
        <v>671</v>
      </c>
      <c r="H672" s="25">
        <f>S0_</f>
        <v>100</v>
      </c>
      <c r="I672" s="25">
        <f ca="1">S0_*EXP((mu_-sigma_^2/2)*Dt_+sigma_*SQRT(Dt_)*_xlfn.NORM.INV(RAND(),0,1))</f>
        <v>110.194802042073</v>
      </c>
      <c r="J672" s="25">
        <f ca="1">MAX(k_-I672,0)*EXP(-rs_*T_)</f>
        <v>0</v>
      </c>
      <c r="K672" s="25">
        <v>9.89844809408851</v>
      </c>
      <c r="L672" s="25">
        <v>9.32844809408851</v>
      </c>
      <c r="M672" s="28">
        <v>0</v>
      </c>
      <c r="N672" s="28">
        <v>0</v>
      </c>
    </row>
    <row r="673" spans="7:14">
      <c r="G673" s="24">
        <v>672</v>
      </c>
      <c r="H673" s="25">
        <f>S0_</f>
        <v>100</v>
      </c>
      <c r="I673" s="25">
        <f ca="1">S0_*EXP((mu_-sigma_^2/2)*Dt_+sigma_*SQRT(Dt_)*_xlfn.NORM.INV(RAND(),0,1))</f>
        <v>123.970486319501</v>
      </c>
      <c r="J673" s="25">
        <f ca="1">MAX(k_-I673,0)*EXP(-rs_*T_)</f>
        <v>0</v>
      </c>
      <c r="K673" s="25">
        <v>23.2736853196792</v>
      </c>
      <c r="L673" s="25">
        <v>22.7036853196792</v>
      </c>
      <c r="M673" s="28">
        <v>0</v>
      </c>
      <c r="N673" s="28">
        <v>0</v>
      </c>
    </row>
    <row r="674" spans="7:14">
      <c r="G674" s="24">
        <v>673</v>
      </c>
      <c r="H674" s="25">
        <f>S0_</f>
        <v>100</v>
      </c>
      <c r="I674" s="25">
        <f ca="1">S0_*EXP((mu_-sigma_^2/2)*Dt_+sigma_*SQRT(Dt_)*_xlfn.NORM.INV(RAND(),0,1))</f>
        <v>113.15480458489</v>
      </c>
      <c r="J674" s="25">
        <f ca="1">MAX(k_-I674,0)*EXP(-rs_*T_)</f>
        <v>0</v>
      </c>
      <c r="K674" s="25">
        <v>12.7724059608058</v>
      </c>
      <c r="L674" s="25">
        <v>12.2024059608058</v>
      </c>
      <c r="M674" s="28">
        <v>0</v>
      </c>
      <c r="N674" s="28">
        <v>0</v>
      </c>
    </row>
    <row r="675" spans="7:14">
      <c r="G675" s="24">
        <v>674</v>
      </c>
      <c r="H675" s="25">
        <f>S0_</f>
        <v>100</v>
      </c>
      <c r="I675" s="25">
        <f ca="1">S0_*EXP((mu_-sigma_^2/2)*Dt_+sigma_*SQRT(Dt_)*_xlfn.NORM.INV(RAND(),0,1))</f>
        <v>96.9681041700156</v>
      </c>
      <c r="J675" s="25">
        <f ca="1">MAX(k_-I675,0)*EXP(-rs_*T_)</f>
        <v>0.0309686461997994</v>
      </c>
      <c r="K675" s="25">
        <v>-2.94376127912338</v>
      </c>
      <c r="L675" s="25">
        <v>-3.48279263292358</v>
      </c>
      <c r="M675" s="28">
        <v>1</v>
      </c>
      <c r="N675" s="28">
        <v>1</v>
      </c>
    </row>
    <row r="676" spans="7:14">
      <c r="G676" s="24">
        <v>675</v>
      </c>
      <c r="H676" s="25">
        <f>S0_</f>
        <v>100</v>
      </c>
      <c r="I676" s="25">
        <f ca="1">S0_*EXP((mu_-sigma_^2/2)*Dt_+sigma_*SQRT(Dt_)*_xlfn.NORM.INV(RAND(),0,1))</f>
        <v>92.7023426539376</v>
      </c>
      <c r="J676" s="25">
        <f ca="1">MAX(k_-I676,0)*EXP(-rs_*T_)</f>
        <v>4.17272821881347</v>
      </c>
      <c r="K676" s="25">
        <v>-7.08552085173705</v>
      </c>
      <c r="L676" s="25">
        <v>-3.48279263292358</v>
      </c>
      <c r="M676" s="28">
        <v>1</v>
      </c>
      <c r="N676" s="28">
        <v>1</v>
      </c>
    </row>
    <row r="677" spans="7:14">
      <c r="G677" s="24">
        <v>676</v>
      </c>
      <c r="H677" s="25">
        <f>S0_</f>
        <v>100</v>
      </c>
      <c r="I677" s="25">
        <f ca="1">S0_*EXP((mu_-sigma_^2/2)*Dt_+sigma_*SQRT(Dt_)*_xlfn.NORM.INV(RAND(),0,1))</f>
        <v>97.8217905068867</v>
      </c>
      <c r="J677" s="25">
        <f ca="1">MAX(k_-I677,0)*EXP(-rs_*T_)</f>
        <v>0</v>
      </c>
      <c r="K677" s="25">
        <v>-2.11489085483492</v>
      </c>
      <c r="L677" s="25">
        <v>-2.68489085483492</v>
      </c>
      <c r="M677" s="28">
        <v>1</v>
      </c>
      <c r="N677" s="28">
        <v>1</v>
      </c>
    </row>
    <row r="678" spans="7:14">
      <c r="G678" s="24">
        <v>677</v>
      </c>
      <c r="H678" s="25">
        <f>S0_</f>
        <v>100</v>
      </c>
      <c r="I678" s="25">
        <f ca="1">S0_*EXP((mu_-sigma_^2/2)*Dt_+sigma_*SQRT(Dt_)*_xlfn.NORM.INV(RAND(),0,1))</f>
        <v>108.759717155238</v>
      </c>
      <c r="J678" s="25">
        <f ca="1">MAX(k_-I678,0)*EXP(-rs_*T_)</f>
        <v>0</v>
      </c>
      <c r="K678" s="25">
        <v>8.50507986542353</v>
      </c>
      <c r="L678" s="25">
        <v>7.93507986542353</v>
      </c>
      <c r="M678" s="28">
        <v>0</v>
      </c>
      <c r="N678" s="28">
        <v>0</v>
      </c>
    </row>
    <row r="679" spans="7:14">
      <c r="G679" s="24">
        <v>678</v>
      </c>
      <c r="H679" s="25">
        <f>S0_</f>
        <v>100</v>
      </c>
      <c r="I679" s="25">
        <f ca="1">S0_*EXP((mu_-sigma_^2/2)*Dt_+sigma_*SQRT(Dt_)*_xlfn.NORM.INV(RAND(),0,1))</f>
        <v>109.160554344824</v>
      </c>
      <c r="J679" s="25">
        <f ca="1">MAX(k_-I679,0)*EXP(-rs_*T_)</f>
        <v>0</v>
      </c>
      <c r="K679" s="25">
        <v>8.89426506969939</v>
      </c>
      <c r="L679" s="25">
        <v>8.32426506969939</v>
      </c>
      <c r="M679" s="28">
        <v>0</v>
      </c>
      <c r="N679" s="28">
        <v>0</v>
      </c>
    </row>
    <row r="680" spans="7:14">
      <c r="G680" s="24">
        <v>679</v>
      </c>
      <c r="H680" s="25">
        <f>S0_</f>
        <v>100</v>
      </c>
      <c r="I680" s="25">
        <f ca="1">S0_*EXP((mu_-sigma_^2/2)*Dt_+sigma_*SQRT(Dt_)*_xlfn.NORM.INV(RAND(),0,1))</f>
        <v>89.0441086817482</v>
      </c>
      <c r="J680" s="25">
        <f ca="1">MAX(k_-I680,0)*EXP(-rs_*T_)</f>
        <v>7.72462054004814</v>
      </c>
      <c r="K680" s="25">
        <v>-10.6374131729717</v>
      </c>
      <c r="L680" s="25">
        <v>-3.48279263292358</v>
      </c>
      <c r="M680" s="28">
        <v>1</v>
      </c>
      <c r="N680" s="28">
        <v>1</v>
      </c>
    </row>
    <row r="681" spans="7:14">
      <c r="G681" s="24">
        <v>680</v>
      </c>
      <c r="H681" s="25">
        <f>S0_</f>
        <v>100</v>
      </c>
      <c r="I681" s="25">
        <f ca="1">S0_*EXP((mu_-sigma_^2/2)*Dt_+sigma_*SQRT(Dt_)*_xlfn.NORM.INV(RAND(),0,1))</f>
        <v>100.350682135977</v>
      </c>
      <c r="J681" s="25">
        <f ca="1">MAX(k_-I681,0)*EXP(-rs_*T_)</f>
        <v>0</v>
      </c>
      <c r="K681" s="25">
        <v>0.340488114057026</v>
      </c>
      <c r="L681" s="25">
        <v>-0.229511885942974</v>
      </c>
      <c r="M681" s="28">
        <v>0</v>
      </c>
      <c r="N681" s="28">
        <v>1</v>
      </c>
    </row>
    <row r="682" spans="7:14">
      <c r="G682" s="24">
        <v>681</v>
      </c>
      <c r="H682" s="25">
        <f>S0_</f>
        <v>100</v>
      </c>
      <c r="I682" s="25">
        <f ca="1">S0_*EXP((mu_-sigma_^2/2)*Dt_+sigma_*SQRT(Dt_)*_xlfn.NORM.INV(RAND(),0,1))</f>
        <v>93.1810560474921</v>
      </c>
      <c r="J682" s="25">
        <f ca="1">MAX(k_-I682,0)*EXP(-rs_*T_)</f>
        <v>3.70793060347106</v>
      </c>
      <c r="K682" s="25">
        <v>-6.62072323639465</v>
      </c>
      <c r="L682" s="25">
        <v>-3.48279263292358</v>
      </c>
      <c r="M682" s="28">
        <v>1</v>
      </c>
      <c r="N682" s="28">
        <v>1</v>
      </c>
    </row>
    <row r="683" spans="7:14">
      <c r="G683" s="24">
        <v>682</v>
      </c>
      <c r="H683" s="25">
        <f>S0_</f>
        <v>100</v>
      </c>
      <c r="I683" s="25">
        <f ca="1">S0_*EXP((mu_-sigma_^2/2)*Dt_+sigma_*SQRT(Dt_)*_xlfn.NORM.INV(RAND(),0,1))</f>
        <v>101.714055398238</v>
      </c>
      <c r="J683" s="25">
        <f ca="1">MAX(k_-I683,0)*EXP(-rs_*T_)</f>
        <v>0</v>
      </c>
      <c r="K683" s="25">
        <v>1.66422931213733</v>
      </c>
      <c r="L683" s="25">
        <v>1.09422931213733</v>
      </c>
      <c r="M683" s="28">
        <v>0</v>
      </c>
      <c r="N683" s="28">
        <v>0</v>
      </c>
    </row>
    <row r="684" spans="7:14">
      <c r="G684" s="24">
        <v>683</v>
      </c>
      <c r="H684" s="25">
        <f>S0_</f>
        <v>100</v>
      </c>
      <c r="I684" s="25">
        <f ca="1">S0_*EXP((mu_-sigma_^2/2)*Dt_+sigma_*SQRT(Dt_)*_xlfn.NORM.INV(RAND(),0,1))</f>
        <v>110.300346306753</v>
      </c>
      <c r="J684" s="25">
        <f ca="1">MAX(k_-I684,0)*EXP(-rs_*T_)</f>
        <v>0</v>
      </c>
      <c r="K684" s="25">
        <v>10.0009242796242</v>
      </c>
      <c r="L684" s="25">
        <v>9.43092427962421</v>
      </c>
      <c r="M684" s="28">
        <v>0</v>
      </c>
      <c r="N684" s="28">
        <v>0</v>
      </c>
    </row>
    <row r="685" spans="7:14">
      <c r="G685" s="24">
        <v>684</v>
      </c>
      <c r="H685" s="25">
        <f>S0_</f>
        <v>100</v>
      </c>
      <c r="I685" s="25">
        <f ca="1">S0_*EXP((mu_-sigma_^2/2)*Dt_+sigma_*SQRT(Dt_)*_xlfn.NORM.INV(RAND(),0,1))</f>
        <v>101.188055575873</v>
      </c>
      <c r="J685" s="25">
        <f ca="1">MAX(k_-I685,0)*EXP(-rs_*T_)</f>
        <v>0</v>
      </c>
      <c r="K685" s="25">
        <v>1.15351984296848</v>
      </c>
      <c r="L685" s="25">
        <v>0.58351984296848</v>
      </c>
      <c r="M685" s="28">
        <v>0</v>
      </c>
      <c r="N685" s="28">
        <v>0</v>
      </c>
    </row>
    <row r="686" spans="7:14">
      <c r="G686" s="24">
        <v>685</v>
      </c>
      <c r="H686" s="25">
        <f>S0_</f>
        <v>100</v>
      </c>
      <c r="I686" s="25">
        <f ca="1">S0_*EXP((mu_-sigma_^2/2)*Dt_+sigma_*SQRT(Dt_)*_xlfn.NORM.INV(RAND(),0,1))</f>
        <v>102.887405587793</v>
      </c>
      <c r="J686" s="25">
        <f ca="1">MAX(k_-I686,0)*EXP(-rs_*T_)</f>
        <v>0</v>
      </c>
      <c r="K686" s="25">
        <v>2.80347124146215</v>
      </c>
      <c r="L686" s="25">
        <v>2.23347124146215</v>
      </c>
      <c r="M686" s="28">
        <v>0</v>
      </c>
      <c r="N686" s="28">
        <v>0</v>
      </c>
    </row>
    <row r="687" spans="7:14">
      <c r="G687" s="24">
        <v>686</v>
      </c>
      <c r="H687" s="25">
        <f>S0_</f>
        <v>100</v>
      </c>
      <c r="I687" s="25">
        <f ca="1">S0_*EXP((mu_-sigma_^2/2)*Dt_+sigma_*SQRT(Dt_)*_xlfn.NORM.INV(RAND(),0,1))</f>
        <v>97.261169271971</v>
      </c>
      <c r="J687" s="25">
        <f ca="1">MAX(k_-I687,0)*EXP(-rs_*T_)</f>
        <v>0</v>
      </c>
      <c r="K687" s="25">
        <v>-2.6592153224759</v>
      </c>
      <c r="L687" s="25">
        <v>-3.2292153224759</v>
      </c>
      <c r="M687" s="28">
        <v>1</v>
      </c>
      <c r="N687" s="28">
        <v>1</v>
      </c>
    </row>
    <row r="688" spans="7:14">
      <c r="G688" s="24">
        <v>687</v>
      </c>
      <c r="H688" s="25">
        <f>S0_</f>
        <v>100</v>
      </c>
      <c r="I688" s="25">
        <f ca="1">S0_*EXP((mu_-sigma_^2/2)*Dt_+sigma_*SQRT(Dt_)*_xlfn.NORM.INV(RAND(),0,1))</f>
        <v>102.731556300398</v>
      </c>
      <c r="J688" s="25">
        <f ca="1">MAX(k_-I688,0)*EXP(-rs_*T_)</f>
        <v>0</v>
      </c>
      <c r="K688" s="25">
        <v>2.65215235607194</v>
      </c>
      <c r="L688" s="25">
        <v>2.08215235607194</v>
      </c>
      <c r="M688" s="28">
        <v>0</v>
      </c>
      <c r="N688" s="28">
        <v>0</v>
      </c>
    </row>
    <row r="689" spans="7:14">
      <c r="G689" s="24">
        <v>688</v>
      </c>
      <c r="H689" s="25">
        <f>S0_</f>
        <v>100</v>
      </c>
      <c r="I689" s="25">
        <f ca="1">S0_*EXP((mu_-sigma_^2/2)*Dt_+sigma_*SQRT(Dt_)*_xlfn.NORM.INV(RAND(),0,1))</f>
        <v>103.509778864929</v>
      </c>
      <c r="J689" s="25">
        <f ca="1">MAX(k_-I689,0)*EXP(-rs_*T_)</f>
        <v>0</v>
      </c>
      <c r="K689" s="25">
        <v>3.40775267365207</v>
      </c>
      <c r="L689" s="25">
        <v>2.83775267365207</v>
      </c>
      <c r="M689" s="28">
        <v>0</v>
      </c>
      <c r="N689" s="28">
        <v>0</v>
      </c>
    </row>
    <row r="690" spans="7:14">
      <c r="G690" s="24">
        <v>689</v>
      </c>
      <c r="H690" s="25">
        <f>S0_</f>
        <v>100</v>
      </c>
      <c r="I690" s="25">
        <f ca="1">S0_*EXP((mu_-sigma_^2/2)*Dt_+sigma_*SQRT(Dt_)*_xlfn.NORM.INV(RAND(),0,1))</f>
        <v>97.9416580149495</v>
      </c>
      <c r="J690" s="25">
        <f ca="1">MAX(k_-I690,0)*EXP(-rs_*T_)</f>
        <v>0</v>
      </c>
      <c r="K690" s="25">
        <v>-1.9985077900308</v>
      </c>
      <c r="L690" s="25">
        <v>-2.5685077900308</v>
      </c>
      <c r="M690" s="28">
        <v>1</v>
      </c>
      <c r="N690" s="28">
        <v>1</v>
      </c>
    </row>
    <row r="691" spans="7:14">
      <c r="G691" s="24">
        <v>690</v>
      </c>
      <c r="H691" s="25">
        <f>S0_</f>
        <v>100</v>
      </c>
      <c r="I691" s="25">
        <f ca="1">S0_*EXP((mu_-sigma_^2/2)*Dt_+sigma_*SQRT(Dt_)*_xlfn.NORM.INV(RAND(),0,1))</f>
        <v>112.835421399371</v>
      </c>
      <c r="J691" s="25">
        <f ca="1">MAX(k_-I691,0)*EXP(-rs_*T_)</f>
        <v>0</v>
      </c>
      <c r="K691" s="25">
        <v>12.4623069641855</v>
      </c>
      <c r="L691" s="25">
        <v>11.8923069641855</v>
      </c>
      <c r="M691" s="28">
        <v>0</v>
      </c>
      <c r="N691" s="28">
        <v>0</v>
      </c>
    </row>
    <row r="692" spans="7:14">
      <c r="G692" s="24">
        <v>691</v>
      </c>
      <c r="H692" s="25">
        <f>S0_</f>
        <v>100</v>
      </c>
      <c r="I692" s="25">
        <f ca="1">S0_*EXP((mu_-sigma_^2/2)*Dt_+sigma_*SQRT(Dt_)*_xlfn.NORM.INV(RAND(),0,1))</f>
        <v>95.2322319964485</v>
      </c>
      <c r="J692" s="25">
        <f ca="1">MAX(k_-I692,0)*EXP(-rs_*T_)</f>
        <v>1.71638053915428</v>
      </c>
      <c r="K692" s="25">
        <v>-4.62917317207786</v>
      </c>
      <c r="L692" s="25">
        <v>-3.48279263292358</v>
      </c>
      <c r="M692" s="28">
        <v>1</v>
      </c>
      <c r="N692" s="28">
        <v>1</v>
      </c>
    </row>
    <row r="693" spans="7:14">
      <c r="G693" s="24">
        <v>692</v>
      </c>
      <c r="H693" s="25">
        <f>S0_</f>
        <v>100</v>
      </c>
      <c r="I693" s="25">
        <f ca="1">S0_*EXP((mu_-sigma_^2/2)*Dt_+sigma_*SQRT(Dt_)*_xlfn.NORM.INV(RAND(),0,1))</f>
        <v>102.714616884704</v>
      </c>
      <c r="J693" s="25">
        <f ca="1">MAX(k_-I693,0)*EXP(-rs_*T_)</f>
        <v>0</v>
      </c>
      <c r="K693" s="25">
        <v>2.63570535432545</v>
      </c>
      <c r="L693" s="25">
        <v>2.06570535432545</v>
      </c>
      <c r="M693" s="28">
        <v>0</v>
      </c>
      <c r="N693" s="28">
        <v>0</v>
      </c>
    </row>
    <row r="694" spans="7:14">
      <c r="G694" s="24">
        <v>693</v>
      </c>
      <c r="H694" s="25">
        <f>S0_</f>
        <v>100</v>
      </c>
      <c r="I694" s="25">
        <f ca="1">S0_*EXP((mu_-sigma_^2/2)*Dt_+sigma_*SQRT(Dt_)*_xlfn.NORM.INV(RAND(),0,1))</f>
        <v>97.9099888877465</v>
      </c>
      <c r="J694" s="25">
        <f ca="1">MAX(k_-I694,0)*EXP(-rs_*T_)</f>
        <v>0</v>
      </c>
      <c r="K694" s="25">
        <v>-2.02925632350019</v>
      </c>
      <c r="L694" s="25">
        <v>-2.59925632350019</v>
      </c>
      <c r="M694" s="28">
        <v>1</v>
      </c>
      <c r="N694" s="28">
        <v>1</v>
      </c>
    </row>
    <row r="695" spans="7:14">
      <c r="G695" s="24">
        <v>694</v>
      </c>
      <c r="H695" s="25">
        <f>S0_</f>
        <v>100</v>
      </c>
      <c r="I695" s="25">
        <f ca="1">S0_*EXP((mu_-sigma_^2/2)*Dt_+sigma_*SQRT(Dt_)*_xlfn.NORM.INV(RAND(),0,1))</f>
        <v>102.118526230271</v>
      </c>
      <c r="J695" s="25">
        <f ca="1">MAX(k_-I695,0)*EXP(-rs_*T_)</f>
        <v>0</v>
      </c>
      <c r="K695" s="25">
        <v>2.0569425320633</v>
      </c>
      <c r="L695" s="25">
        <v>1.4869425320633</v>
      </c>
      <c r="M695" s="28">
        <v>0</v>
      </c>
      <c r="N695" s="28">
        <v>0</v>
      </c>
    </row>
    <row r="696" spans="7:14">
      <c r="G696" s="24">
        <v>695</v>
      </c>
      <c r="H696" s="25">
        <f>S0_</f>
        <v>100</v>
      </c>
      <c r="I696" s="25">
        <f ca="1">S0_*EXP((mu_-sigma_^2/2)*Dt_+sigma_*SQRT(Dt_)*_xlfn.NORM.INV(RAND(),0,1))</f>
        <v>108.106079328433</v>
      </c>
      <c r="J696" s="25">
        <f ca="1">MAX(k_-I696,0)*EXP(-rs_*T_)</f>
        <v>0</v>
      </c>
      <c r="K696" s="25">
        <v>7.87044271658483</v>
      </c>
      <c r="L696" s="25">
        <v>7.30044271658483</v>
      </c>
      <c r="M696" s="28">
        <v>0</v>
      </c>
      <c r="N696" s="28">
        <v>0</v>
      </c>
    </row>
    <row r="697" spans="7:14">
      <c r="G697" s="24">
        <v>696</v>
      </c>
      <c r="H697" s="25">
        <f>S0_</f>
        <v>100</v>
      </c>
      <c r="I697" s="25">
        <f ca="1">S0_*EXP((mu_-sigma_^2/2)*Dt_+sigma_*SQRT(Dt_)*_xlfn.NORM.INV(RAND(),0,1))</f>
        <v>105.888103478411</v>
      </c>
      <c r="J697" s="25">
        <f ca="1">MAX(k_-I697,0)*EXP(-rs_*T_)</f>
        <v>0</v>
      </c>
      <c r="K697" s="25">
        <v>5.71694147793614</v>
      </c>
      <c r="L697" s="25">
        <v>5.14694147793614</v>
      </c>
      <c r="M697" s="28">
        <v>0</v>
      </c>
      <c r="N697" s="28">
        <v>0</v>
      </c>
    </row>
    <row r="698" spans="7:14">
      <c r="G698" s="24">
        <v>697</v>
      </c>
      <c r="H698" s="25">
        <f>S0_</f>
        <v>100</v>
      </c>
      <c r="I698" s="25">
        <f ca="1">S0_*EXP((mu_-sigma_^2/2)*Dt_+sigma_*SQRT(Dt_)*_xlfn.NORM.INV(RAND(),0,1))</f>
        <v>92.2692645576383</v>
      </c>
      <c r="J698" s="25">
        <f ca="1">MAX(k_-I698,0)*EXP(-rs_*T_)</f>
        <v>4.5932171149406</v>
      </c>
      <c r="K698" s="25">
        <v>-7.50600974786418</v>
      </c>
      <c r="L698" s="25">
        <v>-3.48279263292358</v>
      </c>
      <c r="M698" s="28">
        <v>1</v>
      </c>
      <c r="N698" s="28">
        <v>1</v>
      </c>
    </row>
    <row r="699" spans="7:14">
      <c r="G699" s="24">
        <v>698</v>
      </c>
      <c r="H699" s="25">
        <f>S0_</f>
        <v>100</v>
      </c>
      <c r="I699" s="25">
        <f ca="1">S0_*EXP((mu_-sigma_^2/2)*Dt_+sigma_*SQRT(Dt_)*_xlfn.NORM.INV(RAND(),0,1))</f>
        <v>111.511954871478</v>
      </c>
      <c r="J699" s="25">
        <f ca="1">MAX(k_-I699,0)*EXP(-rs_*T_)</f>
        <v>0</v>
      </c>
      <c r="K699" s="25">
        <v>11.1773124467302</v>
      </c>
      <c r="L699" s="25">
        <v>10.6073124467302</v>
      </c>
      <c r="M699" s="28">
        <v>0</v>
      </c>
      <c r="N699" s="28">
        <v>0</v>
      </c>
    </row>
    <row r="700" spans="7:14">
      <c r="G700" s="24">
        <v>699</v>
      </c>
      <c r="H700" s="25">
        <f>S0_</f>
        <v>100</v>
      </c>
      <c r="I700" s="25">
        <f ca="1">S0_*EXP((mu_-sigma_^2/2)*Dt_+sigma_*SQRT(Dt_)*_xlfn.NORM.INV(RAND(),0,1))</f>
        <v>86.2788574963242</v>
      </c>
      <c r="J700" s="25">
        <f ca="1">MAX(k_-I700,0)*EXP(-rs_*T_)</f>
        <v>10.4094883004103</v>
      </c>
      <c r="K700" s="25">
        <v>-13.3222809333339</v>
      </c>
      <c r="L700" s="25">
        <v>-3.48279263292358</v>
      </c>
      <c r="M700" s="28">
        <v>1</v>
      </c>
      <c r="N700" s="28">
        <v>1</v>
      </c>
    </row>
    <row r="701" spans="7:14">
      <c r="G701" s="24">
        <v>700</v>
      </c>
      <c r="H701" s="25">
        <f>S0_</f>
        <v>100</v>
      </c>
      <c r="I701" s="25">
        <f ca="1">S0_*EXP((mu_-sigma_^2/2)*Dt_+sigma_*SQRT(Dt_)*_xlfn.NORM.INV(RAND(),0,1))</f>
        <v>112.884009913001</v>
      </c>
      <c r="J701" s="25">
        <f ca="1">MAX(k_-I701,0)*EXP(-rs_*T_)</f>
        <v>0</v>
      </c>
      <c r="K701" s="25">
        <v>12.5094830523675</v>
      </c>
      <c r="L701" s="25">
        <v>11.9394830523675</v>
      </c>
      <c r="M701" s="28">
        <v>0</v>
      </c>
      <c r="N701" s="28">
        <v>0</v>
      </c>
    </row>
    <row r="702" spans="7:14">
      <c r="G702" s="24">
        <v>701</v>
      </c>
      <c r="H702" s="25">
        <f>S0_</f>
        <v>100</v>
      </c>
      <c r="I702" s="25">
        <f ca="1">S0_*EXP((mu_-sigma_^2/2)*Dt_+sigma_*SQRT(Dt_)*_xlfn.NORM.INV(RAND(),0,1))</f>
        <v>103.061997876462</v>
      </c>
      <c r="J702" s="25">
        <f ca="1">MAX(k_-I702,0)*EXP(-rs_*T_)</f>
        <v>0</v>
      </c>
      <c r="K702" s="25">
        <v>2.97298828552903</v>
      </c>
      <c r="L702" s="25">
        <v>2.40298828552903</v>
      </c>
      <c r="M702" s="28">
        <v>0</v>
      </c>
      <c r="N702" s="28">
        <v>0</v>
      </c>
    </row>
    <row r="703" spans="7:14">
      <c r="G703" s="24">
        <v>702</v>
      </c>
      <c r="H703" s="25">
        <f>S0_</f>
        <v>100</v>
      </c>
      <c r="I703" s="25">
        <f ca="1">S0_*EXP((mu_-sigma_^2/2)*Dt_+sigma_*SQRT(Dt_)*_xlfn.NORM.INV(RAND(),0,1))</f>
        <v>109.218290064798</v>
      </c>
      <c r="J703" s="25">
        <f ca="1">MAX(k_-I703,0)*EXP(-rs_*T_)</f>
        <v>0</v>
      </c>
      <c r="K703" s="25">
        <v>8.95032246296564</v>
      </c>
      <c r="L703" s="25">
        <v>8.38032246296564</v>
      </c>
      <c r="M703" s="28">
        <v>0</v>
      </c>
      <c r="N703" s="28">
        <v>0</v>
      </c>
    </row>
    <row r="704" spans="7:14">
      <c r="G704" s="24">
        <v>703</v>
      </c>
      <c r="H704" s="25">
        <f>S0_</f>
        <v>100</v>
      </c>
      <c r="I704" s="25">
        <f ca="1">S0_*EXP((mu_-sigma_^2/2)*Dt_+sigma_*SQRT(Dt_)*_xlfn.NORM.INV(RAND(),0,1))</f>
        <v>117.085328426592</v>
      </c>
      <c r="J704" s="25">
        <f ca="1">MAX(k_-I704,0)*EXP(-rs_*T_)</f>
        <v>0</v>
      </c>
      <c r="K704" s="25">
        <v>16.5886729240193</v>
      </c>
      <c r="L704" s="25">
        <v>16.0186729240193</v>
      </c>
      <c r="M704" s="28">
        <v>0</v>
      </c>
      <c r="N704" s="28">
        <v>0</v>
      </c>
    </row>
    <row r="705" spans="7:14">
      <c r="G705" s="24">
        <v>704</v>
      </c>
      <c r="H705" s="25">
        <f>S0_</f>
        <v>100</v>
      </c>
      <c r="I705" s="25">
        <f ca="1">S0_*EXP((mu_-sigma_^2/2)*Dt_+sigma_*SQRT(Dt_)*_xlfn.NORM.INV(RAND(),0,1))</f>
        <v>95.0127110825823</v>
      </c>
      <c r="J705" s="25">
        <f ca="1">MAX(k_-I705,0)*EXP(-rs_*T_)</f>
        <v>1.92952017271496</v>
      </c>
      <c r="K705" s="25">
        <v>-4.84231280563854</v>
      </c>
      <c r="L705" s="25">
        <v>-3.48279263292358</v>
      </c>
      <c r="M705" s="28">
        <v>1</v>
      </c>
      <c r="N705" s="28">
        <v>1</v>
      </c>
    </row>
    <row r="706" spans="7:14">
      <c r="G706" s="24">
        <v>705</v>
      </c>
      <c r="H706" s="25">
        <f>S0_</f>
        <v>100</v>
      </c>
      <c r="I706" s="25">
        <f ca="1">S0_*EXP((mu_-sigma_^2/2)*Dt_+sigma_*SQRT(Dt_)*_xlfn.NORM.INV(RAND(),0,1))</f>
        <v>104.07059124909</v>
      </c>
      <c r="J706" s="25">
        <f ca="1">MAX(k_-I706,0)*EXP(-rs_*T_)</f>
        <v>0</v>
      </c>
      <c r="K706" s="25">
        <v>3.95226273399771</v>
      </c>
      <c r="L706" s="25">
        <v>3.38226273399771</v>
      </c>
      <c r="M706" s="28">
        <v>0</v>
      </c>
      <c r="N706" s="28">
        <v>0</v>
      </c>
    </row>
    <row r="707" spans="7:14">
      <c r="G707" s="24">
        <v>706</v>
      </c>
      <c r="H707" s="25">
        <f>S0_</f>
        <v>100</v>
      </c>
      <c r="I707" s="25">
        <f ca="1">S0_*EXP((mu_-sigma_^2/2)*Dt_+sigma_*SQRT(Dt_)*_xlfn.NORM.INV(RAND(),0,1))</f>
        <v>104.410284516106</v>
      </c>
      <c r="J707" s="25">
        <f ca="1">MAX(k_-I707,0)*EXP(-rs_*T_)</f>
        <v>0</v>
      </c>
      <c r="K707" s="25">
        <v>4.28208141586998</v>
      </c>
      <c r="L707" s="25">
        <v>3.71208141586998</v>
      </c>
      <c r="M707" s="28">
        <v>0</v>
      </c>
      <c r="N707" s="28">
        <v>0</v>
      </c>
    </row>
    <row r="708" spans="7:14">
      <c r="G708" s="24">
        <v>707</v>
      </c>
      <c r="H708" s="25">
        <f>S0_</f>
        <v>100</v>
      </c>
      <c r="I708" s="25">
        <f ca="1">S0_*EXP((mu_-sigma_^2/2)*Dt_+sigma_*SQRT(Dt_)*_xlfn.NORM.INV(RAND(),0,1))</f>
        <v>103.342301922848</v>
      </c>
      <c r="J708" s="25">
        <f ca="1">MAX(k_-I708,0)*EXP(-rs_*T_)</f>
        <v>0</v>
      </c>
      <c r="K708" s="25">
        <v>3.24514413929247</v>
      </c>
      <c r="L708" s="25">
        <v>2.67514413929248</v>
      </c>
      <c r="M708" s="28">
        <v>0</v>
      </c>
      <c r="N708" s="28">
        <v>0</v>
      </c>
    </row>
    <row r="709" spans="7:14">
      <c r="G709" s="24">
        <v>708</v>
      </c>
      <c r="H709" s="25">
        <f>S0_</f>
        <v>100</v>
      </c>
      <c r="I709" s="25">
        <f ca="1">S0_*EXP((mu_-sigma_^2/2)*Dt_+sigma_*SQRT(Dt_)*_xlfn.NORM.INV(RAND(),0,1))</f>
        <v>102.890624258052</v>
      </c>
      <c r="J709" s="25">
        <f ca="1">MAX(k_-I709,0)*EXP(-rs_*T_)</f>
        <v>0</v>
      </c>
      <c r="K709" s="25">
        <v>2.80659634780089</v>
      </c>
      <c r="L709" s="25">
        <v>2.23659634780089</v>
      </c>
      <c r="M709" s="28">
        <v>0</v>
      </c>
      <c r="N709" s="28">
        <v>0</v>
      </c>
    </row>
    <row r="710" spans="7:14">
      <c r="G710" s="24">
        <v>709</v>
      </c>
      <c r="H710" s="25">
        <f>S0_</f>
        <v>100</v>
      </c>
      <c r="I710" s="25">
        <f ca="1">S0_*EXP((mu_-sigma_^2/2)*Dt_+sigma_*SQRT(Dt_)*_xlfn.NORM.INV(RAND(),0,1))</f>
        <v>107.909006729584</v>
      </c>
      <c r="J710" s="25">
        <f ca="1">MAX(k_-I710,0)*EXP(-rs_*T_)</f>
        <v>0</v>
      </c>
      <c r="K710" s="25">
        <v>7.67909884522495</v>
      </c>
      <c r="L710" s="25">
        <v>7.10909884522495</v>
      </c>
      <c r="M710" s="28">
        <v>0</v>
      </c>
      <c r="N710" s="28">
        <v>0</v>
      </c>
    </row>
    <row r="711" spans="7:14">
      <c r="G711" s="24">
        <v>710</v>
      </c>
      <c r="H711" s="25">
        <f>S0_</f>
        <v>100</v>
      </c>
      <c r="I711" s="25">
        <f ca="1">S0_*EXP((mu_-sigma_^2/2)*Dt_+sigma_*SQRT(Dt_)*_xlfn.NORM.INV(RAND(),0,1))</f>
        <v>102.824862247129</v>
      </c>
      <c r="J711" s="25">
        <f ca="1">MAX(k_-I711,0)*EXP(-rs_*T_)</f>
        <v>0</v>
      </c>
      <c r="K711" s="25">
        <v>2.74274598082016</v>
      </c>
      <c r="L711" s="25">
        <v>2.17274598082016</v>
      </c>
      <c r="M711" s="28">
        <v>0</v>
      </c>
      <c r="N711" s="28">
        <v>0</v>
      </c>
    </row>
    <row r="712" spans="7:14">
      <c r="G712" s="24">
        <v>711</v>
      </c>
      <c r="H712" s="25">
        <f>S0_</f>
        <v>100</v>
      </c>
      <c r="I712" s="25">
        <f ca="1">S0_*EXP((mu_-sigma_^2/2)*Dt_+sigma_*SQRT(Dt_)*_xlfn.NORM.INV(RAND(),0,1))</f>
        <v>115.343633513772</v>
      </c>
      <c r="J712" s="25">
        <f ca="1">MAX(k_-I712,0)*EXP(-rs_*T_)</f>
        <v>0</v>
      </c>
      <c r="K712" s="25">
        <v>14.8976075537315</v>
      </c>
      <c r="L712" s="25">
        <v>14.3276075537315</v>
      </c>
      <c r="M712" s="28">
        <v>0</v>
      </c>
      <c r="N712" s="28">
        <v>0</v>
      </c>
    </row>
    <row r="713" spans="7:14">
      <c r="G713" s="24">
        <v>712</v>
      </c>
      <c r="H713" s="25">
        <f>S0_</f>
        <v>100</v>
      </c>
      <c r="I713" s="25">
        <f ca="1">S0_*EXP((mu_-sigma_^2/2)*Dt_+sigma_*SQRT(Dt_)*_xlfn.NORM.INV(RAND(),0,1))</f>
        <v>103.855429348934</v>
      </c>
      <c r="J713" s="25">
        <f ca="1">MAX(k_-I713,0)*EXP(-rs_*T_)</f>
        <v>0</v>
      </c>
      <c r="K713" s="25">
        <v>3.7433554014443</v>
      </c>
      <c r="L713" s="25">
        <v>3.1733554014443</v>
      </c>
      <c r="M713" s="28">
        <v>0</v>
      </c>
      <c r="N713" s="28">
        <v>0</v>
      </c>
    </row>
    <row r="714" spans="7:14">
      <c r="G714" s="24">
        <v>713</v>
      </c>
      <c r="H714" s="25">
        <f>S0_</f>
        <v>100</v>
      </c>
      <c r="I714" s="25">
        <f ca="1">S0_*EXP((mu_-sigma_^2/2)*Dt_+sigma_*SQRT(Dt_)*_xlfn.NORM.INV(RAND(),0,1))</f>
        <v>94.5081929517918</v>
      </c>
      <c r="J714" s="25">
        <f ca="1">MAX(k_-I714,0)*EXP(-rs_*T_)</f>
        <v>2.4193724042293</v>
      </c>
      <c r="K714" s="25">
        <v>-5.33216503715289</v>
      </c>
      <c r="L714" s="25">
        <v>-3.48279263292358</v>
      </c>
      <c r="M714" s="28">
        <v>1</v>
      </c>
      <c r="N714" s="28">
        <v>1</v>
      </c>
    </row>
    <row r="715" spans="7:14">
      <c r="G715" s="24">
        <v>714</v>
      </c>
      <c r="H715" s="25">
        <f>S0_</f>
        <v>100</v>
      </c>
      <c r="I715" s="25">
        <f ca="1">S0_*EXP((mu_-sigma_^2/2)*Dt_+sigma_*SQRT(Dt_)*_xlfn.NORM.INV(RAND(),0,1))</f>
        <v>108.457625334893</v>
      </c>
      <c r="J715" s="25">
        <f ca="1">MAX(k_-I715,0)*EXP(-rs_*T_)</f>
        <v>0</v>
      </c>
      <c r="K715" s="25">
        <v>8.21176958916854</v>
      </c>
      <c r="L715" s="25">
        <v>7.64176958916854</v>
      </c>
      <c r="M715" s="28">
        <v>0</v>
      </c>
      <c r="N715" s="28">
        <v>0</v>
      </c>
    </row>
    <row r="716" spans="7:14">
      <c r="G716" s="24">
        <v>715</v>
      </c>
      <c r="H716" s="25">
        <f>S0_</f>
        <v>100</v>
      </c>
      <c r="I716" s="25">
        <f ca="1">S0_*EXP((mu_-sigma_^2/2)*Dt_+sigma_*SQRT(Dt_)*_xlfn.NORM.INV(RAND(),0,1))</f>
        <v>105.357069740717</v>
      </c>
      <c r="J716" s="25">
        <f ca="1">MAX(k_-I716,0)*EXP(-rs_*T_)</f>
        <v>0</v>
      </c>
      <c r="K716" s="25">
        <v>5.20134442493902</v>
      </c>
      <c r="L716" s="25">
        <v>4.63134442493902</v>
      </c>
      <c r="M716" s="28">
        <v>0</v>
      </c>
      <c r="N716" s="28">
        <v>0</v>
      </c>
    </row>
    <row r="717" spans="7:14">
      <c r="G717" s="24">
        <v>716</v>
      </c>
      <c r="H717" s="25">
        <f>S0_</f>
        <v>100</v>
      </c>
      <c r="I717" s="25">
        <f ca="1">S0_*EXP((mu_-sigma_^2/2)*Dt_+sigma_*SQRT(Dt_)*_xlfn.NORM.INV(RAND(),0,1))</f>
        <v>109.868789802668</v>
      </c>
      <c r="J717" s="25">
        <f ca="1">MAX(k_-I717,0)*EXP(-rs_*T_)</f>
        <v>0</v>
      </c>
      <c r="K717" s="25">
        <v>9.58191274436102</v>
      </c>
      <c r="L717" s="25">
        <v>9.01191274436102</v>
      </c>
      <c r="M717" s="28">
        <v>0</v>
      </c>
      <c r="N717" s="28">
        <v>0</v>
      </c>
    </row>
    <row r="718" spans="7:14">
      <c r="G718" s="24">
        <v>717</v>
      </c>
      <c r="H718" s="25">
        <f>S0_</f>
        <v>100</v>
      </c>
      <c r="I718" s="25">
        <f ca="1">S0_*EXP((mu_-sigma_^2/2)*Dt_+sigma_*SQRT(Dt_)*_xlfn.NORM.INV(RAND(),0,1))</f>
        <v>103.986036238422</v>
      </c>
      <c r="J718" s="25">
        <f ca="1">MAX(k_-I718,0)*EXP(-rs_*T_)</f>
        <v>0</v>
      </c>
      <c r="K718" s="25">
        <v>3.87016566328035</v>
      </c>
      <c r="L718" s="25">
        <v>3.30016566328035</v>
      </c>
      <c r="M718" s="28">
        <v>0</v>
      </c>
      <c r="N718" s="28">
        <v>0</v>
      </c>
    </row>
    <row r="719" spans="7:14">
      <c r="G719" s="24">
        <v>718</v>
      </c>
      <c r="H719" s="25">
        <f>S0_</f>
        <v>100</v>
      </c>
      <c r="I719" s="25">
        <f ca="1">S0_*EXP((mu_-sigma_^2/2)*Dt_+sigma_*SQRT(Dt_)*_xlfn.NORM.INV(RAND(),0,1))</f>
        <v>103.769811226155</v>
      </c>
      <c r="J719" s="25">
        <f ca="1">MAX(k_-I719,0)*EXP(-rs_*T_)</f>
        <v>0</v>
      </c>
      <c r="K719" s="25">
        <v>3.66022612235278</v>
      </c>
      <c r="L719" s="25">
        <v>3.09022612235278</v>
      </c>
      <c r="M719" s="28">
        <v>0</v>
      </c>
      <c r="N719" s="28">
        <v>0</v>
      </c>
    </row>
    <row r="720" spans="7:14">
      <c r="G720" s="24">
        <v>719</v>
      </c>
      <c r="H720" s="25">
        <f>S0_</f>
        <v>100</v>
      </c>
      <c r="I720" s="25">
        <f ca="1">S0_*EXP((mu_-sigma_^2/2)*Dt_+sigma_*SQRT(Dt_)*_xlfn.NORM.INV(RAND(),0,1))</f>
        <v>104.469804630468</v>
      </c>
      <c r="J720" s="25">
        <f ca="1">MAX(k_-I720,0)*EXP(-rs_*T_)</f>
        <v>0</v>
      </c>
      <c r="K720" s="25">
        <v>4.33987133274475</v>
      </c>
      <c r="L720" s="25">
        <v>3.76987133274475</v>
      </c>
      <c r="M720" s="28">
        <v>0</v>
      </c>
      <c r="N720" s="28">
        <v>0</v>
      </c>
    </row>
    <row r="721" spans="7:14">
      <c r="G721" s="24">
        <v>720</v>
      </c>
      <c r="H721" s="25">
        <f>S0_</f>
        <v>100</v>
      </c>
      <c r="I721" s="25">
        <f ca="1">S0_*EXP((mu_-sigma_^2/2)*Dt_+sigma_*SQRT(Dt_)*_xlfn.NORM.INV(RAND(),0,1))</f>
        <v>94.6059157224226</v>
      </c>
      <c r="J721" s="25">
        <f ca="1">MAX(k_-I721,0)*EXP(-rs_*T_)</f>
        <v>2.32449034877519</v>
      </c>
      <c r="K721" s="25">
        <v>-5.23728298169877</v>
      </c>
      <c r="L721" s="25">
        <v>-3.48279263292358</v>
      </c>
      <c r="M721" s="28">
        <v>1</v>
      </c>
      <c r="N721" s="28">
        <v>1</v>
      </c>
    </row>
    <row r="722" spans="7:14">
      <c r="G722" s="24">
        <v>721</v>
      </c>
      <c r="H722" s="25">
        <f>S0_</f>
        <v>100</v>
      </c>
      <c r="I722" s="25">
        <f ca="1">S0_*EXP((mu_-sigma_^2/2)*Dt_+sigma_*SQRT(Dt_)*_xlfn.NORM.INV(RAND(),0,1))</f>
        <v>101.433377608219</v>
      </c>
      <c r="J722" s="25">
        <f ca="1">MAX(k_-I722,0)*EXP(-rs_*T_)</f>
        <v>0</v>
      </c>
      <c r="K722" s="25">
        <v>1.39171057913927</v>
      </c>
      <c r="L722" s="25">
        <v>0.821710579139272</v>
      </c>
      <c r="M722" s="28">
        <v>0</v>
      </c>
      <c r="N722" s="28">
        <v>0</v>
      </c>
    </row>
    <row r="723" spans="7:14">
      <c r="G723" s="24">
        <v>722</v>
      </c>
      <c r="H723" s="25">
        <f>S0_</f>
        <v>100</v>
      </c>
      <c r="I723" s="25">
        <f ca="1">S0_*EXP((mu_-sigma_^2/2)*Dt_+sigma_*SQRT(Dt_)*_xlfn.NORM.INV(RAND(),0,1))</f>
        <v>109.193987223182</v>
      </c>
      <c r="J723" s="25">
        <f ca="1">MAX(k_-I723,0)*EXP(-rs_*T_)</f>
        <v>0</v>
      </c>
      <c r="K723" s="25">
        <v>8.92672608362622</v>
      </c>
      <c r="L723" s="25">
        <v>8.35672608362622</v>
      </c>
      <c r="M723" s="28">
        <v>0</v>
      </c>
      <c r="N723" s="28">
        <v>0</v>
      </c>
    </row>
    <row r="724" spans="7:14">
      <c r="G724" s="24">
        <v>723</v>
      </c>
      <c r="H724" s="25">
        <f>S0_</f>
        <v>100</v>
      </c>
      <c r="I724" s="25">
        <f ca="1">S0_*EXP((mu_-sigma_^2/2)*Dt_+sigma_*SQRT(Dt_)*_xlfn.NORM.INV(RAND(),0,1))</f>
        <v>100.655982588571</v>
      </c>
      <c r="J724" s="25">
        <f ca="1">MAX(k_-I724,0)*EXP(-rs_*T_)</f>
        <v>0</v>
      </c>
      <c r="K724" s="25">
        <v>0.636913750438866</v>
      </c>
      <c r="L724" s="25">
        <v>0.0669137504388662</v>
      </c>
      <c r="M724" s="28">
        <v>0</v>
      </c>
      <c r="N724" s="28">
        <v>0</v>
      </c>
    </row>
    <row r="725" spans="7:14">
      <c r="G725" s="24">
        <v>724</v>
      </c>
      <c r="H725" s="25">
        <f>S0_</f>
        <v>100</v>
      </c>
      <c r="I725" s="25">
        <f ca="1">S0_*EXP((mu_-sigma_^2/2)*Dt_+sigma_*SQRT(Dt_)*_xlfn.NORM.INV(RAND(),0,1))</f>
        <v>96.1279511752156</v>
      </c>
      <c r="J725" s="25">
        <f ca="1">MAX(k_-I725,0)*EXP(-rs_*T_)</f>
        <v>0.846699130793876</v>
      </c>
      <c r="K725" s="25">
        <v>-3.75949176371746</v>
      </c>
      <c r="L725" s="25">
        <v>-3.48279263292358</v>
      </c>
      <c r="M725" s="28">
        <v>1</v>
      </c>
      <c r="N725" s="28">
        <v>1</v>
      </c>
    </row>
    <row r="726" spans="7:14">
      <c r="G726" s="24">
        <v>725</v>
      </c>
      <c r="H726" s="25">
        <f>S0_</f>
        <v>100</v>
      </c>
      <c r="I726" s="25">
        <f ca="1">S0_*EXP((mu_-sigma_^2/2)*Dt_+sigma_*SQRT(Dt_)*_xlfn.NORM.INV(RAND(),0,1))</f>
        <v>112.062633486004</v>
      </c>
      <c r="J726" s="25">
        <f ca="1">MAX(k_-I726,0)*EXP(-rs_*T_)</f>
        <v>0</v>
      </c>
      <c r="K726" s="25">
        <v>11.7119833172299</v>
      </c>
      <c r="L726" s="25">
        <v>11.1419833172299</v>
      </c>
      <c r="M726" s="28">
        <v>0</v>
      </c>
      <c r="N726" s="28">
        <v>0</v>
      </c>
    </row>
    <row r="727" spans="7:14">
      <c r="G727" s="24">
        <v>726</v>
      </c>
      <c r="H727" s="25">
        <f>S0_</f>
        <v>100</v>
      </c>
      <c r="I727" s="25">
        <f ca="1">S0_*EXP((mu_-sigma_^2/2)*Dt_+sigma_*SQRT(Dt_)*_xlfn.NORM.INV(RAND(),0,1))</f>
        <v>114.595570905466</v>
      </c>
      <c r="J727" s="25">
        <f ca="1">MAX(k_-I727,0)*EXP(-rs_*T_)</f>
        <v>0</v>
      </c>
      <c r="K727" s="25">
        <v>14.1712904689182</v>
      </c>
      <c r="L727" s="25">
        <v>13.6012904689182</v>
      </c>
      <c r="M727" s="28">
        <v>0</v>
      </c>
      <c r="N727" s="28">
        <v>0</v>
      </c>
    </row>
    <row r="728" spans="7:14">
      <c r="G728" s="24">
        <v>727</v>
      </c>
      <c r="H728" s="25">
        <f>S0_</f>
        <v>100</v>
      </c>
      <c r="I728" s="25">
        <f ca="1">S0_*EXP((mu_-sigma_^2/2)*Dt_+sigma_*SQRT(Dt_)*_xlfn.NORM.INV(RAND(),0,1))</f>
        <v>98.4888859669176</v>
      </c>
      <c r="J728" s="25">
        <f ca="1">MAX(k_-I728,0)*EXP(-rs_*T_)</f>
        <v>0</v>
      </c>
      <c r="K728" s="25">
        <v>-1.46718727435664</v>
      </c>
      <c r="L728" s="25">
        <v>-2.03718727435664</v>
      </c>
      <c r="M728" s="28">
        <v>1</v>
      </c>
      <c r="N728" s="28">
        <v>1</v>
      </c>
    </row>
    <row r="729" spans="7:14">
      <c r="G729" s="24">
        <v>728</v>
      </c>
      <c r="H729" s="25">
        <f>S0_</f>
        <v>100</v>
      </c>
      <c r="I729" s="25">
        <f ca="1">S0_*EXP((mu_-sigma_^2/2)*Dt_+sigma_*SQRT(Dt_)*_xlfn.NORM.INV(RAND(),0,1))</f>
        <v>107.015593635598</v>
      </c>
      <c r="J729" s="25">
        <f ca="1">MAX(k_-I729,0)*EXP(-rs_*T_)</f>
        <v>0</v>
      </c>
      <c r="K729" s="25">
        <v>6.81165648578534</v>
      </c>
      <c r="L729" s="25">
        <v>6.24165648578534</v>
      </c>
      <c r="M729" s="28">
        <v>0</v>
      </c>
      <c r="N729" s="28">
        <v>0</v>
      </c>
    </row>
    <row r="730" spans="7:14">
      <c r="G730" s="24">
        <v>729</v>
      </c>
      <c r="H730" s="25">
        <f>S0_</f>
        <v>100</v>
      </c>
      <c r="I730" s="25">
        <f ca="1">S0_*EXP((mu_-sigma_^2/2)*Dt_+sigma_*SQRT(Dt_)*_xlfn.NORM.INV(RAND(),0,1))</f>
        <v>118.652374960685</v>
      </c>
      <c r="J730" s="25">
        <f ca="1">MAX(k_-I730,0)*EXP(-rs_*T_)</f>
        <v>0</v>
      </c>
      <c r="K730" s="25">
        <v>18.1101667906707</v>
      </c>
      <c r="L730" s="25">
        <v>17.5401667906707</v>
      </c>
      <c r="M730" s="28">
        <v>0</v>
      </c>
      <c r="N730" s="28">
        <v>0</v>
      </c>
    </row>
    <row r="731" spans="7:14">
      <c r="G731" s="24">
        <v>730</v>
      </c>
      <c r="H731" s="25">
        <f>S0_</f>
        <v>100</v>
      </c>
      <c r="I731" s="25">
        <f ca="1">S0_*EXP((mu_-sigma_^2/2)*Dt_+sigma_*SQRT(Dt_)*_xlfn.NORM.INV(RAND(),0,1))</f>
        <v>97.2519785705123</v>
      </c>
      <c r="J731" s="25">
        <f ca="1">MAX(k_-I731,0)*EXP(-rs_*T_)</f>
        <v>0</v>
      </c>
      <c r="K731" s="25">
        <v>-2.66813885830927</v>
      </c>
      <c r="L731" s="25">
        <v>-3.23813885830927</v>
      </c>
      <c r="M731" s="28">
        <v>1</v>
      </c>
      <c r="N731" s="28">
        <v>1</v>
      </c>
    </row>
    <row r="732" spans="7:14">
      <c r="G732" s="24">
        <v>731</v>
      </c>
      <c r="H732" s="25">
        <f>S0_</f>
        <v>100</v>
      </c>
      <c r="I732" s="25">
        <f ca="1">S0_*EXP((mu_-sigma_^2/2)*Dt_+sigma_*SQRT(Dt_)*_xlfn.NORM.INV(RAND(),0,1))</f>
        <v>109.732679937382</v>
      </c>
      <c r="J732" s="25">
        <f ca="1">MAX(k_-I732,0)*EXP(-rs_*T_)</f>
        <v>0</v>
      </c>
      <c r="K732" s="25">
        <v>9.44975947340285</v>
      </c>
      <c r="L732" s="25">
        <v>8.87975947340285</v>
      </c>
      <c r="M732" s="28">
        <v>0</v>
      </c>
      <c r="N732" s="28">
        <v>0</v>
      </c>
    </row>
    <row r="733" spans="7:14">
      <c r="G733" s="24">
        <v>732</v>
      </c>
      <c r="H733" s="25">
        <f>S0_</f>
        <v>100</v>
      </c>
      <c r="I733" s="25">
        <f ca="1">S0_*EXP((mu_-sigma_^2/2)*Dt_+sigma_*SQRT(Dt_)*_xlfn.NORM.INV(RAND(),0,1))</f>
        <v>110.151927824613</v>
      </c>
      <c r="J733" s="25">
        <f ca="1">MAX(k_-I733,0)*EXP(-rs_*T_)</f>
        <v>0</v>
      </c>
      <c r="K733" s="25">
        <v>9.85682019250176</v>
      </c>
      <c r="L733" s="25">
        <v>9.28682019250176</v>
      </c>
      <c r="M733" s="28">
        <v>0</v>
      </c>
      <c r="N733" s="28">
        <v>0</v>
      </c>
    </row>
    <row r="734" spans="7:14">
      <c r="G734" s="24">
        <v>733</v>
      </c>
      <c r="H734" s="25">
        <f>S0_</f>
        <v>100</v>
      </c>
      <c r="I734" s="25">
        <f ca="1">S0_*EXP((mu_-sigma_^2/2)*Dt_+sigma_*SQRT(Dt_)*_xlfn.NORM.INV(RAND(),0,1))</f>
        <v>100.881407318394</v>
      </c>
      <c r="J734" s="25">
        <f ca="1">MAX(k_-I734,0)*EXP(-rs_*T_)</f>
        <v>0</v>
      </c>
      <c r="K734" s="25">
        <v>0.855785581207199</v>
      </c>
      <c r="L734" s="25">
        <v>0.2857855812072</v>
      </c>
      <c r="M734" s="28">
        <v>0</v>
      </c>
      <c r="N734" s="28">
        <v>0</v>
      </c>
    </row>
    <row r="735" spans="7:14">
      <c r="G735" s="24">
        <v>734</v>
      </c>
      <c r="H735" s="25">
        <f>S0_</f>
        <v>100</v>
      </c>
      <c r="I735" s="25">
        <f ca="1">S0_*EXP((mu_-sigma_^2/2)*Dt_+sigma_*SQRT(Dt_)*_xlfn.NORM.INV(RAND(),0,1))</f>
        <v>117.813569141911</v>
      </c>
      <c r="J735" s="25">
        <f ca="1">MAX(k_-I735,0)*EXP(-rs_*T_)</f>
        <v>0</v>
      </c>
      <c r="K735" s="25">
        <v>17.2957443208777</v>
      </c>
      <c r="L735" s="25">
        <v>16.7257443208777</v>
      </c>
      <c r="M735" s="28">
        <v>0</v>
      </c>
      <c r="N735" s="28">
        <v>0</v>
      </c>
    </row>
    <row r="736" spans="7:14">
      <c r="G736" s="24">
        <v>735</v>
      </c>
      <c r="H736" s="25">
        <f>S0_</f>
        <v>100</v>
      </c>
      <c r="I736" s="25">
        <f ca="1">S0_*EXP((mu_-sigma_^2/2)*Dt_+sigma_*SQRT(Dt_)*_xlfn.NORM.INV(RAND(),0,1))</f>
        <v>95.743416661059</v>
      </c>
      <c r="J736" s="25">
        <f ca="1">MAX(k_-I736,0)*EXP(-rs_*T_)</f>
        <v>1.22005556410729</v>
      </c>
      <c r="K736" s="25">
        <v>-4.13284819703087</v>
      </c>
      <c r="L736" s="25">
        <v>-3.48279263292358</v>
      </c>
      <c r="M736" s="28">
        <v>1</v>
      </c>
      <c r="N736" s="28">
        <v>1</v>
      </c>
    </row>
    <row r="737" spans="7:14">
      <c r="G737" s="24">
        <v>736</v>
      </c>
      <c r="H737" s="25">
        <f>S0_</f>
        <v>100</v>
      </c>
      <c r="I737" s="25">
        <f ca="1">S0_*EXP((mu_-sigma_^2/2)*Dt_+sigma_*SQRT(Dt_)*_xlfn.NORM.INV(RAND(),0,1))</f>
        <v>90.2004279837125</v>
      </c>
      <c r="J737" s="25">
        <f ca="1">MAX(k_-I737,0)*EXP(-rs_*T_)</f>
        <v>6.60191442535853</v>
      </c>
      <c r="K737" s="25">
        <v>-9.51470705828211</v>
      </c>
      <c r="L737" s="25">
        <v>-3.48279263292358</v>
      </c>
      <c r="M737" s="28">
        <v>1</v>
      </c>
      <c r="N737" s="28">
        <v>1</v>
      </c>
    </row>
    <row r="738" spans="7:14">
      <c r="G738" s="24">
        <v>737</v>
      </c>
      <c r="H738" s="25">
        <f>S0_</f>
        <v>100</v>
      </c>
      <c r="I738" s="25">
        <f ca="1">S0_*EXP((mu_-sigma_^2/2)*Dt_+sigma_*SQRT(Dt_)*_xlfn.NORM.INV(RAND(),0,1))</f>
        <v>112.96080421427</v>
      </c>
      <c r="J738" s="25">
        <f ca="1">MAX(k_-I738,0)*EXP(-rs_*T_)</f>
        <v>0</v>
      </c>
      <c r="K738" s="25">
        <v>12.5840450106969</v>
      </c>
      <c r="L738" s="25">
        <v>12.0140450106969</v>
      </c>
      <c r="M738" s="28">
        <v>0</v>
      </c>
      <c r="N738" s="28">
        <v>0</v>
      </c>
    </row>
    <row r="739" spans="7:14">
      <c r="G739" s="24">
        <v>738</v>
      </c>
      <c r="H739" s="25">
        <f>S0_</f>
        <v>100</v>
      </c>
      <c r="I739" s="25">
        <f ca="1">S0_*EXP((mu_-sigma_^2/2)*Dt_+sigma_*SQRT(Dt_)*_xlfn.NORM.INV(RAND(),0,1))</f>
        <v>103.284722263973</v>
      </c>
      <c r="J739" s="25">
        <f ca="1">MAX(k_-I739,0)*EXP(-rs_*T_)</f>
        <v>0</v>
      </c>
      <c r="K739" s="25">
        <v>3.18923827056658</v>
      </c>
      <c r="L739" s="25">
        <v>2.61923827056658</v>
      </c>
      <c r="M739" s="28">
        <v>0</v>
      </c>
      <c r="N739" s="28">
        <v>0</v>
      </c>
    </row>
    <row r="740" spans="7:14">
      <c r="G740" s="24">
        <v>739</v>
      </c>
      <c r="H740" s="25">
        <f>S0_</f>
        <v>100</v>
      </c>
      <c r="I740" s="25">
        <f ca="1">S0_*EXP((mu_-sigma_^2/2)*Dt_+sigma_*SQRT(Dt_)*_xlfn.NORM.INV(RAND(),0,1))</f>
        <v>102.851903035645</v>
      </c>
      <c r="J740" s="25">
        <f ca="1">MAX(k_-I740,0)*EXP(-rs_*T_)</f>
        <v>0</v>
      </c>
      <c r="K740" s="25">
        <v>2.7690007173461</v>
      </c>
      <c r="L740" s="25">
        <v>2.1990007173461</v>
      </c>
      <c r="M740" s="28">
        <v>0</v>
      </c>
      <c r="N740" s="28">
        <v>0</v>
      </c>
    </row>
    <row r="741" spans="7:14">
      <c r="G741" s="24">
        <v>740</v>
      </c>
      <c r="H741" s="25">
        <f>S0_</f>
        <v>100</v>
      </c>
      <c r="I741" s="25">
        <f ca="1">S0_*EXP((mu_-sigma_^2/2)*Dt_+sigma_*SQRT(Dt_)*_xlfn.NORM.INV(RAND(),0,1))</f>
        <v>95.4371468196418</v>
      </c>
      <c r="J741" s="25">
        <f ca="1">MAX(k_-I741,0)*EXP(-rs_*T_)</f>
        <v>1.51742241002954</v>
      </c>
      <c r="K741" s="25">
        <v>-4.43021504295312</v>
      </c>
      <c r="L741" s="25">
        <v>-3.48279263292358</v>
      </c>
      <c r="M741" s="28">
        <v>1</v>
      </c>
      <c r="N741" s="28">
        <v>1</v>
      </c>
    </row>
    <row r="742" spans="7:14">
      <c r="G742" s="24">
        <v>741</v>
      </c>
      <c r="H742" s="25">
        <f>S0_</f>
        <v>100</v>
      </c>
      <c r="I742" s="25">
        <f ca="1">S0_*EXP((mu_-sigma_^2/2)*Dt_+sigma_*SQRT(Dt_)*_xlfn.NORM.INV(RAND(),0,1))</f>
        <v>94.9133779266867</v>
      </c>
      <c r="J742" s="25">
        <f ca="1">MAX(k_-I742,0)*EXP(-rs_*T_)</f>
        <v>2.02596580094759</v>
      </c>
      <c r="K742" s="25">
        <v>-4.93875843387117</v>
      </c>
      <c r="L742" s="25">
        <v>-3.48279263292358</v>
      </c>
      <c r="M742" s="28">
        <v>1</v>
      </c>
      <c r="N742" s="28">
        <v>1</v>
      </c>
    </row>
    <row r="743" spans="7:14">
      <c r="G743" s="24">
        <v>742</v>
      </c>
      <c r="H743" s="25">
        <f>S0_</f>
        <v>100</v>
      </c>
      <c r="I743" s="25">
        <f ca="1">S0_*EXP((mu_-sigma_^2/2)*Dt_+sigma_*SQRT(Dt_)*_xlfn.NORM.INV(RAND(),0,1))</f>
        <v>105.214975204595</v>
      </c>
      <c r="J743" s="25">
        <f ca="1">MAX(k_-I743,0)*EXP(-rs_*T_)</f>
        <v>0</v>
      </c>
      <c r="K743" s="25">
        <v>5.06338045227408</v>
      </c>
      <c r="L743" s="25">
        <v>4.49338045227408</v>
      </c>
      <c r="M743" s="28">
        <v>0</v>
      </c>
      <c r="N743" s="28">
        <v>0</v>
      </c>
    </row>
    <row r="744" spans="7:14">
      <c r="G744" s="24">
        <v>743</v>
      </c>
      <c r="H744" s="25">
        <f>S0_</f>
        <v>100</v>
      </c>
      <c r="I744" s="25">
        <f ca="1">S0_*EXP((mu_-sigma_^2/2)*Dt_+sigma_*SQRT(Dt_)*_xlfn.NORM.INV(RAND(),0,1))</f>
        <v>106.109700044058</v>
      </c>
      <c r="J744" s="25">
        <f ca="1">MAX(k_-I744,0)*EXP(-rs_*T_)</f>
        <v>0</v>
      </c>
      <c r="K744" s="25">
        <v>5.93209642590212</v>
      </c>
      <c r="L744" s="25">
        <v>5.36209642590212</v>
      </c>
      <c r="M744" s="28">
        <v>0</v>
      </c>
      <c r="N744" s="28">
        <v>0</v>
      </c>
    </row>
    <row r="745" spans="7:14">
      <c r="G745" s="24">
        <v>744</v>
      </c>
      <c r="H745" s="25">
        <f>S0_</f>
        <v>100</v>
      </c>
      <c r="I745" s="25">
        <f ca="1">S0_*EXP((mu_-sigma_^2/2)*Dt_+sigma_*SQRT(Dt_)*_xlfn.NORM.INV(RAND(),0,1))</f>
        <v>92.0883943421092</v>
      </c>
      <c r="J745" s="25">
        <f ca="1">MAX(k_-I745,0)*EXP(-rs_*T_)</f>
        <v>4.76882959204341</v>
      </c>
      <c r="K745" s="25">
        <v>-7.681622224967</v>
      </c>
      <c r="L745" s="25">
        <v>-3.48279263292358</v>
      </c>
      <c r="M745" s="28">
        <v>1</v>
      </c>
      <c r="N745" s="28">
        <v>1</v>
      </c>
    </row>
    <row r="746" spans="7:14">
      <c r="G746" s="24">
        <v>745</v>
      </c>
      <c r="H746" s="25">
        <f>S0_</f>
        <v>100</v>
      </c>
      <c r="I746" s="25">
        <f ca="1">S0_*EXP((mu_-sigma_^2/2)*Dt_+sigma_*SQRT(Dt_)*_xlfn.NORM.INV(RAND(),0,1))</f>
        <v>119.501203277686</v>
      </c>
      <c r="J746" s="25">
        <f ca="1">MAX(k_-I746,0)*EXP(-rs_*T_)</f>
        <v>0</v>
      </c>
      <c r="K746" s="25">
        <v>18.9343204134628</v>
      </c>
      <c r="L746" s="25">
        <v>18.3643204134628</v>
      </c>
      <c r="M746" s="28">
        <v>0</v>
      </c>
      <c r="N746" s="28">
        <v>0</v>
      </c>
    </row>
    <row r="747" spans="7:14">
      <c r="G747" s="24">
        <v>746</v>
      </c>
      <c r="H747" s="25">
        <f>S0_</f>
        <v>100</v>
      </c>
      <c r="I747" s="25">
        <f ca="1">S0_*EXP((mu_-sigma_^2/2)*Dt_+sigma_*SQRT(Dt_)*_xlfn.NORM.INV(RAND(),0,1))</f>
        <v>97.1638674305098</v>
      </c>
      <c r="J747" s="25">
        <f ca="1">MAX(k_-I747,0)*EXP(-rs_*T_)</f>
        <v>0</v>
      </c>
      <c r="K747" s="25">
        <v>-2.75368868480193</v>
      </c>
      <c r="L747" s="25">
        <v>-3.32368868480193</v>
      </c>
      <c r="M747" s="28">
        <v>1</v>
      </c>
      <c r="N747" s="28">
        <v>1</v>
      </c>
    </row>
    <row r="748" spans="7:14">
      <c r="G748" s="24">
        <v>747</v>
      </c>
      <c r="H748" s="25">
        <f>S0_</f>
        <v>100</v>
      </c>
      <c r="I748" s="25">
        <f ca="1">S0_*EXP((mu_-sigma_^2/2)*Dt_+sigma_*SQRT(Dt_)*_xlfn.NORM.INV(RAND(),0,1))</f>
        <v>114.855878127684</v>
      </c>
      <c r="J748" s="25">
        <f ca="1">MAX(k_-I748,0)*EXP(-rs_*T_)</f>
        <v>0</v>
      </c>
      <c r="K748" s="25">
        <v>14.4240307886427</v>
      </c>
      <c r="L748" s="25">
        <v>13.8540307886427</v>
      </c>
      <c r="M748" s="28">
        <v>0</v>
      </c>
      <c r="N748" s="28">
        <v>0</v>
      </c>
    </row>
    <row r="749" spans="7:14">
      <c r="G749" s="24">
        <v>748</v>
      </c>
      <c r="H749" s="25">
        <f>S0_</f>
        <v>100</v>
      </c>
      <c r="I749" s="25">
        <f ca="1">S0_*EXP((mu_-sigma_^2/2)*Dt_+sigma_*SQRT(Dt_)*_xlfn.NORM.INV(RAND(),0,1))</f>
        <v>117.114067626436</v>
      </c>
      <c r="J749" s="25">
        <f ca="1">MAX(k_-I749,0)*EXP(-rs_*T_)</f>
        <v>0</v>
      </c>
      <c r="K749" s="25">
        <v>16.6165767005467</v>
      </c>
      <c r="L749" s="25">
        <v>16.0465767005467</v>
      </c>
      <c r="M749" s="28">
        <v>0</v>
      </c>
      <c r="N749" s="28">
        <v>0</v>
      </c>
    </row>
    <row r="750" spans="7:14">
      <c r="G750" s="24">
        <v>749</v>
      </c>
      <c r="H750" s="25">
        <f>S0_</f>
        <v>100</v>
      </c>
      <c r="I750" s="25">
        <f ca="1">S0_*EXP((mu_-sigma_^2/2)*Dt_+sigma_*SQRT(Dt_)*_xlfn.NORM.INV(RAND(),0,1))</f>
        <v>116.391373260548</v>
      </c>
      <c r="J750" s="25">
        <f ca="1">MAX(k_-I750,0)*EXP(-rs_*T_)</f>
        <v>0</v>
      </c>
      <c r="K750" s="25">
        <v>15.9148904256086</v>
      </c>
      <c r="L750" s="25">
        <v>15.3448904256086</v>
      </c>
      <c r="M750" s="28">
        <v>0</v>
      </c>
      <c r="N750" s="28">
        <v>0</v>
      </c>
    </row>
    <row r="751" spans="7:14">
      <c r="G751" s="24">
        <v>750</v>
      </c>
      <c r="H751" s="25">
        <f>S0_</f>
        <v>100</v>
      </c>
      <c r="I751" s="25">
        <f ca="1">S0_*EXP((mu_-sigma_^2/2)*Dt_+sigma_*SQRT(Dt_)*_xlfn.NORM.INV(RAND(),0,1))</f>
        <v>93.8317386872373</v>
      </c>
      <c r="J751" s="25">
        <f ca="1">MAX(k_-I751,0)*EXP(-rs_*T_)</f>
        <v>3.0761627369973</v>
      </c>
      <c r="K751" s="25">
        <v>-5.98895536992088</v>
      </c>
      <c r="L751" s="25">
        <v>-3.48279263292358</v>
      </c>
      <c r="M751" s="28">
        <v>1</v>
      </c>
      <c r="N751" s="28">
        <v>1</v>
      </c>
    </row>
    <row r="752" spans="7:14">
      <c r="G752" s="24">
        <v>751</v>
      </c>
      <c r="H752" s="25">
        <f>S0_</f>
        <v>100</v>
      </c>
      <c r="I752" s="25">
        <f ca="1">S0_*EXP((mu_-sigma_^2/2)*Dt_+sigma_*SQRT(Dt_)*_xlfn.NORM.INV(RAND(),0,1))</f>
        <v>119.935426449723</v>
      </c>
      <c r="J752" s="25">
        <f ca="1">MAX(k_-I752,0)*EXP(-rs_*T_)</f>
        <v>0</v>
      </c>
      <c r="K752" s="25">
        <v>19.3559210989813</v>
      </c>
      <c r="L752" s="25">
        <v>18.7859210989813</v>
      </c>
      <c r="M752" s="28">
        <v>0</v>
      </c>
      <c r="N752" s="28">
        <v>0</v>
      </c>
    </row>
    <row r="753" spans="7:14">
      <c r="G753" s="24">
        <v>752</v>
      </c>
      <c r="H753" s="25">
        <f>S0_</f>
        <v>100</v>
      </c>
      <c r="I753" s="25">
        <f ca="1">S0_*EXP((mu_-sigma_^2/2)*Dt_+sigma_*SQRT(Dt_)*_xlfn.NORM.INV(RAND(),0,1))</f>
        <v>94.3509177332443</v>
      </c>
      <c r="J753" s="25">
        <f ca="1">MAX(k_-I753,0)*EXP(-rs_*T_)</f>
        <v>2.57207577020485</v>
      </c>
      <c r="K753" s="25">
        <v>-5.48486840312843</v>
      </c>
      <c r="L753" s="25">
        <v>-3.48279263292358</v>
      </c>
      <c r="M753" s="28">
        <v>1</v>
      </c>
      <c r="N753" s="28">
        <v>1</v>
      </c>
    </row>
    <row r="754" spans="7:14">
      <c r="G754" s="24">
        <v>753</v>
      </c>
      <c r="H754" s="25">
        <f>S0_</f>
        <v>100</v>
      </c>
      <c r="I754" s="25">
        <f ca="1">S0_*EXP((mu_-sigma_^2/2)*Dt_+sigma_*SQRT(Dt_)*_xlfn.NORM.INV(RAND(),0,1))</f>
        <v>100.347287977642</v>
      </c>
      <c r="J754" s="25">
        <f ca="1">MAX(k_-I754,0)*EXP(-rs_*T_)</f>
        <v>0</v>
      </c>
      <c r="K754" s="25">
        <v>0.337192620926083</v>
      </c>
      <c r="L754" s="25">
        <v>-0.232807379073917</v>
      </c>
      <c r="M754" s="28">
        <v>0</v>
      </c>
      <c r="N754" s="28">
        <v>1</v>
      </c>
    </row>
    <row r="755" spans="7:14">
      <c r="G755" s="24">
        <v>754</v>
      </c>
      <c r="H755" s="25">
        <f>S0_</f>
        <v>100</v>
      </c>
      <c r="I755" s="25">
        <f ca="1">S0_*EXP((mu_-sigma_^2/2)*Dt_+sigma_*SQRT(Dt_)*_xlfn.NORM.INV(RAND(),0,1))</f>
        <v>113.210691525466</v>
      </c>
      <c r="J755" s="25">
        <f ca="1">MAX(k_-I755,0)*EXP(-rs_*T_)</f>
        <v>0</v>
      </c>
      <c r="K755" s="25">
        <v>12.8266683170681</v>
      </c>
      <c r="L755" s="25">
        <v>12.2566683170681</v>
      </c>
      <c r="M755" s="28">
        <v>0</v>
      </c>
      <c r="N755" s="28">
        <v>0</v>
      </c>
    </row>
    <row r="756" spans="7:14">
      <c r="G756" s="24">
        <v>755</v>
      </c>
      <c r="H756" s="25">
        <f>S0_</f>
        <v>100</v>
      </c>
      <c r="I756" s="25">
        <f ca="1">S0_*EXP((mu_-sigma_^2/2)*Dt_+sigma_*SQRT(Dt_)*_xlfn.NORM.INV(RAND(),0,1))</f>
        <v>114.944686881263</v>
      </c>
      <c r="J756" s="25">
        <f ca="1">MAX(k_-I756,0)*EXP(-rs_*T_)</f>
        <v>0</v>
      </c>
      <c r="K756" s="25">
        <v>14.5102579496973</v>
      </c>
      <c r="L756" s="25">
        <v>13.9402579496973</v>
      </c>
      <c r="M756" s="28">
        <v>0</v>
      </c>
      <c r="N756" s="28">
        <v>0</v>
      </c>
    </row>
    <row r="757" spans="7:14">
      <c r="G757" s="24">
        <v>756</v>
      </c>
      <c r="H757" s="25">
        <f>S0_</f>
        <v>100</v>
      </c>
      <c r="I757" s="25">
        <f ca="1">S0_*EXP((mu_-sigma_^2/2)*Dt_+sigma_*SQRT(Dt_)*_xlfn.NORM.INV(RAND(),0,1))</f>
        <v>98.8950094005652</v>
      </c>
      <c r="J757" s="25">
        <f ca="1">MAX(k_-I757,0)*EXP(-rs_*T_)</f>
        <v>0</v>
      </c>
      <c r="K757" s="25">
        <v>-1.07286949249446</v>
      </c>
      <c r="L757" s="25">
        <v>-1.64286949249446</v>
      </c>
      <c r="M757" s="28">
        <v>1</v>
      </c>
      <c r="N757" s="28">
        <v>1</v>
      </c>
    </row>
    <row r="758" spans="7:14">
      <c r="G758" s="24">
        <v>757</v>
      </c>
      <c r="H758" s="25">
        <f>S0_</f>
        <v>100</v>
      </c>
      <c r="I758" s="25">
        <f ca="1">S0_*EXP((mu_-sigma_^2/2)*Dt_+sigma_*SQRT(Dt_)*_xlfn.NORM.INV(RAND(),0,1))</f>
        <v>112.322808104487</v>
      </c>
      <c r="J758" s="25">
        <f ca="1">MAX(k_-I758,0)*EXP(-rs_*T_)</f>
        <v>0</v>
      </c>
      <c r="K758" s="25">
        <v>11.9645948878933</v>
      </c>
      <c r="L758" s="25">
        <v>11.3945948878933</v>
      </c>
      <c r="M758" s="28">
        <v>0</v>
      </c>
      <c r="N758" s="28">
        <v>0</v>
      </c>
    </row>
    <row r="759" spans="7:14">
      <c r="G759" s="24">
        <v>758</v>
      </c>
      <c r="H759" s="25">
        <f>S0_</f>
        <v>100</v>
      </c>
      <c r="I759" s="25">
        <f ca="1">S0_*EXP((mu_-sigma_^2/2)*Dt_+sigma_*SQRT(Dt_)*_xlfn.NORM.INV(RAND(),0,1))</f>
        <v>107.435855515566</v>
      </c>
      <c r="J759" s="25">
        <f ca="1">MAX(k_-I759,0)*EXP(-rs_*T_)</f>
        <v>0</v>
      </c>
      <c r="K759" s="25">
        <v>7.21970172174196</v>
      </c>
      <c r="L759" s="25">
        <v>6.64970172174196</v>
      </c>
      <c r="M759" s="28">
        <v>0</v>
      </c>
      <c r="N759" s="28">
        <v>0</v>
      </c>
    </row>
    <row r="760" spans="7:14">
      <c r="G760" s="24">
        <v>759</v>
      </c>
      <c r="H760" s="25">
        <f>S0_</f>
        <v>100</v>
      </c>
      <c r="I760" s="25">
        <f ca="1">S0_*EXP((mu_-sigma_^2/2)*Dt_+sigma_*SQRT(Dt_)*_xlfn.NORM.INV(RAND(),0,1))</f>
        <v>112.149394579566</v>
      </c>
      <c r="J760" s="25">
        <f ca="1">MAX(k_-I760,0)*EXP(-rs_*T_)</f>
        <v>0</v>
      </c>
      <c r="K760" s="25">
        <v>11.7962223419472</v>
      </c>
      <c r="L760" s="25">
        <v>11.2262223419472</v>
      </c>
      <c r="M760" s="28">
        <v>0</v>
      </c>
      <c r="N760" s="28">
        <v>0</v>
      </c>
    </row>
    <row r="761" spans="7:14">
      <c r="G761" s="24">
        <v>760</v>
      </c>
      <c r="H761" s="25">
        <f>S0_</f>
        <v>100</v>
      </c>
      <c r="I761" s="25">
        <f ca="1">S0_*EXP((mu_-sigma_^2/2)*Dt_+sigma_*SQRT(Dt_)*_xlfn.NORM.INV(RAND(),0,1))</f>
        <v>119.962480369937</v>
      </c>
      <c r="J761" s="25">
        <f ca="1">MAX(k_-I761,0)*EXP(-rs_*T_)</f>
        <v>0</v>
      </c>
      <c r="K761" s="25">
        <v>19.3821885854776</v>
      </c>
      <c r="L761" s="25">
        <v>18.8121885854776</v>
      </c>
      <c r="M761" s="28">
        <v>0</v>
      </c>
      <c r="N761" s="28">
        <v>0</v>
      </c>
    </row>
    <row r="762" spans="7:14">
      <c r="G762" s="24">
        <v>761</v>
      </c>
      <c r="H762" s="25">
        <f>S0_</f>
        <v>100</v>
      </c>
      <c r="I762" s="25">
        <f ca="1">S0_*EXP((mu_-sigma_^2/2)*Dt_+sigma_*SQRT(Dt_)*_xlfn.NORM.INV(RAND(),0,1))</f>
        <v>116.636068462812</v>
      </c>
      <c r="J762" s="25">
        <f ca="1">MAX(k_-I762,0)*EXP(-rs_*T_)</f>
        <v>0</v>
      </c>
      <c r="K762" s="25">
        <v>16.1524725530967</v>
      </c>
      <c r="L762" s="25">
        <v>15.5824725530967</v>
      </c>
      <c r="M762" s="28">
        <v>0</v>
      </c>
      <c r="N762" s="28">
        <v>0</v>
      </c>
    </row>
    <row r="763" spans="7:14">
      <c r="G763" s="24">
        <v>762</v>
      </c>
      <c r="H763" s="25">
        <f>S0_</f>
        <v>100</v>
      </c>
      <c r="I763" s="25">
        <f ca="1">S0_*EXP((mu_-sigma_^2/2)*Dt_+sigma_*SQRT(Dt_)*_xlfn.NORM.INV(RAND(),0,1))</f>
        <v>91.6971156921588</v>
      </c>
      <c r="J763" s="25">
        <f ca="1">MAX(k_-I763,0)*EXP(-rs_*T_)</f>
        <v>5.14873411504197</v>
      </c>
      <c r="K763" s="25">
        <v>-8.06152674796555</v>
      </c>
      <c r="L763" s="25">
        <v>-3.48279263292358</v>
      </c>
      <c r="M763" s="28">
        <v>1</v>
      </c>
      <c r="N763" s="28">
        <v>1</v>
      </c>
    </row>
    <row r="764" spans="7:14">
      <c r="G764" s="24">
        <v>763</v>
      </c>
      <c r="H764" s="25">
        <f>S0_</f>
        <v>100</v>
      </c>
      <c r="I764" s="25">
        <f ca="1">S0_*EXP((mu_-sigma_^2/2)*Dt_+sigma_*SQRT(Dt_)*_xlfn.NORM.INV(RAND(),0,1))</f>
        <v>99.4770073230766</v>
      </c>
      <c r="J764" s="25">
        <f ca="1">MAX(k_-I764,0)*EXP(-rs_*T_)</f>
        <v>0</v>
      </c>
      <c r="K764" s="25">
        <v>-0.507789738805176</v>
      </c>
      <c r="L764" s="25">
        <v>-1.07778973880518</v>
      </c>
      <c r="M764" s="28">
        <v>1</v>
      </c>
      <c r="N764" s="28">
        <v>1</v>
      </c>
    </row>
    <row r="765" spans="7:14">
      <c r="G765" s="24">
        <v>764</v>
      </c>
      <c r="H765" s="25">
        <f>S0_</f>
        <v>100</v>
      </c>
      <c r="I765" s="25">
        <f ca="1">S0_*EXP((mu_-sigma_^2/2)*Dt_+sigma_*SQRT(Dt_)*_xlfn.NORM.INV(RAND(),0,1))</f>
        <v>105.182825579255</v>
      </c>
      <c r="J765" s="25">
        <f ca="1">MAX(k_-I765,0)*EXP(-rs_*T_)</f>
        <v>0</v>
      </c>
      <c r="K765" s="25">
        <v>5.03216538832697</v>
      </c>
      <c r="L765" s="25">
        <v>4.46216538832697</v>
      </c>
      <c r="M765" s="28">
        <v>0</v>
      </c>
      <c r="N765" s="28">
        <v>0</v>
      </c>
    </row>
    <row r="766" spans="7:14">
      <c r="G766" s="24">
        <v>765</v>
      </c>
      <c r="H766" s="25">
        <f>S0_</f>
        <v>100</v>
      </c>
      <c r="I766" s="25">
        <f ca="1">S0_*EXP((mu_-sigma_^2/2)*Dt_+sigma_*SQRT(Dt_)*_xlfn.NORM.INV(RAND(),0,1))</f>
        <v>122.394644497241</v>
      </c>
      <c r="J766" s="25">
        <f ca="1">MAX(k_-I766,0)*EXP(-rs_*T_)</f>
        <v>0</v>
      </c>
      <c r="K766" s="25">
        <v>21.7436518361691</v>
      </c>
      <c r="L766" s="25">
        <v>21.1736518361691</v>
      </c>
      <c r="M766" s="28">
        <v>0</v>
      </c>
      <c r="N766" s="28">
        <v>0</v>
      </c>
    </row>
    <row r="767" spans="7:14">
      <c r="G767" s="24">
        <v>766</v>
      </c>
      <c r="H767" s="25">
        <f>S0_</f>
        <v>100</v>
      </c>
      <c r="I767" s="25">
        <f ca="1">S0_*EXP((mu_-sigma_^2/2)*Dt_+sigma_*SQRT(Dt_)*_xlfn.NORM.INV(RAND(),0,1))</f>
        <v>95.6935336670247</v>
      </c>
      <c r="J767" s="25">
        <f ca="1">MAX(k_-I767,0)*EXP(-rs_*T_)</f>
        <v>1.26848850328443</v>
      </c>
      <c r="K767" s="25">
        <v>-4.18128113620801</v>
      </c>
      <c r="L767" s="25">
        <v>-3.48279263292358</v>
      </c>
      <c r="M767" s="28">
        <v>1</v>
      </c>
      <c r="N767" s="28">
        <v>1</v>
      </c>
    </row>
    <row r="768" spans="7:14">
      <c r="G768" s="24">
        <v>767</v>
      </c>
      <c r="H768" s="25">
        <f>S0_</f>
        <v>100</v>
      </c>
      <c r="I768" s="25">
        <f ca="1">S0_*EXP((mu_-sigma_^2/2)*Dt_+sigma_*SQRT(Dt_)*_xlfn.NORM.INV(RAND(),0,1))</f>
        <v>105.23984217813</v>
      </c>
      <c r="J768" s="25">
        <f ca="1">MAX(k_-I768,0)*EXP(-rs_*T_)</f>
        <v>0</v>
      </c>
      <c r="K768" s="25">
        <v>5.08752456471319</v>
      </c>
      <c r="L768" s="25">
        <v>4.51752456471319</v>
      </c>
      <c r="M768" s="28">
        <v>0</v>
      </c>
      <c r="N768" s="28">
        <v>0</v>
      </c>
    </row>
    <row r="769" spans="7:14">
      <c r="G769" s="24">
        <v>768</v>
      </c>
      <c r="H769" s="25">
        <f>S0_</f>
        <v>100</v>
      </c>
      <c r="I769" s="25">
        <f ca="1">S0_*EXP((mu_-sigma_^2/2)*Dt_+sigma_*SQRT(Dt_)*_xlfn.NORM.INV(RAND(),0,1))</f>
        <v>110.708563555204</v>
      </c>
      <c r="J769" s="25">
        <f ca="1">MAX(k_-I769,0)*EXP(-rs_*T_)</f>
        <v>0</v>
      </c>
      <c r="K769" s="25">
        <v>10.3972750109307</v>
      </c>
      <c r="L769" s="25">
        <v>9.82727501093067</v>
      </c>
      <c r="M769" s="28">
        <v>0</v>
      </c>
      <c r="N769" s="28">
        <v>0</v>
      </c>
    </row>
    <row r="770" spans="7:14">
      <c r="G770" s="24">
        <v>769</v>
      </c>
      <c r="H770" s="25">
        <f>S0_</f>
        <v>100</v>
      </c>
      <c r="I770" s="25">
        <f ca="1">S0_*EXP((mu_-sigma_^2/2)*Dt_+sigma_*SQRT(Dt_)*_xlfn.NORM.INV(RAND(),0,1))</f>
        <v>109.821451536593</v>
      </c>
      <c r="J770" s="25">
        <f ca="1">MAX(k_-I770,0)*EXP(-rs_*T_)</f>
        <v>0</v>
      </c>
      <c r="K770" s="25">
        <v>9.53595056013489</v>
      </c>
      <c r="L770" s="25">
        <v>8.96595056013489</v>
      </c>
      <c r="M770" s="28">
        <v>0</v>
      </c>
      <c r="N770" s="28">
        <v>0</v>
      </c>
    </row>
    <row r="771" spans="7:14">
      <c r="G771" s="24">
        <v>770</v>
      </c>
      <c r="H771" s="25">
        <f>S0_</f>
        <v>100</v>
      </c>
      <c r="I771" s="25">
        <f ca="1">S0_*EXP((mu_-sigma_^2/2)*Dt_+sigma_*SQRT(Dt_)*_xlfn.NORM.INV(RAND(),0,1))</f>
        <v>89.1800560795601</v>
      </c>
      <c r="J771" s="25">
        <f ca="1">MAX(k_-I771,0)*EXP(-rs_*T_)</f>
        <v>7.59262501377759</v>
      </c>
      <c r="K771" s="25">
        <v>-10.5054176467012</v>
      </c>
      <c r="L771" s="25">
        <v>-3.48279263292358</v>
      </c>
      <c r="M771" s="28">
        <v>1</v>
      </c>
      <c r="N771" s="28">
        <v>1</v>
      </c>
    </row>
    <row r="772" spans="7:14">
      <c r="G772" s="24">
        <v>771</v>
      </c>
      <c r="H772" s="25">
        <f>S0_</f>
        <v>100</v>
      </c>
      <c r="I772" s="25">
        <f ca="1">S0_*EXP((mu_-sigma_^2/2)*Dt_+sigma_*SQRT(Dt_)*_xlfn.NORM.INV(RAND(),0,1))</f>
        <v>112.550525271414</v>
      </c>
      <c r="J772" s="25">
        <f ca="1">MAX(k_-I772,0)*EXP(-rs_*T_)</f>
        <v>0</v>
      </c>
      <c r="K772" s="25">
        <v>12.1856925166316</v>
      </c>
      <c r="L772" s="25">
        <v>11.6156925166316</v>
      </c>
      <c r="M772" s="28">
        <v>0</v>
      </c>
      <c r="N772" s="28">
        <v>0</v>
      </c>
    </row>
    <row r="773" spans="7:14">
      <c r="G773" s="24">
        <v>772</v>
      </c>
      <c r="H773" s="25">
        <f>S0_</f>
        <v>100</v>
      </c>
      <c r="I773" s="25">
        <f ca="1">S0_*EXP((mu_-sigma_^2/2)*Dt_+sigma_*SQRT(Dt_)*_xlfn.NORM.INV(RAND(),0,1))</f>
        <v>107.62706645753</v>
      </c>
      <c r="J773" s="25">
        <f ca="1">MAX(k_-I773,0)*EXP(-rs_*T_)</f>
        <v>0</v>
      </c>
      <c r="K773" s="25">
        <v>7.40535432943768</v>
      </c>
      <c r="L773" s="25">
        <v>6.83535432943768</v>
      </c>
      <c r="M773" s="28">
        <v>0</v>
      </c>
      <c r="N773" s="28">
        <v>0</v>
      </c>
    </row>
    <row r="774" spans="7:14">
      <c r="G774" s="24">
        <v>773</v>
      </c>
      <c r="H774" s="25">
        <f>S0_</f>
        <v>100</v>
      </c>
      <c r="I774" s="25">
        <f ca="1">S0_*EXP((mu_-sigma_^2/2)*Dt_+sigma_*SQRT(Dt_)*_xlfn.NORM.INV(RAND(),0,1))</f>
        <v>103.058491181774</v>
      </c>
      <c r="J774" s="25">
        <f ca="1">MAX(k_-I774,0)*EXP(-rs_*T_)</f>
        <v>0</v>
      </c>
      <c r="K774" s="25">
        <v>2.96958352737733</v>
      </c>
      <c r="L774" s="25">
        <v>2.39958352737733</v>
      </c>
      <c r="M774" s="28">
        <v>0</v>
      </c>
      <c r="N774" s="28">
        <v>0</v>
      </c>
    </row>
    <row r="775" spans="7:14">
      <c r="G775" s="24">
        <v>774</v>
      </c>
      <c r="H775" s="25">
        <f>S0_</f>
        <v>100</v>
      </c>
      <c r="I775" s="25">
        <f ca="1">S0_*EXP((mu_-sigma_^2/2)*Dt_+sigma_*SQRT(Dt_)*_xlfn.NORM.INV(RAND(),0,1))</f>
        <v>109.163503450063</v>
      </c>
      <c r="J775" s="25">
        <f ca="1">MAX(k_-I775,0)*EXP(-rs_*T_)</f>
        <v>0</v>
      </c>
      <c r="K775" s="25">
        <v>8.89712844703766</v>
      </c>
      <c r="L775" s="25">
        <v>8.32712844703766</v>
      </c>
      <c r="M775" s="28">
        <v>0</v>
      </c>
      <c r="N775" s="28">
        <v>0</v>
      </c>
    </row>
    <row r="776" spans="7:14">
      <c r="G776" s="24">
        <v>775</v>
      </c>
      <c r="H776" s="25">
        <f>S0_</f>
        <v>100</v>
      </c>
      <c r="I776" s="25">
        <f ca="1">S0_*EXP((mu_-sigma_^2/2)*Dt_+sigma_*SQRT(Dt_)*_xlfn.NORM.INV(RAND(),0,1))</f>
        <v>110.158351865584</v>
      </c>
      <c r="J776" s="25">
        <f ca="1">MAX(k_-I776,0)*EXP(-rs_*T_)</f>
        <v>0</v>
      </c>
      <c r="K776" s="25">
        <v>9.8630574922396</v>
      </c>
      <c r="L776" s="25">
        <v>9.2930574922396</v>
      </c>
      <c r="M776" s="28">
        <v>0</v>
      </c>
      <c r="N776" s="28">
        <v>0</v>
      </c>
    </row>
    <row r="777" spans="7:14">
      <c r="G777" s="24">
        <v>776</v>
      </c>
      <c r="H777" s="25">
        <f>S0_</f>
        <v>100</v>
      </c>
      <c r="I777" s="25">
        <f ca="1">S0_*EXP((mu_-sigma_^2/2)*Dt_+sigma_*SQRT(Dt_)*_xlfn.NORM.INV(RAND(),0,1))</f>
        <v>106.270160371671</v>
      </c>
      <c r="J777" s="25">
        <f ca="1">MAX(k_-I777,0)*EXP(-rs_*T_)</f>
        <v>0</v>
      </c>
      <c r="K777" s="25">
        <v>6.08789231261757</v>
      </c>
      <c r="L777" s="25">
        <v>5.51789231261757</v>
      </c>
      <c r="M777" s="28">
        <v>0</v>
      </c>
      <c r="N777" s="28">
        <v>0</v>
      </c>
    </row>
    <row r="778" spans="7:14">
      <c r="G778" s="24">
        <v>777</v>
      </c>
      <c r="H778" s="25">
        <f>S0_</f>
        <v>100</v>
      </c>
      <c r="I778" s="25">
        <f ca="1">S0_*EXP((mu_-sigma_^2/2)*Dt_+sigma_*SQRT(Dt_)*_xlfn.NORM.INV(RAND(),0,1))</f>
        <v>99.1470306290105</v>
      </c>
      <c r="J778" s="25">
        <f ca="1">MAX(k_-I778,0)*EXP(-rs_*T_)</f>
        <v>0</v>
      </c>
      <c r="K778" s="25">
        <v>-0.828174299975933</v>
      </c>
      <c r="L778" s="25">
        <v>-1.39817429997593</v>
      </c>
      <c r="M778" s="28">
        <v>1</v>
      </c>
      <c r="N778" s="28">
        <v>1</v>
      </c>
    </row>
    <row r="779" spans="7:14">
      <c r="G779" s="24">
        <v>778</v>
      </c>
      <c r="H779" s="25">
        <f>S0_</f>
        <v>100</v>
      </c>
      <c r="I779" s="25">
        <f ca="1">S0_*EXP((mu_-sigma_^2/2)*Dt_+sigma_*SQRT(Dt_)*_xlfn.NORM.INV(RAND(),0,1))</f>
        <v>95.8932993753212</v>
      </c>
      <c r="J779" s="25">
        <f ca="1">MAX(k_-I779,0)*EXP(-rs_*T_)</f>
        <v>1.07452980880541</v>
      </c>
      <c r="K779" s="25">
        <v>-3.98732244172899</v>
      </c>
      <c r="L779" s="25">
        <v>-3.48279263292358</v>
      </c>
      <c r="M779" s="28">
        <v>1</v>
      </c>
      <c r="N779" s="28">
        <v>1</v>
      </c>
    </row>
    <row r="780" spans="7:14">
      <c r="G780" s="24">
        <v>779</v>
      </c>
      <c r="H780" s="25">
        <f>S0_</f>
        <v>100</v>
      </c>
      <c r="I780" s="25">
        <f ca="1">S0_*EXP((mu_-sigma_^2/2)*Dt_+sigma_*SQRT(Dt_)*_xlfn.NORM.INV(RAND(),0,1))</f>
        <v>101.473680692949</v>
      </c>
      <c r="J780" s="25">
        <f ca="1">MAX(k_-I780,0)*EXP(-rs_*T_)</f>
        <v>0</v>
      </c>
      <c r="K780" s="25">
        <v>1.43084208856742</v>
      </c>
      <c r="L780" s="25">
        <v>0.860842088567417</v>
      </c>
      <c r="M780" s="28">
        <v>0</v>
      </c>
      <c r="N780" s="28">
        <v>0</v>
      </c>
    </row>
    <row r="781" spans="7:14">
      <c r="G781" s="24">
        <v>780</v>
      </c>
      <c r="H781" s="25">
        <f>S0_</f>
        <v>100</v>
      </c>
      <c r="I781" s="25">
        <f ca="1">S0_*EXP((mu_-sigma_^2/2)*Dt_+sigma_*SQRT(Dt_)*_xlfn.NORM.INV(RAND(),0,1))</f>
        <v>133.020796810619</v>
      </c>
      <c r="J781" s="25">
        <f ca="1">MAX(k_-I781,0)*EXP(-rs_*T_)</f>
        <v>0</v>
      </c>
      <c r="K781" s="25">
        <v>32.0609112277461</v>
      </c>
      <c r="L781" s="25">
        <v>31.4909112277461</v>
      </c>
      <c r="M781" s="28">
        <v>0</v>
      </c>
      <c r="N781" s="28">
        <v>0</v>
      </c>
    </row>
    <row r="782" spans="7:14">
      <c r="G782" s="24">
        <v>781</v>
      </c>
      <c r="H782" s="25">
        <f>S0_</f>
        <v>100</v>
      </c>
      <c r="I782" s="25">
        <f ca="1">S0_*EXP((mu_-sigma_^2/2)*Dt_+sigma_*SQRT(Dt_)*_xlfn.NORM.INV(RAND(),0,1))</f>
        <v>93.0377119134134</v>
      </c>
      <c r="J782" s="25">
        <f ca="1">MAX(k_-I782,0)*EXP(-rs_*T_)</f>
        <v>3.84710784937676</v>
      </c>
      <c r="K782" s="25">
        <v>-6.75990048230034</v>
      </c>
      <c r="L782" s="25">
        <v>-3.48279263292358</v>
      </c>
      <c r="M782" s="28">
        <v>1</v>
      </c>
      <c r="N782" s="28">
        <v>1</v>
      </c>
    </row>
    <row r="783" spans="7:14">
      <c r="G783" s="24">
        <v>782</v>
      </c>
      <c r="H783" s="25">
        <f>S0_</f>
        <v>100</v>
      </c>
      <c r="I783" s="25">
        <f ca="1">S0_*EXP((mu_-sigma_^2/2)*Dt_+sigma_*SQRT(Dt_)*_xlfn.NORM.INV(RAND(),0,1))</f>
        <v>98.1873845851275</v>
      </c>
      <c r="J783" s="25">
        <f ca="1">MAX(k_-I783,0)*EXP(-rs_*T_)</f>
        <v>0</v>
      </c>
      <c r="K783" s="25">
        <v>-1.7599242755881</v>
      </c>
      <c r="L783" s="25">
        <v>-2.3299242755881</v>
      </c>
      <c r="M783" s="28">
        <v>1</v>
      </c>
      <c r="N783" s="28">
        <v>1</v>
      </c>
    </row>
    <row r="784" spans="7:14">
      <c r="G784" s="24">
        <v>783</v>
      </c>
      <c r="H784" s="25">
        <f>S0_</f>
        <v>100</v>
      </c>
      <c r="I784" s="25">
        <f ca="1">S0_*EXP((mu_-sigma_^2/2)*Dt_+sigma_*SQRT(Dt_)*_xlfn.NORM.INV(RAND(),0,1))</f>
        <v>100.308342541899</v>
      </c>
      <c r="J784" s="25">
        <f ca="1">MAX(k_-I784,0)*EXP(-rs_*T_)</f>
        <v>0</v>
      </c>
      <c r="K784" s="25">
        <v>0.29937929482048</v>
      </c>
      <c r="L784" s="25">
        <v>-0.27062070517952</v>
      </c>
      <c r="M784" s="28">
        <v>0</v>
      </c>
      <c r="N784" s="28">
        <v>1</v>
      </c>
    </row>
    <row r="785" spans="7:14">
      <c r="G785" s="24">
        <v>784</v>
      </c>
      <c r="H785" s="25">
        <f>S0_</f>
        <v>100</v>
      </c>
      <c r="I785" s="25">
        <f ca="1">S0_*EXP((mu_-sigma_^2/2)*Dt_+sigma_*SQRT(Dt_)*_xlfn.NORM.INV(RAND(),0,1))</f>
        <v>100.610830822723</v>
      </c>
      <c r="J785" s="25">
        <f ca="1">MAX(k_-I785,0)*EXP(-rs_*T_)</f>
        <v>0</v>
      </c>
      <c r="K785" s="25">
        <v>0.593074506796889</v>
      </c>
      <c r="L785" s="25">
        <v>0.0230745067968895</v>
      </c>
      <c r="M785" s="28">
        <v>0</v>
      </c>
      <c r="N785" s="28">
        <v>0</v>
      </c>
    </row>
    <row r="786" spans="7:14">
      <c r="G786" s="24">
        <v>785</v>
      </c>
      <c r="H786" s="25">
        <f>S0_</f>
        <v>100</v>
      </c>
      <c r="I786" s="25">
        <f ca="1">S0_*EXP((mu_-sigma_^2/2)*Dt_+sigma_*SQRT(Dt_)*_xlfn.NORM.INV(RAND(),0,1))</f>
        <v>108.848340301209</v>
      </c>
      <c r="J786" s="25">
        <f ca="1">MAX(k_-I786,0)*EXP(-rs_*T_)</f>
        <v>0</v>
      </c>
      <c r="K786" s="25">
        <v>8.59112681432106</v>
      </c>
      <c r="L786" s="25">
        <v>8.02112681432106</v>
      </c>
      <c r="M786" s="28">
        <v>0</v>
      </c>
      <c r="N786" s="28">
        <v>0</v>
      </c>
    </row>
    <row r="787" spans="7:14">
      <c r="G787" s="24">
        <v>786</v>
      </c>
      <c r="H787" s="25">
        <f>S0_</f>
        <v>100</v>
      </c>
      <c r="I787" s="25">
        <f ca="1">S0_*EXP((mu_-sigma_^2/2)*Dt_+sigma_*SQRT(Dt_)*_xlfn.NORM.INV(RAND(),0,1))</f>
        <v>97.55215694459</v>
      </c>
      <c r="J787" s="25">
        <f ca="1">MAX(k_-I787,0)*EXP(-rs_*T_)</f>
        <v>0</v>
      </c>
      <c r="K787" s="25">
        <v>-2.37668640611711</v>
      </c>
      <c r="L787" s="25">
        <v>-2.94668640611711</v>
      </c>
      <c r="M787" s="28">
        <v>1</v>
      </c>
      <c r="N787" s="28">
        <v>1</v>
      </c>
    </row>
    <row r="788" spans="7:14">
      <c r="G788" s="24">
        <v>787</v>
      </c>
      <c r="H788" s="25">
        <f>S0_</f>
        <v>100</v>
      </c>
      <c r="I788" s="25">
        <f ca="1">S0_*EXP((mu_-sigma_^2/2)*Dt_+sigma_*SQRT(Dt_)*_xlfn.NORM.INV(RAND(),0,1))</f>
        <v>110.931091250812</v>
      </c>
      <c r="J788" s="25">
        <f ca="1">MAX(k_-I788,0)*EXP(-rs_*T_)</f>
        <v>0</v>
      </c>
      <c r="K788" s="25">
        <v>10.613334021727</v>
      </c>
      <c r="L788" s="25">
        <v>10.043334021727</v>
      </c>
      <c r="M788" s="28">
        <v>0</v>
      </c>
      <c r="N788" s="28">
        <v>0</v>
      </c>
    </row>
    <row r="789" spans="7:14">
      <c r="G789" s="24">
        <v>788</v>
      </c>
      <c r="H789" s="25">
        <f>S0_</f>
        <v>100</v>
      </c>
      <c r="I789" s="25">
        <f ca="1">S0_*EXP((mu_-sigma_^2/2)*Dt_+sigma_*SQRT(Dt_)*_xlfn.NORM.INV(RAND(),0,1))</f>
        <v>107.428125598081</v>
      </c>
      <c r="J789" s="25">
        <f ca="1">MAX(k_-I789,0)*EXP(-rs_*T_)</f>
        <v>0</v>
      </c>
      <c r="K789" s="25">
        <v>7.21219650617343</v>
      </c>
      <c r="L789" s="25">
        <v>6.64219650617343</v>
      </c>
      <c r="M789" s="28">
        <v>0</v>
      </c>
      <c r="N789" s="28">
        <v>0</v>
      </c>
    </row>
    <row r="790" spans="7:14">
      <c r="G790" s="24">
        <v>789</v>
      </c>
      <c r="H790" s="25">
        <f>S0_</f>
        <v>100</v>
      </c>
      <c r="I790" s="25">
        <f ca="1">S0_*EXP((mu_-sigma_^2/2)*Dt_+sigma_*SQRT(Dt_)*_xlfn.NORM.INV(RAND(),0,1))</f>
        <v>97.7500548179082</v>
      </c>
      <c r="J790" s="25">
        <f ca="1">MAX(k_-I790,0)*EXP(-rs_*T_)</f>
        <v>0</v>
      </c>
      <c r="K790" s="25">
        <v>-2.184541250293</v>
      </c>
      <c r="L790" s="25">
        <v>-2.754541250293</v>
      </c>
      <c r="M790" s="28">
        <v>1</v>
      </c>
      <c r="N790" s="28">
        <v>1</v>
      </c>
    </row>
    <row r="791" spans="7:14">
      <c r="G791" s="24">
        <v>790</v>
      </c>
      <c r="H791" s="25">
        <f>S0_</f>
        <v>100</v>
      </c>
      <c r="I791" s="25">
        <f ca="1">S0_*EXP((mu_-sigma_^2/2)*Dt_+sigma_*SQRT(Dt_)*_xlfn.NORM.INV(RAND(),0,1))</f>
        <v>102.659032778988</v>
      </c>
      <c r="J791" s="25">
        <f ca="1">MAX(k_-I791,0)*EXP(-rs_*T_)</f>
        <v>0</v>
      </c>
      <c r="K791" s="25">
        <v>2.58173702977918</v>
      </c>
      <c r="L791" s="25">
        <v>2.01173702977918</v>
      </c>
      <c r="M791" s="28">
        <v>0</v>
      </c>
      <c r="N791" s="28">
        <v>0</v>
      </c>
    </row>
    <row r="792" spans="7:14">
      <c r="G792" s="24">
        <v>791</v>
      </c>
      <c r="H792" s="25">
        <f>S0_</f>
        <v>100</v>
      </c>
      <c r="I792" s="25">
        <f ca="1">S0_*EXP((mu_-sigma_^2/2)*Dt_+sigma_*SQRT(Dt_)*_xlfn.NORM.INV(RAND(),0,1))</f>
        <v>101.787166663162</v>
      </c>
      <c r="J792" s="25">
        <f ca="1">MAX(k_-I792,0)*EXP(-rs_*T_)</f>
        <v>0</v>
      </c>
      <c r="K792" s="25">
        <v>1.73521529675459</v>
      </c>
      <c r="L792" s="25">
        <v>1.16521529675459</v>
      </c>
      <c r="M792" s="28">
        <v>0</v>
      </c>
      <c r="N792" s="28">
        <v>0</v>
      </c>
    </row>
    <row r="793" spans="7:14">
      <c r="G793" s="24">
        <v>792</v>
      </c>
      <c r="H793" s="25">
        <f>S0_</f>
        <v>100</v>
      </c>
      <c r="I793" s="25">
        <f ca="1">S0_*EXP((mu_-sigma_^2/2)*Dt_+sigma_*SQRT(Dt_)*_xlfn.NORM.INV(RAND(),0,1))</f>
        <v>97.1649775276965</v>
      </c>
      <c r="J793" s="25">
        <f ca="1">MAX(k_-I793,0)*EXP(-rs_*T_)</f>
        <v>0</v>
      </c>
      <c r="K793" s="25">
        <v>-2.75261085716614</v>
      </c>
      <c r="L793" s="25">
        <v>-3.32261085716614</v>
      </c>
      <c r="M793" s="28">
        <v>1</v>
      </c>
      <c r="N793" s="28">
        <v>1</v>
      </c>
    </row>
    <row r="794" spans="7:14">
      <c r="G794" s="24">
        <v>793</v>
      </c>
      <c r="H794" s="25">
        <f>S0_</f>
        <v>100</v>
      </c>
      <c r="I794" s="25">
        <f ca="1">S0_*EXP((mu_-sigma_^2/2)*Dt_+sigma_*SQRT(Dt_)*_xlfn.NORM.INV(RAND(),0,1))</f>
        <v>114.026691115772</v>
      </c>
      <c r="J794" s="25">
        <f ca="1">MAX(k_-I794,0)*EXP(-rs_*T_)</f>
        <v>0</v>
      </c>
      <c r="K794" s="25">
        <v>13.6189475154384</v>
      </c>
      <c r="L794" s="25">
        <v>13.0489475154384</v>
      </c>
      <c r="M794" s="28">
        <v>0</v>
      </c>
      <c r="N794" s="28">
        <v>0</v>
      </c>
    </row>
    <row r="795" spans="7:14">
      <c r="G795" s="24">
        <v>794</v>
      </c>
      <c r="H795" s="25">
        <f>S0_</f>
        <v>100</v>
      </c>
      <c r="I795" s="25">
        <f ca="1">S0_*EXP((mu_-sigma_^2/2)*Dt_+sigma_*SQRT(Dt_)*_xlfn.NORM.INV(RAND(),0,1))</f>
        <v>101.071371463043</v>
      </c>
      <c r="J795" s="25">
        <f ca="1">MAX(k_-I795,0)*EXP(-rs_*T_)</f>
        <v>0</v>
      </c>
      <c r="K795" s="25">
        <v>1.04022763489253</v>
      </c>
      <c r="L795" s="25">
        <v>0.470227634892533</v>
      </c>
      <c r="M795" s="28">
        <v>0</v>
      </c>
      <c r="N795" s="28">
        <v>0</v>
      </c>
    </row>
    <row r="796" spans="7:14">
      <c r="G796" s="24">
        <v>795</v>
      </c>
      <c r="H796" s="25">
        <f>S0_</f>
        <v>100</v>
      </c>
      <c r="I796" s="25">
        <f ca="1">S0_*EXP((mu_-sigma_^2/2)*Dt_+sigma_*SQRT(Dt_)*_xlfn.NORM.INV(RAND(),0,1))</f>
        <v>115.927265394679</v>
      </c>
      <c r="J796" s="25">
        <f ca="1">MAX(k_-I796,0)*EXP(-rs_*T_)</f>
        <v>0</v>
      </c>
      <c r="K796" s="25">
        <v>15.4642737680803</v>
      </c>
      <c r="L796" s="25">
        <v>14.8942737680803</v>
      </c>
      <c r="M796" s="28">
        <v>0</v>
      </c>
      <c r="N796" s="28">
        <v>0</v>
      </c>
    </row>
    <row r="797" spans="7:14">
      <c r="G797" s="24">
        <v>796</v>
      </c>
      <c r="H797" s="25">
        <f>S0_</f>
        <v>100</v>
      </c>
      <c r="I797" s="25">
        <f ca="1">S0_*EXP((mu_-sigma_^2/2)*Dt_+sigma_*SQRT(Dt_)*_xlfn.NORM.INV(RAND(),0,1))</f>
        <v>99.5714983793468</v>
      </c>
      <c r="J797" s="25">
        <f ca="1">MAX(k_-I797,0)*EXP(-rs_*T_)</f>
        <v>0</v>
      </c>
      <c r="K797" s="25">
        <v>-0.416045454611465</v>
      </c>
      <c r="L797" s="25">
        <v>-0.986045454611465</v>
      </c>
      <c r="M797" s="28">
        <v>1</v>
      </c>
      <c r="N797" s="28">
        <v>1</v>
      </c>
    </row>
    <row r="798" spans="7:14">
      <c r="G798" s="24">
        <v>797</v>
      </c>
      <c r="H798" s="25">
        <f>S0_</f>
        <v>100</v>
      </c>
      <c r="I798" s="25">
        <f ca="1">S0_*EXP((mu_-sigma_^2/2)*Dt_+sigma_*SQRT(Dt_)*_xlfn.NORM.INV(RAND(),0,1))</f>
        <v>112.473164927063</v>
      </c>
      <c r="J798" s="25">
        <f ca="1">MAX(k_-I798,0)*EXP(-rs_*T_)</f>
        <v>0</v>
      </c>
      <c r="K798" s="25">
        <v>12.110580969597</v>
      </c>
      <c r="L798" s="25">
        <v>11.540580969597</v>
      </c>
      <c r="M798" s="28">
        <v>0</v>
      </c>
      <c r="N798" s="28">
        <v>0</v>
      </c>
    </row>
    <row r="799" spans="7:14">
      <c r="G799" s="24">
        <v>798</v>
      </c>
      <c r="H799" s="25">
        <f>S0_</f>
        <v>100</v>
      </c>
      <c r="I799" s="25">
        <f ca="1">S0_*EXP((mu_-sigma_^2/2)*Dt_+sigma_*SQRT(Dt_)*_xlfn.NORM.INV(RAND(),0,1))</f>
        <v>92.925090986772</v>
      </c>
      <c r="J799" s="25">
        <f ca="1">MAX(k_-I799,0)*EXP(-rs_*T_)</f>
        <v>3.9564549845215</v>
      </c>
      <c r="K799" s="25">
        <v>-6.86924761744508</v>
      </c>
      <c r="L799" s="25">
        <v>-3.48279263292358</v>
      </c>
      <c r="M799" s="28">
        <v>1</v>
      </c>
      <c r="N799" s="28">
        <v>1</v>
      </c>
    </row>
    <row r="800" spans="7:14">
      <c r="G800" s="24">
        <v>799</v>
      </c>
      <c r="H800" s="25">
        <f>S0_</f>
        <v>100</v>
      </c>
      <c r="I800" s="25">
        <f ca="1">S0_*EXP((mu_-sigma_^2/2)*Dt_+sigma_*SQRT(Dt_)*_xlfn.NORM.INV(RAND(),0,1))</f>
        <v>100.032084869485</v>
      </c>
      <c r="J800" s="25">
        <f ca="1">MAX(k_-I800,0)*EXP(-rs_*T_)</f>
        <v>0</v>
      </c>
      <c r="K800" s="25">
        <v>0.0311521904877334</v>
      </c>
      <c r="L800" s="25">
        <v>-0.538847809512267</v>
      </c>
      <c r="M800" s="28">
        <v>0</v>
      </c>
      <c r="N800" s="28">
        <v>1</v>
      </c>
    </row>
    <row r="801" spans="7:14">
      <c r="G801" s="24">
        <v>800</v>
      </c>
      <c r="H801" s="25">
        <f>S0_</f>
        <v>100</v>
      </c>
      <c r="I801" s="25">
        <f ca="1">S0_*EXP((mu_-sigma_^2/2)*Dt_+sigma_*SQRT(Dt_)*_xlfn.NORM.INV(RAND(),0,1))</f>
        <v>100.688665298648</v>
      </c>
      <c r="J801" s="25">
        <f ca="1">MAX(k_-I801,0)*EXP(-rs_*T_)</f>
        <v>0</v>
      </c>
      <c r="K801" s="25">
        <v>0.668646402817784</v>
      </c>
      <c r="L801" s="25">
        <v>0.0986464028177836</v>
      </c>
      <c r="M801" s="28">
        <v>0</v>
      </c>
      <c r="N801" s="28">
        <v>0</v>
      </c>
    </row>
    <row r="802" spans="7:14">
      <c r="G802" s="24">
        <v>801</v>
      </c>
      <c r="H802" s="25">
        <f>S0_</f>
        <v>100</v>
      </c>
      <c r="I802" s="25">
        <f ca="1">S0_*EXP((mu_-sigma_^2/2)*Dt_+sigma_*SQRT(Dt_)*_xlfn.NORM.INV(RAND(),0,1))</f>
        <v>104.378170662887</v>
      </c>
      <c r="J802" s="25">
        <f ca="1">MAX(k_-I802,0)*EXP(-rs_*T_)</f>
        <v>0</v>
      </c>
      <c r="K802" s="25">
        <v>4.25090108418004</v>
      </c>
      <c r="L802" s="25">
        <v>3.68090108418004</v>
      </c>
      <c r="M802" s="28">
        <v>0</v>
      </c>
      <c r="N802" s="28">
        <v>0</v>
      </c>
    </row>
    <row r="803" spans="7:14">
      <c r="G803" s="24">
        <v>802</v>
      </c>
      <c r="H803" s="25">
        <f>S0_</f>
        <v>100</v>
      </c>
      <c r="I803" s="25">
        <f ca="1">S0_*EXP((mu_-sigma_^2/2)*Dt_+sigma_*SQRT(Dt_)*_xlfn.NORM.INV(RAND(),0,1))</f>
        <v>103.256254061817</v>
      </c>
      <c r="J803" s="25">
        <f ca="1">MAX(k_-I803,0)*EXP(-rs_*T_)</f>
        <v>0</v>
      </c>
      <c r="K803" s="25">
        <v>3.1615976140622</v>
      </c>
      <c r="L803" s="25">
        <v>2.5915976140622</v>
      </c>
      <c r="M803" s="28">
        <v>0</v>
      </c>
      <c r="N803" s="28">
        <v>0</v>
      </c>
    </row>
    <row r="804" spans="7:14">
      <c r="G804" s="24">
        <v>803</v>
      </c>
      <c r="H804" s="25">
        <f>S0_</f>
        <v>100</v>
      </c>
      <c r="I804" s="25">
        <f ca="1">S0_*EXP((mu_-sigma_^2/2)*Dt_+sigma_*SQRT(Dt_)*_xlfn.NORM.INV(RAND(),0,1))</f>
        <v>109.696597962478</v>
      </c>
      <c r="J804" s="25">
        <f ca="1">MAX(k_-I804,0)*EXP(-rs_*T_)</f>
        <v>0</v>
      </c>
      <c r="K804" s="25">
        <v>9.41472636984289</v>
      </c>
      <c r="L804" s="25">
        <v>8.84472636984289</v>
      </c>
      <c r="M804" s="28">
        <v>0</v>
      </c>
      <c r="N804" s="28">
        <v>0</v>
      </c>
    </row>
    <row r="805" spans="7:14">
      <c r="G805" s="24">
        <v>804</v>
      </c>
      <c r="H805" s="25">
        <f>S0_</f>
        <v>100</v>
      </c>
      <c r="I805" s="25">
        <f ca="1">S0_*EXP((mu_-sigma_^2/2)*Dt_+sigma_*SQRT(Dt_)*_xlfn.NORM.INV(RAND(),0,1))</f>
        <v>107.956196174886</v>
      </c>
      <c r="J805" s="25">
        <f ca="1">MAX(k_-I805,0)*EXP(-rs_*T_)</f>
        <v>0</v>
      </c>
      <c r="K805" s="25">
        <v>7.72491653476758</v>
      </c>
      <c r="L805" s="25">
        <v>7.15491653476758</v>
      </c>
      <c r="M805" s="28">
        <v>0</v>
      </c>
      <c r="N805" s="28">
        <v>0</v>
      </c>
    </row>
    <row r="806" spans="7:14">
      <c r="G806" s="24">
        <v>805</v>
      </c>
      <c r="H806" s="25">
        <f>S0_</f>
        <v>100</v>
      </c>
      <c r="I806" s="25">
        <f ca="1">S0_*EXP((mu_-sigma_^2/2)*Dt_+sigma_*SQRT(Dt_)*_xlfn.NORM.INV(RAND(),0,1))</f>
        <v>108.06032612871</v>
      </c>
      <c r="J806" s="25">
        <f ca="1">MAX(k_-I806,0)*EXP(-rs_*T_)</f>
        <v>0</v>
      </c>
      <c r="K806" s="25">
        <v>7.82601952222301</v>
      </c>
      <c r="L806" s="25">
        <v>7.25601952222301</v>
      </c>
      <c r="M806" s="28">
        <v>0</v>
      </c>
      <c r="N806" s="28">
        <v>0</v>
      </c>
    </row>
    <row r="807" spans="7:14">
      <c r="G807" s="24">
        <v>806</v>
      </c>
      <c r="H807" s="25">
        <f>S0_</f>
        <v>100</v>
      </c>
      <c r="I807" s="25">
        <f ca="1">S0_*EXP((mu_-sigma_^2/2)*Dt_+sigma_*SQRT(Dt_)*_xlfn.NORM.INV(RAND(),0,1))</f>
        <v>104.866608191092</v>
      </c>
      <c r="J807" s="25">
        <f ca="1">MAX(k_-I807,0)*EXP(-rs_*T_)</f>
        <v>0</v>
      </c>
      <c r="K807" s="25">
        <v>4.72514016211301</v>
      </c>
      <c r="L807" s="25">
        <v>4.15514016211301</v>
      </c>
      <c r="M807" s="28">
        <v>0</v>
      </c>
      <c r="N807" s="28">
        <v>0</v>
      </c>
    </row>
    <row r="808" spans="7:14">
      <c r="G808" s="24">
        <v>807</v>
      </c>
      <c r="H808" s="25">
        <f>S0_</f>
        <v>100</v>
      </c>
      <c r="I808" s="25">
        <f ca="1">S0_*EXP((mu_-sigma_^2/2)*Dt_+sigma_*SQRT(Dt_)*_xlfn.NORM.INV(RAND(),0,1))</f>
        <v>99.7898767080999</v>
      </c>
      <c r="J808" s="25">
        <f ca="1">MAX(k_-I808,0)*EXP(-rs_*T_)</f>
        <v>0</v>
      </c>
      <c r="K808" s="25">
        <v>-0.204015192217383</v>
      </c>
      <c r="L808" s="25">
        <v>-0.774015192217383</v>
      </c>
      <c r="M808" s="28">
        <v>1</v>
      </c>
      <c r="N808" s="28">
        <v>1</v>
      </c>
    </row>
    <row r="809" spans="7:14">
      <c r="G809" s="24">
        <v>808</v>
      </c>
      <c r="H809" s="25">
        <f>S0_</f>
        <v>100</v>
      </c>
      <c r="I809" s="25">
        <f ca="1">S0_*EXP((mu_-sigma_^2/2)*Dt_+sigma_*SQRT(Dt_)*_xlfn.NORM.INV(RAND(),0,1))</f>
        <v>106.833094551074</v>
      </c>
      <c r="J809" s="25">
        <f ca="1">MAX(k_-I809,0)*EXP(-rs_*T_)</f>
        <v>0</v>
      </c>
      <c r="K809" s="25">
        <v>6.63446248947959</v>
      </c>
      <c r="L809" s="25">
        <v>6.06446248947959</v>
      </c>
      <c r="M809" s="28">
        <v>0</v>
      </c>
      <c r="N809" s="28">
        <v>0</v>
      </c>
    </row>
    <row r="810" spans="7:14">
      <c r="G810" s="24">
        <v>809</v>
      </c>
      <c r="H810" s="25">
        <f>S0_</f>
        <v>100</v>
      </c>
      <c r="I810" s="25">
        <f ca="1">S0_*EXP((mu_-sigma_^2/2)*Dt_+sigma_*SQRT(Dt_)*_xlfn.NORM.INV(RAND(),0,1))</f>
        <v>103.505348918821</v>
      </c>
      <c r="J810" s="25">
        <f ca="1">MAX(k_-I810,0)*EXP(-rs_*T_)</f>
        <v>0</v>
      </c>
      <c r="K810" s="25">
        <v>3.40345150218914</v>
      </c>
      <c r="L810" s="25">
        <v>2.83345150218914</v>
      </c>
      <c r="M810" s="28">
        <v>0</v>
      </c>
      <c r="N810" s="28">
        <v>0</v>
      </c>
    </row>
    <row r="811" spans="7:14">
      <c r="G811" s="24">
        <v>810</v>
      </c>
      <c r="H811" s="25">
        <f>S0_</f>
        <v>100</v>
      </c>
      <c r="I811" s="25">
        <f ca="1">S0_*EXP((mu_-sigma_^2/2)*Dt_+sigma_*SQRT(Dt_)*_xlfn.NORM.INV(RAND(),0,1))</f>
        <v>96.3490037231043</v>
      </c>
      <c r="J811" s="25">
        <f ca="1">MAX(k_-I811,0)*EXP(-rs_*T_)</f>
        <v>0.632072386467489</v>
      </c>
      <c r="K811" s="25">
        <v>-3.54486501939107</v>
      </c>
      <c r="L811" s="25">
        <v>-3.48279263292358</v>
      </c>
      <c r="M811" s="28">
        <v>1</v>
      </c>
      <c r="N811" s="28">
        <v>1</v>
      </c>
    </row>
    <row r="812" spans="7:14">
      <c r="G812" s="24">
        <v>811</v>
      </c>
      <c r="H812" s="25">
        <f>S0_</f>
        <v>100</v>
      </c>
      <c r="I812" s="25">
        <f ca="1">S0_*EXP((mu_-sigma_^2/2)*Dt_+sigma_*SQRT(Dt_)*_xlfn.NORM.INV(RAND(),0,1))</f>
        <v>105.592318419462</v>
      </c>
      <c r="J812" s="25">
        <f ca="1">MAX(k_-I812,0)*EXP(-rs_*T_)</f>
        <v>0</v>
      </c>
      <c r="K812" s="25">
        <v>5.42975463105747</v>
      </c>
      <c r="L812" s="25">
        <v>4.85975463105747</v>
      </c>
      <c r="M812" s="28">
        <v>0</v>
      </c>
      <c r="N812" s="28">
        <v>0</v>
      </c>
    </row>
    <row r="813" spans="7:14">
      <c r="G813" s="24">
        <v>812</v>
      </c>
      <c r="H813" s="25">
        <f>S0_</f>
        <v>100</v>
      </c>
      <c r="I813" s="25">
        <f ca="1">S0_*EXP((mu_-sigma_^2/2)*Dt_+sigma_*SQRT(Dt_)*_xlfn.NORM.INV(RAND(),0,1))</f>
        <v>87.2496913674437</v>
      </c>
      <c r="J813" s="25">
        <f ca="1">MAX(k_-I813,0)*EXP(-rs_*T_)</f>
        <v>9.46687571788041</v>
      </c>
      <c r="K813" s="25">
        <v>-12.379668350804</v>
      </c>
      <c r="L813" s="25">
        <v>-3.48279263292358</v>
      </c>
      <c r="M813" s="28">
        <v>1</v>
      </c>
      <c r="N813" s="28">
        <v>1</v>
      </c>
    </row>
    <row r="814" spans="7:14">
      <c r="G814" s="24">
        <v>813</v>
      </c>
      <c r="H814" s="25">
        <f>S0_</f>
        <v>100</v>
      </c>
      <c r="I814" s="25">
        <f ca="1">S0_*EXP((mu_-sigma_^2/2)*Dt_+sigma_*SQRT(Dt_)*_xlfn.NORM.INV(RAND(),0,1))</f>
        <v>95.1398119038548</v>
      </c>
      <c r="J814" s="25">
        <f ca="1">MAX(k_-I814,0)*EXP(-rs_*T_)</f>
        <v>1.80611406076797</v>
      </c>
      <c r="K814" s="25">
        <v>-4.71890669369155</v>
      </c>
      <c r="L814" s="25">
        <v>-3.48279263292358</v>
      </c>
      <c r="M814" s="28">
        <v>1</v>
      </c>
      <c r="N814" s="28">
        <v>1</v>
      </c>
    </row>
    <row r="815" spans="7:14">
      <c r="G815" s="24">
        <v>814</v>
      </c>
      <c r="H815" s="25">
        <f>S0_</f>
        <v>100</v>
      </c>
      <c r="I815" s="25">
        <f ca="1">S0_*EXP((mu_-sigma_^2/2)*Dt_+sigma_*SQRT(Dt_)*_xlfn.NORM.INV(RAND(),0,1))</f>
        <v>106.815699968462</v>
      </c>
      <c r="J815" s="25">
        <f ca="1">MAX(k_-I815,0)*EXP(-rs_*T_)</f>
        <v>0</v>
      </c>
      <c r="K815" s="25">
        <v>6.6175735521177</v>
      </c>
      <c r="L815" s="25">
        <v>6.0475735521177</v>
      </c>
      <c r="M815" s="28">
        <v>0</v>
      </c>
      <c r="N815" s="28">
        <v>0</v>
      </c>
    </row>
    <row r="816" spans="7:14">
      <c r="G816" s="24">
        <v>815</v>
      </c>
      <c r="H816" s="25">
        <f>S0_</f>
        <v>100</v>
      </c>
      <c r="I816" s="25">
        <f ca="1">S0_*EXP((mu_-sigma_^2/2)*Dt_+sigma_*SQRT(Dt_)*_xlfn.NORM.INV(RAND(),0,1))</f>
        <v>116.54659483674</v>
      </c>
      <c r="J816" s="25">
        <f ca="1">MAX(k_-I816,0)*EXP(-rs_*T_)</f>
        <v>0</v>
      </c>
      <c r="K816" s="25">
        <v>16.065599846809</v>
      </c>
      <c r="L816" s="25">
        <v>15.495599846809</v>
      </c>
      <c r="M816" s="28">
        <v>0</v>
      </c>
      <c r="N816" s="28">
        <v>0</v>
      </c>
    </row>
    <row r="817" spans="7:14">
      <c r="G817" s="24">
        <v>816</v>
      </c>
      <c r="H817" s="25">
        <f>S0_</f>
        <v>100</v>
      </c>
      <c r="I817" s="25">
        <f ca="1">S0_*EXP((mu_-sigma_^2/2)*Dt_+sigma_*SQRT(Dt_)*_xlfn.NORM.INV(RAND(),0,1))</f>
        <v>105.678005283756</v>
      </c>
      <c r="J817" s="25">
        <f ca="1">MAX(k_-I817,0)*EXP(-rs_*T_)</f>
        <v>0</v>
      </c>
      <c r="K817" s="25">
        <v>5.51295065340885</v>
      </c>
      <c r="L817" s="25">
        <v>4.94295065340885</v>
      </c>
      <c r="M817" s="28">
        <v>0</v>
      </c>
      <c r="N817" s="28">
        <v>0</v>
      </c>
    </row>
    <row r="818" spans="7:14">
      <c r="G818" s="24">
        <v>817</v>
      </c>
      <c r="H818" s="25">
        <f>S0_</f>
        <v>100</v>
      </c>
      <c r="I818" s="25">
        <f ca="1">S0_*EXP((mu_-sigma_^2/2)*Dt_+sigma_*SQRT(Dt_)*_xlfn.NORM.INV(RAND(),0,1))</f>
        <v>110.725433479335</v>
      </c>
      <c r="J818" s="25">
        <f ca="1">MAX(k_-I818,0)*EXP(-rs_*T_)</f>
        <v>0</v>
      </c>
      <c r="K818" s="25">
        <v>10.4136545411734</v>
      </c>
      <c r="L818" s="25">
        <v>9.84365454117344</v>
      </c>
      <c r="M818" s="28">
        <v>0</v>
      </c>
      <c r="N818" s="28">
        <v>0</v>
      </c>
    </row>
    <row r="819" spans="7:14">
      <c r="G819" s="24">
        <v>818</v>
      </c>
      <c r="H819" s="25">
        <f>S0_</f>
        <v>100</v>
      </c>
      <c r="I819" s="25">
        <f ca="1">S0_*EXP((mu_-sigma_^2/2)*Dt_+sigma_*SQRT(Dt_)*_xlfn.NORM.INV(RAND(),0,1))</f>
        <v>89.8737424870192</v>
      </c>
      <c r="J819" s="25">
        <f ca="1">MAX(k_-I819,0)*EXP(-rs_*T_)</f>
        <v>6.91910346137556</v>
      </c>
      <c r="K819" s="25">
        <v>-9.83189609429914</v>
      </c>
      <c r="L819" s="25">
        <v>-3.48279263292358</v>
      </c>
      <c r="M819" s="28">
        <v>1</v>
      </c>
      <c r="N819" s="28">
        <v>1</v>
      </c>
    </row>
    <row r="820" spans="7:14">
      <c r="G820" s="24">
        <v>819</v>
      </c>
      <c r="H820" s="25">
        <f>S0_</f>
        <v>100</v>
      </c>
      <c r="I820" s="25">
        <f ca="1">S0_*EXP((mu_-sigma_^2/2)*Dt_+sigma_*SQRT(Dt_)*_xlfn.NORM.INV(RAND(),0,1))</f>
        <v>116.235110725798</v>
      </c>
      <c r="J820" s="25">
        <f ca="1">MAX(k_-I820,0)*EXP(-rs_*T_)</f>
        <v>0</v>
      </c>
      <c r="K820" s="25">
        <v>15.7631703056013</v>
      </c>
      <c r="L820" s="25">
        <v>15.1931703056013</v>
      </c>
      <c r="M820" s="28">
        <v>0</v>
      </c>
      <c r="N820" s="28">
        <v>0</v>
      </c>
    </row>
    <row r="821" spans="7:14">
      <c r="G821" s="24">
        <v>820</v>
      </c>
      <c r="H821" s="25">
        <f>S0_</f>
        <v>100</v>
      </c>
      <c r="I821" s="25">
        <f ca="1">S0_*EXP((mu_-sigma_^2/2)*Dt_+sigma_*SQRT(Dt_)*_xlfn.NORM.INV(RAND(),0,1))</f>
        <v>105.713852072542</v>
      </c>
      <c r="J821" s="25">
        <f ca="1">MAX(k_-I821,0)*EXP(-rs_*T_)</f>
        <v>0</v>
      </c>
      <c r="K821" s="25">
        <v>5.54775540750542</v>
      </c>
      <c r="L821" s="25">
        <v>4.97775540750542</v>
      </c>
      <c r="M821" s="28">
        <v>0</v>
      </c>
      <c r="N821" s="28">
        <v>0</v>
      </c>
    </row>
    <row r="822" spans="7:14">
      <c r="G822" s="24">
        <v>821</v>
      </c>
      <c r="H822" s="25">
        <f>S0_</f>
        <v>100</v>
      </c>
      <c r="I822" s="25">
        <f ca="1">S0_*EXP((mu_-sigma_^2/2)*Dt_+sigma_*SQRT(Dt_)*_xlfn.NORM.INV(RAND(),0,1))</f>
        <v>106.111522920293</v>
      </c>
      <c r="J822" s="25">
        <f ca="1">MAX(k_-I822,0)*EXP(-rs_*T_)</f>
        <v>0</v>
      </c>
      <c r="K822" s="25">
        <v>5.933866312724</v>
      </c>
      <c r="L822" s="25">
        <v>5.363866312724</v>
      </c>
      <c r="M822" s="28">
        <v>0</v>
      </c>
      <c r="N822" s="28">
        <v>0</v>
      </c>
    </row>
    <row r="823" spans="7:14">
      <c r="G823" s="24">
        <v>822</v>
      </c>
      <c r="H823" s="25">
        <f>S0_</f>
        <v>100</v>
      </c>
      <c r="I823" s="25">
        <f ca="1">S0_*EXP((mu_-sigma_^2/2)*Dt_+sigma_*SQRT(Dt_)*_xlfn.NORM.INV(RAND(),0,1))</f>
        <v>99.487017539465</v>
      </c>
      <c r="J823" s="25">
        <f ca="1">MAX(k_-I823,0)*EXP(-rs_*T_)</f>
        <v>0</v>
      </c>
      <c r="K823" s="25">
        <v>-0.498070510621786</v>
      </c>
      <c r="L823" s="25">
        <v>-1.06807051062179</v>
      </c>
      <c r="M823" s="28">
        <v>1</v>
      </c>
      <c r="N823" s="28">
        <v>1</v>
      </c>
    </row>
    <row r="824" spans="7:14">
      <c r="G824" s="24">
        <v>823</v>
      </c>
      <c r="H824" s="25">
        <f>S0_</f>
        <v>100</v>
      </c>
      <c r="I824" s="25">
        <f ca="1">S0_*EXP((mu_-sigma_^2/2)*Dt_+sigma_*SQRT(Dt_)*_xlfn.NORM.INV(RAND(),0,1))</f>
        <v>106.128344145746</v>
      </c>
      <c r="J824" s="25">
        <f ca="1">MAX(k_-I824,0)*EXP(-rs_*T_)</f>
        <v>0</v>
      </c>
      <c r="K824" s="25">
        <v>5.9501985599166</v>
      </c>
      <c r="L824" s="25">
        <v>5.3801985599166</v>
      </c>
      <c r="M824" s="28">
        <v>0</v>
      </c>
      <c r="N824" s="28">
        <v>0</v>
      </c>
    </row>
    <row r="825" spans="7:14">
      <c r="G825" s="24">
        <v>824</v>
      </c>
      <c r="H825" s="25">
        <f>S0_</f>
        <v>100</v>
      </c>
      <c r="I825" s="25">
        <f ca="1">S0_*EXP((mu_-sigma_^2/2)*Dt_+sigma_*SQRT(Dt_)*_xlfn.NORM.INV(RAND(),0,1))</f>
        <v>93.4337239070183</v>
      </c>
      <c r="J825" s="25">
        <f ca="1">MAX(k_-I825,0)*EXP(-rs_*T_)</f>
        <v>3.46260757686949</v>
      </c>
      <c r="K825" s="25">
        <v>-6.37540020979307</v>
      </c>
      <c r="L825" s="25">
        <v>-3.48279263292358</v>
      </c>
      <c r="M825" s="28">
        <v>1</v>
      </c>
      <c r="N825" s="28">
        <v>1</v>
      </c>
    </row>
    <row r="826" spans="7:14">
      <c r="G826" s="24">
        <v>825</v>
      </c>
      <c r="H826" s="25">
        <f>S0_</f>
        <v>100</v>
      </c>
      <c r="I826" s="25">
        <f ca="1">S0_*EXP((mu_-sigma_^2/2)*Dt_+sigma_*SQRT(Dt_)*_xlfn.NORM.INV(RAND(),0,1))</f>
        <v>96.7639860339568</v>
      </c>
      <c r="J826" s="25">
        <f ca="1">MAX(k_-I826,0)*EXP(-rs_*T_)</f>
        <v>0.229153247185878</v>
      </c>
      <c r="K826" s="25">
        <v>-3.14194588010946</v>
      </c>
      <c r="L826" s="25">
        <v>-3.48279263292358</v>
      </c>
      <c r="M826" s="28">
        <v>1</v>
      </c>
      <c r="N826" s="28">
        <v>1</v>
      </c>
    </row>
    <row r="827" spans="7:14">
      <c r="G827" s="24">
        <v>826</v>
      </c>
      <c r="H827" s="25">
        <f>S0_</f>
        <v>100</v>
      </c>
      <c r="I827" s="25">
        <f ca="1">S0_*EXP((mu_-sigma_^2/2)*Dt_+sigma_*SQRT(Dt_)*_xlfn.NORM.INV(RAND(),0,1))</f>
        <v>101.721301216933</v>
      </c>
      <c r="J827" s="25">
        <f ca="1">MAX(k_-I827,0)*EXP(-rs_*T_)</f>
        <v>0</v>
      </c>
      <c r="K827" s="25">
        <v>1.67126450124128</v>
      </c>
      <c r="L827" s="25">
        <v>1.10126450124128</v>
      </c>
      <c r="M827" s="28">
        <v>0</v>
      </c>
      <c r="N827" s="28">
        <v>0</v>
      </c>
    </row>
    <row r="828" spans="7:14">
      <c r="G828" s="24">
        <v>827</v>
      </c>
      <c r="H828" s="25">
        <f>S0_</f>
        <v>100</v>
      </c>
      <c r="I828" s="25">
        <f ca="1">S0_*EXP((mu_-sigma_^2/2)*Dt_+sigma_*SQRT(Dt_)*_xlfn.NORM.INV(RAND(),0,1))</f>
        <v>99.3739830128385</v>
      </c>
      <c r="J828" s="25">
        <f ca="1">MAX(k_-I828,0)*EXP(-rs_*T_)</f>
        <v>0</v>
      </c>
      <c r="K828" s="25">
        <v>-0.607819222763045</v>
      </c>
      <c r="L828" s="25">
        <v>-1.17781922276304</v>
      </c>
      <c r="M828" s="28">
        <v>1</v>
      </c>
      <c r="N828" s="28">
        <v>1</v>
      </c>
    </row>
    <row r="829" spans="7:14">
      <c r="G829" s="24">
        <v>828</v>
      </c>
      <c r="H829" s="25">
        <f>S0_</f>
        <v>100</v>
      </c>
      <c r="I829" s="25">
        <f ca="1">S0_*EXP((mu_-sigma_^2/2)*Dt_+sigma_*SQRT(Dt_)*_xlfn.NORM.INV(RAND(),0,1))</f>
        <v>100.786476423638</v>
      </c>
      <c r="J829" s="25">
        <f ca="1">MAX(k_-I829,0)*EXP(-rs_*T_)</f>
        <v>0</v>
      </c>
      <c r="K829" s="25">
        <v>0.763614244246889</v>
      </c>
      <c r="L829" s="25">
        <v>0.193614244246889</v>
      </c>
      <c r="M829" s="28">
        <v>0</v>
      </c>
      <c r="N829" s="28">
        <v>0</v>
      </c>
    </row>
    <row r="830" spans="7:14">
      <c r="G830" s="24">
        <v>829</v>
      </c>
      <c r="H830" s="25">
        <f>S0_</f>
        <v>100</v>
      </c>
      <c r="I830" s="25">
        <f ca="1">S0_*EXP((mu_-sigma_^2/2)*Dt_+sigma_*SQRT(Dt_)*_xlfn.NORM.INV(RAND(),0,1))</f>
        <v>100.660324170588</v>
      </c>
      <c r="J830" s="25">
        <f ca="1">MAX(k_-I830,0)*EXP(-rs_*T_)</f>
        <v>0</v>
      </c>
      <c r="K830" s="25">
        <v>0.641129126476754</v>
      </c>
      <c r="L830" s="25">
        <v>0.0711291264767538</v>
      </c>
      <c r="M830" s="28">
        <v>0</v>
      </c>
      <c r="N830" s="28">
        <v>0</v>
      </c>
    </row>
    <row r="831" spans="7:14">
      <c r="G831" s="24">
        <v>830</v>
      </c>
      <c r="H831" s="25">
        <f>S0_</f>
        <v>100</v>
      </c>
      <c r="I831" s="25">
        <f ca="1">S0_*EXP((mu_-sigma_^2/2)*Dt_+sigma_*SQRT(Dt_)*_xlfn.NORM.INV(RAND(),0,1))</f>
        <v>102.224622757018</v>
      </c>
      <c r="J831" s="25">
        <f ca="1">MAX(k_-I831,0)*EXP(-rs_*T_)</f>
        <v>0</v>
      </c>
      <c r="K831" s="25">
        <v>2.15995492589236</v>
      </c>
      <c r="L831" s="25">
        <v>1.58995492589236</v>
      </c>
      <c r="M831" s="28">
        <v>0</v>
      </c>
      <c r="N831" s="28">
        <v>0</v>
      </c>
    </row>
    <row r="832" spans="7:14">
      <c r="G832" s="24">
        <v>831</v>
      </c>
      <c r="H832" s="25">
        <f>S0_</f>
        <v>100</v>
      </c>
      <c r="I832" s="25">
        <f ca="1">S0_*EXP((mu_-sigma_^2/2)*Dt_+sigma_*SQRT(Dt_)*_xlfn.NORM.INV(RAND(),0,1))</f>
        <v>96.9380325604968</v>
      </c>
      <c r="J832" s="25">
        <f ca="1">MAX(k_-I832,0)*EXP(-rs_*T_)</f>
        <v>0.0601661004220258</v>
      </c>
      <c r="K832" s="25">
        <v>-2.97295873334561</v>
      </c>
      <c r="L832" s="25">
        <v>-3.48279263292358</v>
      </c>
      <c r="M832" s="28">
        <v>1</v>
      </c>
      <c r="N832" s="28">
        <v>1</v>
      </c>
    </row>
    <row r="833" spans="7:14">
      <c r="G833" s="24">
        <v>832</v>
      </c>
      <c r="H833" s="25">
        <f>S0_</f>
        <v>100</v>
      </c>
      <c r="I833" s="25">
        <f ca="1">S0_*EXP((mu_-sigma_^2/2)*Dt_+sigma_*SQRT(Dt_)*_xlfn.NORM.INV(RAND(),0,1))</f>
        <v>85.2109380156039</v>
      </c>
      <c r="J833" s="25">
        <f ca="1">MAX(k_-I833,0)*EXP(-rs_*T_)</f>
        <v>11.4463642990761</v>
      </c>
      <c r="K833" s="25">
        <v>-14.3591569319997</v>
      </c>
      <c r="L833" s="25">
        <v>-3.48279263292358</v>
      </c>
      <c r="M833" s="28">
        <v>1</v>
      </c>
      <c r="N833" s="28">
        <v>1</v>
      </c>
    </row>
    <row r="834" spans="7:14">
      <c r="G834" s="24">
        <v>833</v>
      </c>
      <c r="H834" s="25">
        <f>S0_</f>
        <v>100</v>
      </c>
      <c r="I834" s="25">
        <f ca="1">S0_*EXP((mu_-sigma_^2/2)*Dt_+sigma_*SQRT(Dt_)*_xlfn.NORM.INV(RAND(),0,1))</f>
        <v>101.3121160344</v>
      </c>
      <c r="J834" s="25">
        <f ca="1">MAX(k_-I834,0)*EXP(-rs_*T_)</f>
        <v>0</v>
      </c>
      <c r="K834" s="25">
        <v>1.27397397284698</v>
      </c>
      <c r="L834" s="25">
        <v>0.703973972846985</v>
      </c>
      <c r="M834" s="28">
        <v>0</v>
      </c>
      <c r="N834" s="28">
        <v>0</v>
      </c>
    </row>
    <row r="835" spans="7:14">
      <c r="G835" s="24">
        <v>834</v>
      </c>
      <c r="H835" s="25">
        <f>S0_</f>
        <v>100</v>
      </c>
      <c r="I835" s="25">
        <f ca="1">S0_*EXP((mu_-sigma_^2/2)*Dt_+sigma_*SQRT(Dt_)*_xlfn.NORM.INV(RAND(),0,1))</f>
        <v>97.1363361713948</v>
      </c>
      <c r="J835" s="25">
        <f ca="1">MAX(k_-I835,0)*EXP(-rs_*T_)</f>
        <v>0</v>
      </c>
      <c r="K835" s="25">
        <v>-2.78041963437697</v>
      </c>
      <c r="L835" s="25">
        <v>-3.35041963437697</v>
      </c>
      <c r="M835" s="28">
        <v>1</v>
      </c>
      <c r="N835" s="28">
        <v>1</v>
      </c>
    </row>
    <row r="836" spans="7:14">
      <c r="G836" s="24">
        <v>835</v>
      </c>
      <c r="H836" s="25">
        <f>S0_</f>
        <v>100</v>
      </c>
      <c r="I836" s="25">
        <f ca="1">S0_*EXP((mu_-sigma_^2/2)*Dt_+sigma_*SQRT(Dt_)*_xlfn.NORM.INV(RAND(),0,1))</f>
        <v>114.062021948965</v>
      </c>
      <c r="J836" s="25">
        <f ca="1">MAX(k_-I836,0)*EXP(-rs_*T_)</f>
        <v>0</v>
      </c>
      <c r="K836" s="25">
        <v>13.6532513123184</v>
      </c>
      <c r="L836" s="25">
        <v>13.0832513123184</v>
      </c>
      <c r="M836" s="28">
        <v>0</v>
      </c>
      <c r="N836" s="28">
        <v>0</v>
      </c>
    </row>
    <row r="837" spans="7:14">
      <c r="G837" s="24">
        <v>836</v>
      </c>
      <c r="H837" s="25">
        <f>S0_</f>
        <v>100</v>
      </c>
      <c r="I837" s="25">
        <f ca="1">S0_*EXP((mu_-sigma_^2/2)*Dt_+sigma_*SQRT(Dt_)*_xlfn.NORM.INV(RAND(),0,1))</f>
        <v>90.0486078336195</v>
      </c>
      <c r="J837" s="25">
        <f ca="1">MAX(k_-I837,0)*EXP(-rs_*T_)</f>
        <v>6.74932129693194</v>
      </c>
      <c r="K837" s="25">
        <v>-9.66211392985553</v>
      </c>
      <c r="L837" s="25">
        <v>-3.48279263292358</v>
      </c>
      <c r="M837" s="28">
        <v>1</v>
      </c>
      <c r="N837" s="28">
        <v>1</v>
      </c>
    </row>
    <row r="838" spans="7:14">
      <c r="G838" s="24">
        <v>837</v>
      </c>
      <c r="H838" s="25">
        <f>S0_</f>
        <v>100</v>
      </c>
      <c r="I838" s="25">
        <f ca="1">S0_*EXP((mu_-sigma_^2/2)*Dt_+sigma_*SQRT(Dt_)*_xlfn.NORM.INV(RAND(),0,1))</f>
        <v>99.9464459662742</v>
      </c>
      <c r="J838" s="25">
        <f ca="1">MAX(k_-I838,0)*EXP(-rs_*T_)</f>
        <v>0</v>
      </c>
      <c r="K838" s="25">
        <v>-0.0519972649666611</v>
      </c>
      <c r="L838" s="25">
        <v>-0.621997264966661</v>
      </c>
      <c r="M838" s="28">
        <v>1</v>
      </c>
      <c r="N838" s="28">
        <v>1</v>
      </c>
    </row>
    <row r="839" spans="7:14">
      <c r="G839" s="24">
        <v>838</v>
      </c>
      <c r="H839" s="25">
        <f>S0_</f>
        <v>100</v>
      </c>
      <c r="I839" s="25">
        <f ca="1">S0_*EXP((mu_-sigma_^2/2)*Dt_+sigma_*SQRT(Dt_)*_xlfn.NORM.INV(RAND(),0,1))</f>
        <v>97.0684479583928</v>
      </c>
      <c r="J839" s="25">
        <f ca="1">MAX(k_-I839,0)*EXP(-rs_*T_)</f>
        <v>0</v>
      </c>
      <c r="K839" s="25">
        <v>-2.84633439660852</v>
      </c>
      <c r="L839" s="25">
        <v>-3.41633439660852</v>
      </c>
      <c r="M839" s="28">
        <v>1</v>
      </c>
      <c r="N839" s="28">
        <v>1</v>
      </c>
    </row>
    <row r="840" spans="7:14">
      <c r="G840" s="24">
        <v>839</v>
      </c>
      <c r="H840" s="25">
        <f>S0_</f>
        <v>100</v>
      </c>
      <c r="I840" s="25">
        <f ca="1">S0_*EXP((mu_-sigma_^2/2)*Dt_+sigma_*SQRT(Dt_)*_xlfn.NORM.INV(RAND(),0,1))</f>
        <v>107.592599277606</v>
      </c>
      <c r="J840" s="25">
        <f ca="1">MAX(k_-I840,0)*EXP(-rs_*T_)</f>
        <v>0</v>
      </c>
      <c r="K840" s="25">
        <v>7.37188908018434</v>
      </c>
      <c r="L840" s="25">
        <v>6.80188908018434</v>
      </c>
      <c r="M840" s="28">
        <v>0</v>
      </c>
      <c r="N840" s="28">
        <v>0</v>
      </c>
    </row>
    <row r="841" spans="7:14">
      <c r="G841" s="24">
        <v>840</v>
      </c>
      <c r="H841" s="25">
        <f>S0_</f>
        <v>100</v>
      </c>
      <c r="I841" s="25">
        <f ca="1">S0_*EXP((mu_-sigma_^2/2)*Dt_+sigma_*SQRT(Dt_)*_xlfn.NORM.INV(RAND(),0,1))</f>
        <v>95.5879674258472</v>
      </c>
      <c r="J841" s="25">
        <f ca="1">MAX(k_-I841,0)*EXP(-rs_*T_)</f>
        <v>1.37098602648011</v>
      </c>
      <c r="K841" s="25">
        <v>-4.28377865940369</v>
      </c>
      <c r="L841" s="25">
        <v>-3.48279263292358</v>
      </c>
      <c r="M841" s="28">
        <v>1</v>
      </c>
      <c r="N841" s="28">
        <v>1</v>
      </c>
    </row>
    <row r="842" spans="7:14">
      <c r="G842" s="24">
        <v>841</v>
      </c>
      <c r="H842" s="25">
        <f>S0_</f>
        <v>100</v>
      </c>
      <c r="I842" s="25">
        <f ca="1">S0_*EXP((mu_-sigma_^2/2)*Dt_+sigma_*SQRT(Dt_)*_xlfn.NORM.INV(RAND(),0,1))</f>
        <v>114.906538347529</v>
      </c>
      <c r="J842" s="25">
        <f ca="1">MAX(k_-I842,0)*EXP(-rs_*T_)</f>
        <v>0</v>
      </c>
      <c r="K842" s="25">
        <v>14.4732183603588</v>
      </c>
      <c r="L842" s="25">
        <v>13.9032183603588</v>
      </c>
      <c r="M842" s="28">
        <v>0</v>
      </c>
      <c r="N842" s="28">
        <v>0</v>
      </c>
    </row>
    <row r="843" spans="7:14">
      <c r="G843" s="24">
        <v>842</v>
      </c>
      <c r="H843" s="25">
        <f>S0_</f>
        <v>100</v>
      </c>
      <c r="I843" s="25">
        <f ca="1">S0_*EXP((mu_-sigma_^2/2)*Dt_+sigma_*SQRT(Dt_)*_xlfn.NORM.INV(RAND(),0,1))</f>
        <v>93.7027262469678</v>
      </c>
      <c r="J843" s="25">
        <f ca="1">MAX(k_-I843,0)*EXP(-rs_*T_)</f>
        <v>3.20142489885487</v>
      </c>
      <c r="K843" s="25">
        <v>-6.11421753177845</v>
      </c>
      <c r="L843" s="25">
        <v>-3.48279263292358</v>
      </c>
      <c r="M843" s="28">
        <v>1</v>
      </c>
      <c r="N843" s="28">
        <v>1</v>
      </c>
    </row>
    <row r="844" spans="7:14">
      <c r="G844" s="24">
        <v>843</v>
      </c>
      <c r="H844" s="25">
        <f>S0_</f>
        <v>100</v>
      </c>
      <c r="I844" s="25">
        <f ca="1">S0_*EXP((mu_-sigma_^2/2)*Dt_+sigma_*SQRT(Dt_)*_xlfn.NORM.INV(RAND(),0,1))</f>
        <v>93.7616319666199</v>
      </c>
      <c r="J844" s="25">
        <f ca="1">MAX(k_-I844,0)*EXP(-rs_*T_)</f>
        <v>3.14423151677493</v>
      </c>
      <c r="K844" s="25">
        <v>-6.05702414969851</v>
      </c>
      <c r="L844" s="25">
        <v>-3.48279263292358</v>
      </c>
      <c r="M844" s="28">
        <v>1</v>
      </c>
      <c r="N844" s="28">
        <v>1</v>
      </c>
    </row>
    <row r="845" spans="7:14">
      <c r="G845" s="24">
        <v>844</v>
      </c>
      <c r="H845" s="25">
        <f>S0_</f>
        <v>100</v>
      </c>
      <c r="I845" s="25">
        <f ca="1">S0_*EXP((mu_-sigma_^2/2)*Dt_+sigma_*SQRT(Dt_)*_xlfn.NORM.INV(RAND(),0,1))</f>
        <v>90.5849641397807</v>
      </c>
      <c r="J845" s="25">
        <f ca="1">MAX(k_-I845,0)*EXP(-rs_*T_)</f>
        <v>6.2285563978625</v>
      </c>
      <c r="K845" s="25">
        <v>-9.14134903078609</v>
      </c>
      <c r="L845" s="25">
        <v>-3.48279263292358</v>
      </c>
      <c r="M845" s="28">
        <v>1</v>
      </c>
      <c r="N845" s="28">
        <v>1</v>
      </c>
    </row>
    <row r="846" spans="7:14">
      <c r="G846" s="24">
        <v>845</v>
      </c>
      <c r="H846" s="25">
        <f>S0_</f>
        <v>100</v>
      </c>
      <c r="I846" s="25">
        <f ca="1">S0_*EXP((mu_-sigma_^2/2)*Dt_+sigma_*SQRT(Dt_)*_xlfn.NORM.INV(RAND(),0,1))</f>
        <v>100.24208975177</v>
      </c>
      <c r="J846" s="25">
        <f ca="1">MAX(k_-I846,0)*EXP(-rs_*T_)</f>
        <v>0</v>
      </c>
      <c r="K846" s="25">
        <v>0.235052415153994</v>
      </c>
      <c r="L846" s="25">
        <v>-0.334947584846006</v>
      </c>
      <c r="M846" s="28">
        <v>0</v>
      </c>
      <c r="N846" s="28">
        <v>1</v>
      </c>
    </row>
    <row r="847" spans="7:14">
      <c r="G847" s="24">
        <v>846</v>
      </c>
      <c r="H847" s="25">
        <f>S0_</f>
        <v>100</v>
      </c>
      <c r="I847" s="25">
        <f ca="1">S0_*EXP((mu_-sigma_^2/2)*Dt_+sigma_*SQRT(Dt_)*_xlfn.NORM.INV(RAND(),0,1))</f>
        <v>105.935414037533</v>
      </c>
      <c r="J847" s="25">
        <f ca="1">MAX(k_-I847,0)*EXP(-rs_*T_)</f>
        <v>0</v>
      </c>
      <c r="K847" s="25">
        <v>5.76287676062582</v>
      </c>
      <c r="L847" s="25">
        <v>5.19287676062581</v>
      </c>
      <c r="M847" s="28">
        <v>0</v>
      </c>
      <c r="N847" s="28">
        <v>0</v>
      </c>
    </row>
    <row r="848" spans="7:14">
      <c r="G848" s="24">
        <v>847</v>
      </c>
      <c r="H848" s="25">
        <f>S0_</f>
        <v>100</v>
      </c>
      <c r="I848" s="25">
        <f ca="1">S0_*EXP((mu_-sigma_^2/2)*Dt_+sigma_*SQRT(Dt_)*_xlfn.NORM.INV(RAND(),0,1))</f>
        <v>85.1821917542503</v>
      </c>
      <c r="J848" s="25">
        <f ca="1">MAX(k_-I848,0)*EXP(-rs_*T_)</f>
        <v>11.4742749318411</v>
      </c>
      <c r="K848" s="25">
        <v>-14.3870675647647</v>
      </c>
      <c r="L848" s="25">
        <v>-3.48279263292358</v>
      </c>
      <c r="M848" s="28">
        <v>1</v>
      </c>
      <c r="N848" s="28">
        <v>1</v>
      </c>
    </row>
    <row r="849" spans="7:14">
      <c r="G849" s="24">
        <v>848</v>
      </c>
      <c r="H849" s="25">
        <f>S0_</f>
        <v>100</v>
      </c>
      <c r="I849" s="25">
        <f ca="1">S0_*EXP((mu_-sigma_^2/2)*Dt_+sigma_*SQRT(Dt_)*_xlfn.NORM.INV(RAND(),0,1))</f>
        <v>124.133175229386</v>
      </c>
      <c r="J849" s="25">
        <f ca="1">MAX(k_-I849,0)*EXP(-rs_*T_)</f>
        <v>0</v>
      </c>
      <c r="K849" s="25">
        <v>23.4316450057365</v>
      </c>
      <c r="L849" s="25">
        <v>22.8616450057365</v>
      </c>
      <c r="M849" s="28">
        <v>0</v>
      </c>
      <c r="N849" s="28">
        <v>0</v>
      </c>
    </row>
    <row r="850" spans="7:14">
      <c r="G850" s="24">
        <v>849</v>
      </c>
      <c r="H850" s="25">
        <f>S0_</f>
        <v>100</v>
      </c>
      <c r="I850" s="25">
        <f ca="1">S0_*EXP((mu_-sigma_^2/2)*Dt_+sigma_*SQRT(Dt_)*_xlfn.NORM.INV(RAND(),0,1))</f>
        <v>121.293438394137</v>
      </c>
      <c r="J850" s="25">
        <f ca="1">MAX(k_-I850,0)*EXP(-rs_*T_)</f>
        <v>0</v>
      </c>
      <c r="K850" s="25">
        <v>20.6744568280184</v>
      </c>
      <c r="L850" s="25">
        <v>20.1044568280184</v>
      </c>
      <c r="M850" s="28">
        <v>0</v>
      </c>
      <c r="N850" s="28">
        <v>0</v>
      </c>
    </row>
    <row r="851" spans="7:14">
      <c r="G851" s="24">
        <v>850</v>
      </c>
      <c r="H851" s="25">
        <f>S0_</f>
        <v>100</v>
      </c>
      <c r="I851" s="25">
        <f ca="1">S0_*EXP((mu_-sigma_^2/2)*Dt_+sigma_*SQRT(Dt_)*_xlfn.NORM.INV(RAND(),0,1))</f>
        <v>110.199320422701</v>
      </c>
      <c r="J851" s="25">
        <f ca="1">MAX(k_-I851,0)*EXP(-rs_*T_)</f>
        <v>0</v>
      </c>
      <c r="K851" s="25">
        <v>9.90283512935668</v>
      </c>
      <c r="L851" s="25">
        <v>9.33283512935668</v>
      </c>
      <c r="M851" s="28">
        <v>0</v>
      </c>
      <c r="N851" s="28">
        <v>0</v>
      </c>
    </row>
    <row r="852" spans="7:14">
      <c r="G852" s="24">
        <v>851</v>
      </c>
      <c r="H852" s="25">
        <f>S0_</f>
        <v>100</v>
      </c>
      <c r="I852" s="25">
        <f ca="1">S0_*EXP((mu_-sigma_^2/2)*Dt_+sigma_*SQRT(Dt_)*_xlfn.NORM.INV(RAND(),0,1))</f>
        <v>101.251735314244</v>
      </c>
      <c r="J852" s="25">
        <f ca="1">MAX(k_-I852,0)*EXP(-rs_*T_)</f>
        <v>0</v>
      </c>
      <c r="K852" s="25">
        <v>1.21534846723363</v>
      </c>
      <c r="L852" s="25">
        <v>0.645348467233625</v>
      </c>
      <c r="M852" s="28">
        <v>0</v>
      </c>
      <c r="N852" s="28">
        <v>0</v>
      </c>
    </row>
    <row r="853" spans="7:14">
      <c r="G853" s="24">
        <v>852</v>
      </c>
      <c r="H853" s="25">
        <f>S0_</f>
        <v>100</v>
      </c>
      <c r="I853" s="25">
        <f ca="1">S0_*EXP((mu_-sigma_^2/2)*Dt_+sigma_*SQRT(Dt_)*_xlfn.NORM.INV(RAND(),0,1))</f>
        <v>106.471826186157</v>
      </c>
      <c r="J853" s="25">
        <f ca="1">MAX(k_-I853,0)*EXP(-rs_*T_)</f>
        <v>0</v>
      </c>
      <c r="K853" s="25">
        <v>6.2836958788671</v>
      </c>
      <c r="L853" s="25">
        <v>5.7136958788671</v>
      </c>
      <c r="M853" s="28">
        <v>0</v>
      </c>
      <c r="N853" s="28">
        <v>0</v>
      </c>
    </row>
    <row r="854" spans="7:14">
      <c r="G854" s="24">
        <v>853</v>
      </c>
      <c r="H854" s="25">
        <f>S0_</f>
        <v>100</v>
      </c>
      <c r="I854" s="25">
        <f ca="1">S0_*EXP((mu_-sigma_^2/2)*Dt_+sigma_*SQRT(Dt_)*_xlfn.NORM.INV(RAND(),0,1))</f>
        <v>121.393513757611</v>
      </c>
      <c r="J854" s="25">
        <f ca="1">MAX(k_-I854,0)*EXP(-rs_*T_)</f>
        <v>0</v>
      </c>
      <c r="K854" s="25">
        <v>20.771623088506</v>
      </c>
      <c r="L854" s="25">
        <v>20.201623088506</v>
      </c>
      <c r="M854" s="28">
        <v>0</v>
      </c>
      <c r="N854" s="28">
        <v>0</v>
      </c>
    </row>
    <row r="855" spans="7:14">
      <c r="G855" s="24">
        <v>854</v>
      </c>
      <c r="H855" s="25">
        <f>S0_</f>
        <v>100</v>
      </c>
      <c r="I855" s="25">
        <f ca="1">S0_*EXP((mu_-sigma_^2/2)*Dt_+sigma_*SQRT(Dt_)*_xlfn.NORM.INV(RAND(),0,1))</f>
        <v>102.958975215336</v>
      </c>
      <c r="J855" s="25">
        <f ca="1">MAX(k_-I855,0)*EXP(-rs_*T_)</f>
        <v>0</v>
      </c>
      <c r="K855" s="25">
        <v>2.87296040274478</v>
      </c>
      <c r="L855" s="25">
        <v>2.30296040274478</v>
      </c>
      <c r="M855" s="28">
        <v>0</v>
      </c>
      <c r="N855" s="28">
        <v>0</v>
      </c>
    </row>
    <row r="856" spans="7:14">
      <c r="G856" s="24">
        <v>855</v>
      </c>
      <c r="H856" s="25">
        <f>S0_</f>
        <v>100</v>
      </c>
      <c r="I856" s="25">
        <f ca="1">S0_*EXP((mu_-sigma_^2/2)*Dt_+sigma_*SQRT(Dt_)*_xlfn.NORM.INV(RAND(),0,1))</f>
        <v>91.9616790104634</v>
      </c>
      <c r="J856" s="25">
        <f ca="1">MAX(k_-I856,0)*EXP(-rs_*T_)</f>
        <v>4.89186142020885</v>
      </c>
      <c r="K856" s="25">
        <v>-7.80465405313243</v>
      </c>
      <c r="L856" s="25">
        <v>-3.48279263292358</v>
      </c>
      <c r="M856" s="28">
        <v>1</v>
      </c>
      <c r="N856" s="28">
        <v>1</v>
      </c>
    </row>
    <row r="857" spans="7:14">
      <c r="G857" s="24">
        <v>856</v>
      </c>
      <c r="H857" s="25">
        <f>S0_</f>
        <v>100</v>
      </c>
      <c r="I857" s="25">
        <f ca="1">S0_*EXP((mu_-sigma_^2/2)*Dt_+sigma_*SQRT(Dt_)*_xlfn.NORM.INV(RAND(),0,1))</f>
        <v>106.435290450659</v>
      </c>
      <c r="J857" s="25">
        <f ca="1">MAX(k_-I857,0)*EXP(-rs_*T_)</f>
        <v>0</v>
      </c>
      <c r="K857" s="25">
        <v>6.24822220513468</v>
      </c>
      <c r="L857" s="25">
        <v>5.67822220513468</v>
      </c>
      <c r="M857" s="28">
        <v>0</v>
      </c>
      <c r="N857" s="28">
        <v>0</v>
      </c>
    </row>
    <row r="858" spans="7:14">
      <c r="G858" s="24">
        <v>857</v>
      </c>
      <c r="H858" s="25">
        <f>S0_</f>
        <v>100</v>
      </c>
      <c r="I858" s="25">
        <f ca="1">S0_*EXP((mu_-sigma_^2/2)*Dt_+sigma_*SQRT(Dt_)*_xlfn.NORM.INV(RAND(),0,1))</f>
        <v>105.323550303635</v>
      </c>
      <c r="J858" s="25">
        <f ca="1">MAX(k_-I858,0)*EXP(-rs_*T_)</f>
        <v>0</v>
      </c>
      <c r="K858" s="25">
        <v>5.16879936847564</v>
      </c>
      <c r="L858" s="25">
        <v>4.59879936847564</v>
      </c>
      <c r="M858" s="28">
        <v>0</v>
      </c>
      <c r="N858" s="28">
        <v>0</v>
      </c>
    </row>
    <row r="859" spans="7:14">
      <c r="G859" s="24">
        <v>858</v>
      </c>
      <c r="H859" s="25">
        <f>S0_</f>
        <v>100</v>
      </c>
      <c r="I859" s="25">
        <f ca="1">S0_*EXP((mu_-sigma_^2/2)*Dt_+sigma_*SQRT(Dt_)*_xlfn.NORM.INV(RAND(),0,1))</f>
        <v>116.090601666995</v>
      </c>
      <c r="J859" s="25">
        <f ca="1">MAX(k_-I859,0)*EXP(-rs_*T_)</f>
        <v>0</v>
      </c>
      <c r="K859" s="25">
        <v>15.6228619983108</v>
      </c>
      <c r="L859" s="25">
        <v>15.0528619983108</v>
      </c>
      <c r="M859" s="28">
        <v>0</v>
      </c>
      <c r="N859" s="28">
        <v>0</v>
      </c>
    </row>
    <row r="860" spans="7:14">
      <c r="G860" s="24">
        <v>859</v>
      </c>
      <c r="H860" s="25">
        <f>S0_</f>
        <v>100</v>
      </c>
      <c r="I860" s="25">
        <f ca="1">S0_*EXP((mu_-sigma_^2/2)*Dt_+sigma_*SQRT(Dt_)*_xlfn.NORM.INV(RAND(),0,1))</f>
        <v>110.634261659287</v>
      </c>
      <c r="J860" s="25">
        <f ca="1">MAX(k_-I860,0)*EXP(-rs_*T_)</f>
        <v>0</v>
      </c>
      <c r="K860" s="25">
        <v>10.3251330059176</v>
      </c>
      <c r="L860" s="25">
        <v>9.75513300591759</v>
      </c>
      <c r="M860" s="28">
        <v>0</v>
      </c>
      <c r="N860" s="28">
        <v>0</v>
      </c>
    </row>
    <row r="861" spans="7:14">
      <c r="G861" s="24">
        <v>860</v>
      </c>
      <c r="H861" s="25">
        <f>S0_</f>
        <v>100</v>
      </c>
      <c r="I861" s="25">
        <f ca="1">S0_*EXP((mu_-sigma_^2/2)*Dt_+sigma_*SQRT(Dt_)*_xlfn.NORM.INV(RAND(),0,1))</f>
        <v>95.6386589779861</v>
      </c>
      <c r="J861" s="25">
        <f ca="1">MAX(k_-I861,0)*EXP(-rs_*T_)</f>
        <v>1.32176803327292</v>
      </c>
      <c r="K861" s="25">
        <v>-4.2345606661965</v>
      </c>
      <c r="L861" s="25">
        <v>-3.48279263292358</v>
      </c>
      <c r="M861" s="28">
        <v>1</v>
      </c>
      <c r="N861" s="28">
        <v>1</v>
      </c>
    </row>
    <row r="862" spans="7:14">
      <c r="G862" s="24">
        <v>861</v>
      </c>
      <c r="H862" s="25">
        <f>S0_</f>
        <v>100</v>
      </c>
      <c r="I862" s="25">
        <f ca="1">S0_*EXP((mu_-sigma_^2/2)*Dt_+sigma_*SQRT(Dt_)*_xlfn.NORM.INV(RAND(),0,1))</f>
        <v>85.0984392091369</v>
      </c>
      <c r="J862" s="25">
        <f ca="1">MAX(k_-I862,0)*EXP(-rs_*T_)</f>
        <v>11.5555928639728</v>
      </c>
      <c r="K862" s="25">
        <v>-14.4683854968963</v>
      </c>
      <c r="L862" s="25">
        <v>-3.48279263292358</v>
      </c>
      <c r="M862" s="28">
        <v>1</v>
      </c>
      <c r="N862" s="28">
        <v>1</v>
      </c>
    </row>
    <row r="863" spans="7:14">
      <c r="G863" s="24">
        <v>862</v>
      </c>
      <c r="H863" s="25">
        <f>S0_</f>
        <v>100</v>
      </c>
      <c r="I863" s="25">
        <f ca="1">S0_*EXP((mu_-sigma_^2/2)*Dt_+sigma_*SQRT(Dt_)*_xlfn.NORM.INV(RAND(),0,1))</f>
        <v>107.524255915427</v>
      </c>
      <c r="J863" s="25">
        <f ca="1">MAX(k_-I863,0)*EXP(-rs_*T_)</f>
        <v>0</v>
      </c>
      <c r="K863" s="25">
        <v>7.30553239956272</v>
      </c>
      <c r="L863" s="25">
        <v>6.73553239956272</v>
      </c>
      <c r="M863" s="28">
        <v>0</v>
      </c>
      <c r="N863" s="28">
        <v>0</v>
      </c>
    </row>
    <row r="864" spans="7:14">
      <c r="G864" s="24">
        <v>863</v>
      </c>
      <c r="H864" s="25">
        <f>S0_</f>
        <v>100</v>
      </c>
      <c r="I864" s="25">
        <f ca="1">S0_*EXP((mu_-sigma_^2/2)*Dt_+sigma_*SQRT(Dt_)*_xlfn.NORM.INV(RAND(),0,1))</f>
        <v>106.198498384346</v>
      </c>
      <c r="J864" s="25">
        <f ca="1">MAX(k_-I864,0)*EXP(-rs_*T_)</f>
        <v>0</v>
      </c>
      <c r="K864" s="25">
        <v>6.01831347637029</v>
      </c>
      <c r="L864" s="25">
        <v>5.44831347637029</v>
      </c>
      <c r="M864" s="28">
        <v>0</v>
      </c>
      <c r="N864" s="28">
        <v>0</v>
      </c>
    </row>
    <row r="865" spans="7:14">
      <c r="G865" s="24">
        <v>864</v>
      </c>
      <c r="H865" s="25">
        <f>S0_</f>
        <v>100</v>
      </c>
      <c r="I865" s="25">
        <f ca="1">S0_*EXP((mu_-sigma_^2/2)*Dt_+sigma_*SQRT(Dt_)*_xlfn.NORM.INV(RAND(),0,1))</f>
        <v>105.012338749694</v>
      </c>
      <c r="J865" s="25">
        <f ca="1">MAX(k_-I865,0)*EXP(-rs_*T_)</f>
        <v>0</v>
      </c>
      <c r="K865" s="25">
        <v>4.86663446127534</v>
      </c>
      <c r="L865" s="25">
        <v>4.29663446127534</v>
      </c>
      <c r="M865" s="28">
        <v>0</v>
      </c>
      <c r="N865" s="28">
        <v>0</v>
      </c>
    </row>
    <row r="866" spans="7:14">
      <c r="G866" s="24">
        <v>865</v>
      </c>
      <c r="H866" s="25">
        <f>S0_</f>
        <v>100</v>
      </c>
      <c r="I866" s="25">
        <f ca="1">S0_*EXP((mu_-sigma_^2/2)*Dt_+sigma_*SQRT(Dt_)*_xlfn.NORM.INV(RAND(),0,1))</f>
        <v>108.234735498509</v>
      </c>
      <c r="J866" s="25">
        <f ca="1">MAX(k_-I866,0)*EXP(-rs_*T_)</f>
        <v>0</v>
      </c>
      <c r="K866" s="25">
        <v>7.99535896470998</v>
      </c>
      <c r="L866" s="25">
        <v>7.42535896470998</v>
      </c>
      <c r="M866" s="28">
        <v>0</v>
      </c>
      <c r="N866" s="28">
        <v>0</v>
      </c>
    </row>
    <row r="867" spans="7:14">
      <c r="G867" s="24">
        <v>866</v>
      </c>
      <c r="H867" s="25">
        <f>S0_</f>
        <v>100</v>
      </c>
      <c r="I867" s="25">
        <f ca="1">S0_*EXP((mu_-sigma_^2/2)*Dt_+sigma_*SQRT(Dt_)*_xlfn.NORM.INV(RAND(),0,1))</f>
        <v>97.3893629120789</v>
      </c>
      <c r="J867" s="25">
        <f ca="1">MAX(k_-I867,0)*EXP(-rs_*T_)</f>
        <v>0</v>
      </c>
      <c r="K867" s="25">
        <v>-2.53474815897786</v>
      </c>
      <c r="L867" s="25">
        <v>-3.10474815897786</v>
      </c>
      <c r="M867" s="28">
        <v>1</v>
      </c>
      <c r="N867" s="28">
        <v>1</v>
      </c>
    </row>
    <row r="868" spans="7:14">
      <c r="G868" s="24">
        <v>867</v>
      </c>
      <c r="H868" s="25">
        <f>S0_</f>
        <v>100</v>
      </c>
      <c r="I868" s="25">
        <f ca="1">S0_*EXP((mu_-sigma_^2/2)*Dt_+sigma_*SQRT(Dt_)*_xlfn.NORM.INV(RAND(),0,1))</f>
        <v>107.061765459964</v>
      </c>
      <c r="J868" s="25">
        <f ca="1">MAX(k_-I868,0)*EXP(-rs_*T_)</f>
        <v>0</v>
      </c>
      <c r="K868" s="25">
        <v>6.85648613573867</v>
      </c>
      <c r="L868" s="25">
        <v>6.28648613573867</v>
      </c>
      <c r="M868" s="28">
        <v>0</v>
      </c>
      <c r="N868" s="28">
        <v>0</v>
      </c>
    </row>
    <row r="869" spans="7:14">
      <c r="G869" s="24">
        <v>868</v>
      </c>
      <c r="H869" s="25">
        <f>S0_</f>
        <v>100</v>
      </c>
      <c r="I869" s="25">
        <f ca="1">S0_*EXP((mu_-sigma_^2/2)*Dt_+sigma_*SQRT(Dt_)*_xlfn.NORM.INV(RAND(),0,1))</f>
        <v>102.771962160252</v>
      </c>
      <c r="J869" s="25">
        <f ca="1">MAX(k_-I869,0)*EXP(-rs_*T_)</f>
        <v>0</v>
      </c>
      <c r="K869" s="25">
        <v>2.69138365304148</v>
      </c>
      <c r="L869" s="25">
        <v>2.12138365304148</v>
      </c>
      <c r="M869" s="28">
        <v>0</v>
      </c>
      <c r="N869" s="28">
        <v>0</v>
      </c>
    </row>
    <row r="870" spans="7:14">
      <c r="G870" s="24">
        <v>869</v>
      </c>
      <c r="H870" s="25">
        <f>S0_</f>
        <v>100</v>
      </c>
      <c r="I870" s="25">
        <f ca="1">S0_*EXP((mu_-sigma_^2/2)*Dt_+sigma_*SQRT(Dt_)*_xlfn.NORM.INV(RAND(),0,1))</f>
        <v>105.121876124426</v>
      </c>
      <c r="J870" s="25">
        <f ca="1">MAX(k_-I870,0)*EXP(-rs_*T_)</f>
        <v>0</v>
      </c>
      <c r="K870" s="25">
        <v>4.97298768065874</v>
      </c>
      <c r="L870" s="25">
        <v>4.40298768065874</v>
      </c>
      <c r="M870" s="28">
        <v>0</v>
      </c>
      <c r="N870" s="28">
        <v>0</v>
      </c>
    </row>
    <row r="871" spans="7:14">
      <c r="G871" s="24">
        <v>870</v>
      </c>
      <c r="H871" s="25">
        <f>S0_</f>
        <v>100</v>
      </c>
      <c r="I871" s="25">
        <f ca="1">S0_*EXP((mu_-sigma_^2/2)*Dt_+sigma_*SQRT(Dt_)*_xlfn.NORM.INV(RAND(),0,1))</f>
        <v>102.468428590628</v>
      </c>
      <c r="J871" s="25">
        <f ca="1">MAX(k_-I871,0)*EXP(-rs_*T_)</f>
        <v>0</v>
      </c>
      <c r="K871" s="25">
        <v>2.39667353789341</v>
      </c>
      <c r="L871" s="25">
        <v>1.82667353789341</v>
      </c>
      <c r="M871" s="28">
        <v>0</v>
      </c>
      <c r="N871" s="28">
        <v>0</v>
      </c>
    </row>
    <row r="872" spans="7:14">
      <c r="G872" s="24">
        <v>871</v>
      </c>
      <c r="H872" s="25">
        <f>S0_</f>
        <v>100</v>
      </c>
      <c r="I872" s="25">
        <f ca="1">S0_*EXP((mu_-sigma_^2/2)*Dt_+sigma_*SQRT(Dt_)*_xlfn.NORM.INV(RAND(),0,1))</f>
        <v>108.974528438063</v>
      </c>
      <c r="J872" s="25">
        <f ca="1">MAX(k_-I872,0)*EXP(-rs_*T_)</f>
        <v>0</v>
      </c>
      <c r="K872" s="25">
        <v>8.71364677278444</v>
      </c>
      <c r="L872" s="25">
        <v>8.14364677278444</v>
      </c>
      <c r="M872" s="28">
        <v>0</v>
      </c>
      <c r="N872" s="28">
        <v>0</v>
      </c>
    </row>
    <row r="873" spans="7:14">
      <c r="G873" s="24">
        <v>872</v>
      </c>
      <c r="H873" s="25">
        <f>S0_</f>
        <v>100</v>
      </c>
      <c r="I873" s="25">
        <f ca="1">S0_*EXP((mu_-sigma_^2/2)*Dt_+sigma_*SQRT(Dt_)*_xlfn.NORM.INV(RAND(),0,1))</f>
        <v>99.2266788208207</v>
      </c>
      <c r="J873" s="25">
        <f ca="1">MAX(k_-I873,0)*EXP(-rs_*T_)</f>
        <v>0</v>
      </c>
      <c r="K873" s="25">
        <v>-0.750841411199128</v>
      </c>
      <c r="L873" s="25">
        <v>-1.32084141119913</v>
      </c>
      <c r="M873" s="28">
        <v>1</v>
      </c>
      <c r="N873" s="28">
        <v>1</v>
      </c>
    </row>
    <row r="874" spans="7:14">
      <c r="G874" s="24">
        <v>873</v>
      </c>
      <c r="H874" s="25">
        <f>S0_</f>
        <v>100</v>
      </c>
      <c r="I874" s="25">
        <f ca="1">S0_*EXP((mu_-sigma_^2/2)*Dt_+sigma_*SQRT(Dt_)*_xlfn.NORM.INV(RAND(),0,1))</f>
        <v>101.105094685013</v>
      </c>
      <c r="J874" s="25">
        <f ca="1">MAX(k_-I874,0)*EXP(-rs_*T_)</f>
        <v>0</v>
      </c>
      <c r="K874" s="25">
        <v>1.07297055239662</v>
      </c>
      <c r="L874" s="25">
        <v>0.502970552396623</v>
      </c>
      <c r="M874" s="28">
        <v>0</v>
      </c>
      <c r="N874" s="28">
        <v>0</v>
      </c>
    </row>
    <row r="875" spans="7:14">
      <c r="G875" s="24">
        <v>874</v>
      </c>
      <c r="H875" s="25">
        <f>S0_</f>
        <v>100</v>
      </c>
      <c r="I875" s="25">
        <f ca="1">S0_*EXP((mu_-sigma_^2/2)*Dt_+sigma_*SQRT(Dt_)*_xlfn.NORM.INV(RAND(),0,1))</f>
        <v>110.771987068406</v>
      </c>
      <c r="J875" s="25">
        <f ca="1">MAX(k_-I875,0)*EXP(-rs_*T_)</f>
        <v>0</v>
      </c>
      <c r="K875" s="25">
        <v>10.4588548582667</v>
      </c>
      <c r="L875" s="25">
        <v>9.88885485826668</v>
      </c>
      <c r="M875" s="28">
        <v>0</v>
      </c>
      <c r="N875" s="28">
        <v>0</v>
      </c>
    </row>
    <row r="876" spans="7:14">
      <c r="G876" s="24">
        <v>875</v>
      </c>
      <c r="H876" s="25">
        <f>S0_</f>
        <v>100</v>
      </c>
      <c r="I876" s="25">
        <f ca="1">S0_*EXP((mu_-sigma_^2/2)*Dt_+sigma_*SQRT(Dt_)*_xlfn.NORM.INV(RAND(),0,1))</f>
        <v>112.788160580251</v>
      </c>
      <c r="J876" s="25">
        <f ca="1">MAX(k_-I876,0)*EXP(-rs_*T_)</f>
        <v>0</v>
      </c>
      <c r="K876" s="25">
        <v>12.4164199755997</v>
      </c>
      <c r="L876" s="25">
        <v>11.8464199755997</v>
      </c>
      <c r="M876" s="28">
        <v>0</v>
      </c>
      <c r="N876" s="28">
        <v>0</v>
      </c>
    </row>
    <row r="877" spans="7:14">
      <c r="G877" s="24">
        <v>876</v>
      </c>
      <c r="H877" s="25">
        <f>S0_</f>
        <v>100</v>
      </c>
      <c r="I877" s="25">
        <f ca="1">S0_*EXP((mu_-sigma_^2/2)*Dt_+sigma_*SQRT(Dt_)*_xlfn.NORM.INV(RAND(),0,1))</f>
        <v>104.025050057153</v>
      </c>
      <c r="J877" s="25">
        <f ca="1">MAX(k_-I877,0)*EXP(-rs_*T_)</f>
        <v>0</v>
      </c>
      <c r="K877" s="25">
        <v>3.90804538454116</v>
      </c>
      <c r="L877" s="25">
        <v>3.33804538454116</v>
      </c>
      <c r="M877" s="28">
        <v>0</v>
      </c>
      <c r="N877" s="28">
        <v>0</v>
      </c>
    </row>
    <row r="878" spans="7:14">
      <c r="G878" s="24">
        <v>877</v>
      </c>
      <c r="H878" s="25">
        <f>S0_</f>
        <v>100</v>
      </c>
      <c r="I878" s="25">
        <f ca="1">S0_*EXP((mu_-sigma_^2/2)*Dt_+sigma_*SQRT(Dt_)*_xlfn.NORM.INV(RAND(),0,1))</f>
        <v>121.255676278466</v>
      </c>
      <c r="J878" s="25">
        <f ca="1">MAX(k_-I878,0)*EXP(-rs_*T_)</f>
        <v>0</v>
      </c>
      <c r="K878" s="25">
        <v>20.6377924239079</v>
      </c>
      <c r="L878" s="25">
        <v>20.0677924239079</v>
      </c>
      <c r="M878" s="28">
        <v>0</v>
      </c>
      <c r="N878" s="28">
        <v>0</v>
      </c>
    </row>
    <row r="879" spans="7:14">
      <c r="G879" s="24">
        <v>878</v>
      </c>
      <c r="H879" s="25">
        <f>S0_</f>
        <v>100</v>
      </c>
      <c r="I879" s="25">
        <f ca="1">S0_*EXP((mu_-sigma_^2/2)*Dt_+sigma_*SQRT(Dt_)*_xlfn.NORM.INV(RAND(),0,1))</f>
        <v>101.572139734526</v>
      </c>
      <c r="J879" s="25">
        <f ca="1">MAX(k_-I879,0)*EXP(-rs_*T_)</f>
        <v>0</v>
      </c>
      <c r="K879" s="25">
        <v>1.52643901221749</v>
      </c>
      <c r="L879" s="25">
        <v>0.956439012217486</v>
      </c>
      <c r="M879" s="28">
        <v>0</v>
      </c>
      <c r="N879" s="28">
        <v>0</v>
      </c>
    </row>
    <row r="880" spans="7:14">
      <c r="G880" s="24">
        <v>879</v>
      </c>
      <c r="H880" s="25">
        <f>S0_</f>
        <v>100</v>
      </c>
      <c r="I880" s="25">
        <f ca="1">S0_*EXP((mu_-sigma_^2/2)*Dt_+sigma_*SQRT(Dt_)*_xlfn.NORM.INV(RAND(),0,1))</f>
        <v>94.8303549564513</v>
      </c>
      <c r="J880" s="25">
        <f ca="1">MAX(k_-I880,0)*EXP(-rs_*T_)</f>
        <v>2.10657536630259</v>
      </c>
      <c r="K880" s="25">
        <v>-5.01936799922617</v>
      </c>
      <c r="L880" s="25">
        <v>-3.48279263292358</v>
      </c>
      <c r="M880" s="28">
        <v>1</v>
      </c>
      <c r="N880" s="28">
        <v>1</v>
      </c>
    </row>
    <row r="881" spans="7:14">
      <c r="G881" s="24">
        <v>880</v>
      </c>
      <c r="H881" s="25">
        <f>S0_</f>
        <v>100</v>
      </c>
      <c r="I881" s="25">
        <f ca="1">S0_*EXP((mu_-sigma_^2/2)*Dt_+sigma_*SQRT(Dt_)*_xlfn.NORM.INV(RAND(),0,1))</f>
        <v>92.6238178820087</v>
      </c>
      <c r="J881" s="25">
        <f ca="1">MAX(k_-I881,0)*EXP(-rs_*T_)</f>
        <v>4.24897034453897</v>
      </c>
      <c r="K881" s="25">
        <v>-7.16176297746255</v>
      </c>
      <c r="L881" s="25">
        <v>-3.48279263292358</v>
      </c>
      <c r="M881" s="28">
        <v>1</v>
      </c>
      <c r="N881" s="28">
        <v>1</v>
      </c>
    </row>
    <row r="882" spans="7:14">
      <c r="G882" s="24">
        <v>881</v>
      </c>
      <c r="H882" s="25">
        <f>S0_</f>
        <v>100</v>
      </c>
      <c r="I882" s="25">
        <f ca="1">S0_*EXP((mu_-sigma_^2/2)*Dt_+sigma_*SQRT(Dt_)*_xlfn.NORM.INV(RAND(),0,1))</f>
        <v>93.7615203827272</v>
      </c>
      <c r="J882" s="25">
        <f ca="1">MAX(k_-I882,0)*EXP(-rs_*T_)</f>
        <v>3.14433985702179</v>
      </c>
      <c r="K882" s="25">
        <v>-6.05713248994537</v>
      </c>
      <c r="L882" s="25">
        <v>-3.48279263292358</v>
      </c>
      <c r="M882" s="28">
        <v>1</v>
      </c>
      <c r="N882" s="28">
        <v>1</v>
      </c>
    </row>
    <row r="883" spans="7:14">
      <c r="G883" s="24">
        <v>882</v>
      </c>
      <c r="H883" s="25">
        <f>S0_</f>
        <v>100</v>
      </c>
      <c r="I883" s="25">
        <f ca="1">S0_*EXP((mu_-sigma_^2/2)*Dt_+sigma_*SQRT(Dt_)*_xlfn.NORM.INV(RAND(),0,1))</f>
        <v>98.3911432174633</v>
      </c>
      <c r="J883" s="25">
        <f ca="1">MAX(k_-I883,0)*EXP(-rs_*T_)</f>
        <v>0</v>
      </c>
      <c r="K883" s="25">
        <v>-1.56208872786731</v>
      </c>
      <c r="L883" s="25">
        <v>-2.13208872786731</v>
      </c>
      <c r="M883" s="28">
        <v>1</v>
      </c>
      <c r="N883" s="28">
        <v>1</v>
      </c>
    </row>
    <row r="884" spans="7:14">
      <c r="G884" s="24">
        <v>883</v>
      </c>
      <c r="H884" s="25">
        <f>S0_</f>
        <v>100</v>
      </c>
      <c r="I884" s="25">
        <f ca="1">S0_*EXP((mu_-sigma_^2/2)*Dt_+sigma_*SQRT(Dt_)*_xlfn.NORM.INV(RAND(),0,1))</f>
        <v>96.6140059228614</v>
      </c>
      <c r="J884" s="25">
        <f ca="1">MAX(k_-I884,0)*EXP(-rs_*T_)</f>
        <v>0.374773568080502</v>
      </c>
      <c r="K884" s="25">
        <v>-3.28756620100408</v>
      </c>
      <c r="L884" s="25">
        <v>-3.48279263292358</v>
      </c>
      <c r="M884" s="28">
        <v>1</v>
      </c>
      <c r="N884" s="28">
        <v>1</v>
      </c>
    </row>
    <row r="885" spans="7:14">
      <c r="G885" s="24">
        <v>884</v>
      </c>
      <c r="H885" s="25">
        <f>S0_</f>
        <v>100</v>
      </c>
      <c r="I885" s="25">
        <f ca="1">S0_*EXP((mu_-sigma_^2/2)*Dt_+sigma_*SQRT(Dt_)*_xlfn.NORM.INV(RAND(),0,1))</f>
        <v>92.3579606240804</v>
      </c>
      <c r="J885" s="25">
        <f ca="1">MAX(k_-I885,0)*EXP(-rs_*T_)</f>
        <v>4.50709936530657</v>
      </c>
      <c r="K885" s="25">
        <v>-7.41989199823015</v>
      </c>
      <c r="L885" s="25">
        <v>-3.48279263292358</v>
      </c>
      <c r="M885" s="28">
        <v>1</v>
      </c>
      <c r="N885" s="28">
        <v>1</v>
      </c>
    </row>
    <row r="886" spans="7:14">
      <c r="G886" s="24">
        <v>885</v>
      </c>
      <c r="H886" s="25">
        <f>S0_</f>
        <v>100</v>
      </c>
      <c r="I886" s="25">
        <f ca="1">S0_*EXP((mu_-sigma_^2/2)*Dt_+sigma_*SQRT(Dt_)*_xlfn.NORM.INV(RAND(),0,1))</f>
        <v>104.454127531114</v>
      </c>
      <c r="J886" s="25">
        <f ca="1">MAX(k_-I886,0)*EXP(-rs_*T_)</f>
        <v>0</v>
      </c>
      <c r="K886" s="25">
        <v>4.32464995291035</v>
      </c>
      <c r="L886" s="25">
        <v>3.75464995291035</v>
      </c>
      <c r="M886" s="28">
        <v>0</v>
      </c>
      <c r="N886" s="28">
        <v>0</v>
      </c>
    </row>
    <row r="887" spans="7:14">
      <c r="G887" s="24">
        <v>886</v>
      </c>
      <c r="H887" s="25">
        <f>S0_</f>
        <v>100</v>
      </c>
      <c r="I887" s="25">
        <f ca="1">S0_*EXP((mu_-sigma_^2/2)*Dt_+sigma_*SQRT(Dt_)*_xlfn.NORM.INV(RAND(),0,1))</f>
        <v>130.46901580912</v>
      </c>
      <c r="J887" s="25">
        <f ca="1">MAX(k_-I887,0)*EXP(-rs_*T_)</f>
        <v>0</v>
      </c>
      <c r="K887" s="25">
        <v>29.5833082604128</v>
      </c>
      <c r="L887" s="25">
        <v>29.0133082604128</v>
      </c>
      <c r="M887" s="28">
        <v>0</v>
      </c>
      <c r="N887" s="28">
        <v>0</v>
      </c>
    </row>
    <row r="888" spans="7:14">
      <c r="G888" s="24">
        <v>887</v>
      </c>
      <c r="H888" s="25">
        <f>S0_</f>
        <v>100</v>
      </c>
      <c r="I888" s="25">
        <f ca="1">S0_*EXP((mu_-sigma_^2/2)*Dt_+sigma_*SQRT(Dt_)*_xlfn.NORM.INV(RAND(),0,1))</f>
        <v>119.636331491493</v>
      </c>
      <c r="J888" s="25">
        <f ca="1">MAX(k_-I888,0)*EXP(-rs_*T_)</f>
        <v>0</v>
      </c>
      <c r="K888" s="25">
        <v>19.0655205686883</v>
      </c>
      <c r="L888" s="25">
        <v>18.4955205686883</v>
      </c>
      <c r="M888" s="28">
        <v>0</v>
      </c>
      <c r="N888" s="28">
        <v>0</v>
      </c>
    </row>
    <row r="889" spans="7:14">
      <c r="G889" s="24">
        <v>888</v>
      </c>
      <c r="H889" s="25">
        <f>S0_</f>
        <v>100</v>
      </c>
      <c r="I889" s="25">
        <f ca="1">S0_*EXP((mu_-sigma_^2/2)*Dt_+sigma_*SQRT(Dt_)*_xlfn.NORM.INV(RAND(),0,1))</f>
        <v>106.426899330733</v>
      </c>
      <c r="J889" s="25">
        <f ca="1">MAX(k_-I889,0)*EXP(-rs_*T_)</f>
        <v>0</v>
      </c>
      <c r="K889" s="25">
        <v>6.24007500770002</v>
      </c>
      <c r="L889" s="25">
        <v>5.67007500770002</v>
      </c>
      <c r="M889" s="28">
        <v>0</v>
      </c>
      <c r="N889" s="28">
        <v>0</v>
      </c>
    </row>
    <row r="890" spans="7:14">
      <c r="G890" s="24">
        <v>889</v>
      </c>
      <c r="H890" s="25">
        <f>S0_</f>
        <v>100</v>
      </c>
      <c r="I890" s="25">
        <f ca="1">S0_*EXP((mu_-sigma_^2/2)*Dt_+sigma_*SQRT(Dt_)*_xlfn.NORM.INV(RAND(),0,1))</f>
        <v>96.9405717797095</v>
      </c>
      <c r="J890" s="25">
        <f ca="1">MAX(k_-I890,0)*EXP(-rs_*T_)</f>
        <v>0.0577006940833086</v>
      </c>
      <c r="K890" s="25">
        <v>-2.97049332700689</v>
      </c>
      <c r="L890" s="25">
        <v>-3.48279263292358</v>
      </c>
      <c r="M890" s="28">
        <v>1</v>
      </c>
      <c r="N890" s="28">
        <v>1</v>
      </c>
    </row>
    <row r="891" spans="7:14">
      <c r="G891" s="24">
        <v>890</v>
      </c>
      <c r="H891" s="25">
        <f>S0_</f>
        <v>100</v>
      </c>
      <c r="I891" s="25">
        <f ca="1">S0_*EXP((mu_-sigma_^2/2)*Dt_+sigma_*SQRT(Dt_)*_xlfn.NORM.INV(RAND(),0,1))</f>
        <v>109.147839882605</v>
      </c>
      <c r="J891" s="25">
        <f ca="1">MAX(k_-I891,0)*EXP(-rs_*T_)</f>
        <v>0</v>
      </c>
      <c r="K891" s="25">
        <v>8.88192020573896</v>
      </c>
      <c r="L891" s="25">
        <v>8.31192020573896</v>
      </c>
      <c r="M891" s="28">
        <v>0</v>
      </c>
      <c r="N891" s="28">
        <v>0</v>
      </c>
    </row>
    <row r="892" spans="7:14">
      <c r="G892" s="24">
        <v>891</v>
      </c>
      <c r="H892" s="25">
        <f>S0_</f>
        <v>100</v>
      </c>
      <c r="I892" s="25">
        <f ca="1">S0_*EXP((mu_-sigma_^2/2)*Dt_+sigma_*SQRT(Dt_)*_xlfn.NORM.INV(RAND(),0,1))</f>
        <v>116.277106076484</v>
      </c>
      <c r="J892" s="25">
        <f ca="1">MAX(k_-I892,0)*EXP(-rs_*T_)</f>
        <v>0</v>
      </c>
      <c r="K892" s="25">
        <v>15.8039448882995</v>
      </c>
      <c r="L892" s="25">
        <v>15.2339448882995</v>
      </c>
      <c r="M892" s="28">
        <v>0</v>
      </c>
      <c r="N892" s="28">
        <v>0</v>
      </c>
    </row>
    <row r="893" spans="7:14">
      <c r="G893" s="24">
        <v>892</v>
      </c>
      <c r="H893" s="25">
        <f>S0_</f>
        <v>100</v>
      </c>
      <c r="I893" s="25">
        <f ca="1">S0_*EXP((mu_-sigma_^2/2)*Dt_+sigma_*SQRT(Dt_)*_xlfn.NORM.INV(RAND(),0,1))</f>
        <v>111.490045797766</v>
      </c>
      <c r="J893" s="25">
        <f ca="1">MAX(k_-I893,0)*EXP(-rs_*T_)</f>
        <v>0</v>
      </c>
      <c r="K893" s="25">
        <v>11.1560402505628</v>
      </c>
      <c r="L893" s="25">
        <v>10.5860402505628</v>
      </c>
      <c r="M893" s="28">
        <v>0</v>
      </c>
      <c r="N893" s="28">
        <v>0</v>
      </c>
    </row>
    <row r="894" spans="7:14">
      <c r="G894" s="24">
        <v>893</v>
      </c>
      <c r="H894" s="25">
        <f>S0_</f>
        <v>100</v>
      </c>
      <c r="I894" s="25">
        <f ca="1">S0_*EXP((mu_-sigma_^2/2)*Dt_+sigma_*SQRT(Dt_)*_xlfn.NORM.INV(RAND(),0,1))</f>
        <v>92.6088914312167</v>
      </c>
      <c r="J894" s="25">
        <f ca="1">MAX(k_-I894,0)*EXP(-rs_*T_)</f>
        <v>4.26346289650651</v>
      </c>
      <c r="K894" s="25">
        <v>-7.17625552943009</v>
      </c>
      <c r="L894" s="25">
        <v>-3.48279263292358</v>
      </c>
      <c r="M894" s="28">
        <v>1</v>
      </c>
      <c r="N894" s="28">
        <v>1</v>
      </c>
    </row>
    <row r="895" spans="7:14">
      <c r="G895" s="24">
        <v>894</v>
      </c>
      <c r="H895" s="25">
        <f>S0_</f>
        <v>100</v>
      </c>
      <c r="I895" s="25">
        <f ca="1">S0_*EXP((mu_-sigma_^2/2)*Dt_+sigma_*SQRT(Dt_)*_xlfn.NORM.INV(RAND(),0,1))</f>
        <v>96.0462133952591</v>
      </c>
      <c r="J895" s="25">
        <f ca="1">MAX(k_-I895,0)*EXP(-rs_*T_)</f>
        <v>0.926060865223509</v>
      </c>
      <c r="K895" s="25">
        <v>-3.83885349814709</v>
      </c>
      <c r="L895" s="25">
        <v>-3.48279263292358</v>
      </c>
      <c r="M895" s="28">
        <v>1</v>
      </c>
      <c r="N895" s="28">
        <v>1</v>
      </c>
    </row>
    <row r="896" spans="7:14">
      <c r="G896" s="24">
        <v>895</v>
      </c>
      <c r="H896" s="25">
        <f>S0_</f>
        <v>100</v>
      </c>
      <c r="I896" s="25">
        <f ca="1">S0_*EXP((mu_-sigma_^2/2)*Dt_+sigma_*SQRT(Dt_)*_xlfn.NORM.INV(RAND(),0,1))</f>
        <v>117.920123732473</v>
      </c>
      <c r="J896" s="25">
        <f ca="1">MAX(k_-I896,0)*EXP(-rs_*T_)</f>
        <v>0</v>
      </c>
      <c r="K896" s="25">
        <v>17.3992014630086</v>
      </c>
      <c r="L896" s="25">
        <v>16.8292014630086</v>
      </c>
      <c r="M896" s="28">
        <v>0</v>
      </c>
      <c r="N896" s="28">
        <v>0</v>
      </c>
    </row>
    <row r="897" spans="7:14">
      <c r="G897" s="24">
        <v>896</v>
      </c>
      <c r="H897" s="25">
        <f>S0_</f>
        <v>100</v>
      </c>
      <c r="I897" s="25">
        <f ca="1">S0_*EXP((mu_-sigma_^2/2)*Dt_+sigma_*SQRT(Dt_)*_xlfn.NORM.INV(RAND(),0,1))</f>
        <v>100.840830160881</v>
      </c>
      <c r="J897" s="25">
        <f ca="1">MAX(k_-I897,0)*EXP(-rs_*T_)</f>
        <v>0</v>
      </c>
      <c r="K897" s="25">
        <v>0.81638796605136</v>
      </c>
      <c r="L897" s="25">
        <v>0.24638796605136</v>
      </c>
      <c r="M897" s="28">
        <v>0</v>
      </c>
      <c r="N897" s="28">
        <v>0</v>
      </c>
    </row>
    <row r="898" spans="7:14">
      <c r="G898" s="24">
        <v>897</v>
      </c>
      <c r="H898" s="25">
        <f>S0_</f>
        <v>100</v>
      </c>
      <c r="I898" s="25">
        <f ca="1">S0_*EXP((mu_-sigma_^2/2)*Dt_+sigma_*SQRT(Dt_)*_xlfn.NORM.INV(RAND(),0,1))</f>
        <v>87.9912177447897</v>
      </c>
      <c r="J898" s="25">
        <f ca="1">MAX(k_-I898,0)*EXP(-rs_*T_)</f>
        <v>8.74690486152979</v>
      </c>
      <c r="K898" s="25">
        <v>-11.6596974944534</v>
      </c>
      <c r="L898" s="25">
        <v>-3.48279263292358</v>
      </c>
      <c r="M898" s="28">
        <v>1</v>
      </c>
      <c r="N898" s="28">
        <v>1</v>
      </c>
    </row>
    <row r="899" spans="7:14">
      <c r="G899" s="24">
        <v>898</v>
      </c>
      <c r="H899" s="25">
        <f>S0_</f>
        <v>100</v>
      </c>
      <c r="I899" s="25">
        <f ca="1">S0_*EXP((mu_-sigma_^2/2)*Dt_+sigma_*SQRT(Dt_)*_xlfn.NORM.INV(RAND(),0,1))</f>
        <v>98.2773190943816</v>
      </c>
      <c r="J899" s="25">
        <f ca="1">MAX(k_-I899,0)*EXP(-rs_*T_)</f>
        <v>0</v>
      </c>
      <c r="K899" s="25">
        <v>-1.67260408358776</v>
      </c>
      <c r="L899" s="25">
        <v>-2.24260408358776</v>
      </c>
      <c r="M899" s="28">
        <v>1</v>
      </c>
      <c r="N899" s="28">
        <v>1</v>
      </c>
    </row>
    <row r="900" spans="7:14">
      <c r="G900" s="24">
        <v>899</v>
      </c>
      <c r="H900" s="25">
        <f>S0_</f>
        <v>100</v>
      </c>
      <c r="I900" s="25">
        <f ca="1">S0_*EXP((mu_-sigma_^2/2)*Dt_+sigma_*SQRT(Dt_)*_xlfn.NORM.INV(RAND(),0,1))</f>
        <v>98.6358784698026</v>
      </c>
      <c r="J900" s="25">
        <f ca="1">MAX(k_-I900,0)*EXP(-rs_*T_)</f>
        <v>0</v>
      </c>
      <c r="K900" s="25">
        <v>-1.32446771452379</v>
      </c>
      <c r="L900" s="25">
        <v>-1.89446771452379</v>
      </c>
      <c r="M900" s="28">
        <v>1</v>
      </c>
      <c r="N900" s="28">
        <v>1</v>
      </c>
    </row>
    <row r="901" spans="7:14">
      <c r="G901" s="24">
        <v>900</v>
      </c>
      <c r="H901" s="25">
        <f>S0_</f>
        <v>100</v>
      </c>
      <c r="I901" s="25">
        <f ca="1">S0_*EXP((mu_-sigma_^2/2)*Dt_+sigma_*SQRT(Dt_)*_xlfn.NORM.INV(RAND(),0,1))</f>
        <v>105.264442089544</v>
      </c>
      <c r="J901" s="25">
        <f ca="1">MAX(k_-I901,0)*EXP(-rs_*T_)</f>
        <v>0</v>
      </c>
      <c r="K901" s="25">
        <v>5.11140937829248</v>
      </c>
      <c r="L901" s="25">
        <v>4.54140937829248</v>
      </c>
      <c r="M901" s="28">
        <v>0</v>
      </c>
      <c r="N901" s="28">
        <v>0</v>
      </c>
    </row>
    <row r="902" spans="7:14">
      <c r="G902" s="24">
        <v>901</v>
      </c>
      <c r="H902" s="25">
        <f>S0_</f>
        <v>100</v>
      </c>
      <c r="I902" s="25">
        <f ca="1">S0_*EXP((mu_-sigma_^2/2)*Dt_+sigma_*SQRT(Dt_)*_xlfn.NORM.INV(RAND(),0,1))</f>
        <v>115.902638172991</v>
      </c>
      <c r="J902" s="25">
        <f ca="1">MAX(k_-I902,0)*EXP(-rs_*T_)</f>
        <v>0</v>
      </c>
      <c r="K902" s="25">
        <v>15.4403624381124</v>
      </c>
      <c r="L902" s="25">
        <v>14.8703624381124</v>
      </c>
      <c r="M902" s="28">
        <v>0</v>
      </c>
      <c r="N902" s="28">
        <v>0</v>
      </c>
    </row>
    <row r="903" spans="7:14">
      <c r="G903" s="24">
        <v>902</v>
      </c>
      <c r="H903" s="25">
        <f>S0_</f>
        <v>100</v>
      </c>
      <c r="I903" s="25">
        <f ca="1">S0_*EXP((mu_-sigma_^2/2)*Dt_+sigma_*SQRT(Dt_)*_xlfn.NORM.INV(RAND(),0,1))</f>
        <v>113.607746182033</v>
      </c>
      <c r="J903" s="25">
        <f ca="1">MAX(k_-I903,0)*EXP(-rs_*T_)</f>
        <v>0</v>
      </c>
      <c r="K903" s="25">
        <v>13.2121809432402</v>
      </c>
      <c r="L903" s="25">
        <v>12.6421809432402</v>
      </c>
      <c r="M903" s="28">
        <v>0</v>
      </c>
      <c r="N903" s="28">
        <v>0</v>
      </c>
    </row>
    <row r="904" spans="7:14">
      <c r="G904" s="24">
        <v>903</v>
      </c>
      <c r="H904" s="25">
        <f>S0_</f>
        <v>100</v>
      </c>
      <c r="I904" s="25">
        <f ca="1">S0_*EXP((mu_-sigma_^2/2)*Dt_+sigma_*SQRT(Dt_)*_xlfn.NORM.INV(RAND(),0,1))</f>
        <v>95.208484544683</v>
      </c>
      <c r="J904" s="25">
        <f ca="1">MAX(k_-I904,0)*EXP(-rs_*T_)</f>
        <v>1.73943767333867</v>
      </c>
      <c r="K904" s="25">
        <v>-4.65223030626225</v>
      </c>
      <c r="L904" s="25">
        <v>-3.48279263292358</v>
      </c>
      <c r="M904" s="28">
        <v>1</v>
      </c>
      <c r="N904" s="28">
        <v>1</v>
      </c>
    </row>
    <row r="905" spans="7:14">
      <c r="G905" s="24">
        <v>904</v>
      </c>
      <c r="H905" s="25">
        <f>S0_</f>
        <v>100</v>
      </c>
      <c r="I905" s="25">
        <f ca="1">S0_*EXP((mu_-sigma_^2/2)*Dt_+sigma_*SQRT(Dt_)*_xlfn.NORM.INV(RAND(),0,1))</f>
        <v>107.248807789491</v>
      </c>
      <c r="J905" s="25">
        <f ca="1">MAX(k_-I905,0)*EXP(-rs_*T_)</f>
        <v>0</v>
      </c>
      <c r="K905" s="25">
        <v>7.03809130890308</v>
      </c>
      <c r="L905" s="25">
        <v>6.46809130890308</v>
      </c>
      <c r="M905" s="28">
        <v>0</v>
      </c>
      <c r="N905" s="28">
        <v>0</v>
      </c>
    </row>
    <row r="906" spans="7:14">
      <c r="G906" s="24">
        <v>905</v>
      </c>
      <c r="H906" s="25">
        <f>S0_</f>
        <v>100</v>
      </c>
      <c r="I906" s="25">
        <f ca="1">S0_*EXP((mu_-sigma_^2/2)*Dt_+sigma_*SQRT(Dt_)*_xlfn.NORM.INV(RAND(),0,1))</f>
        <v>109.76438661965</v>
      </c>
      <c r="J906" s="25">
        <f ca="1">MAX(k_-I906,0)*EXP(-rs_*T_)</f>
        <v>0</v>
      </c>
      <c r="K906" s="25">
        <v>9.48054447024479</v>
      </c>
      <c r="L906" s="25">
        <v>8.91054447024479</v>
      </c>
      <c r="M906" s="28">
        <v>0</v>
      </c>
      <c r="N906" s="28">
        <v>0</v>
      </c>
    </row>
    <row r="907" spans="7:14">
      <c r="G907" s="24">
        <v>906</v>
      </c>
      <c r="H907" s="25">
        <f>S0_</f>
        <v>100</v>
      </c>
      <c r="I907" s="25">
        <f ca="1">S0_*EXP((mu_-sigma_^2/2)*Dt_+sigma_*SQRT(Dt_)*_xlfn.NORM.INV(RAND(),0,1))</f>
        <v>87.6740768370692</v>
      </c>
      <c r="J907" s="25">
        <f ca="1">MAX(k_-I907,0)*EXP(-rs_*T_)</f>
        <v>9.05482676139876</v>
      </c>
      <c r="K907" s="25">
        <v>-11.9676193943223</v>
      </c>
      <c r="L907" s="25">
        <v>-3.48279263292358</v>
      </c>
      <c r="M907" s="28">
        <v>1</v>
      </c>
      <c r="N907" s="28">
        <v>1</v>
      </c>
    </row>
    <row r="908" spans="7:14">
      <c r="G908" s="24">
        <v>907</v>
      </c>
      <c r="H908" s="25">
        <f>S0_</f>
        <v>100</v>
      </c>
      <c r="I908" s="25">
        <f ca="1">S0_*EXP((mu_-sigma_^2/2)*Dt_+sigma_*SQRT(Dt_)*_xlfn.NORM.INV(RAND(),0,1))</f>
        <v>101.324504592495</v>
      </c>
      <c r="J908" s="25">
        <f ca="1">MAX(k_-I908,0)*EXP(-rs_*T_)</f>
        <v>0</v>
      </c>
      <c r="K908" s="25">
        <v>1.2860024064307</v>
      </c>
      <c r="L908" s="25">
        <v>0.716002406430704</v>
      </c>
      <c r="M908" s="28">
        <v>0</v>
      </c>
      <c r="N908" s="28">
        <v>0</v>
      </c>
    </row>
    <row r="909" spans="7:14">
      <c r="G909" s="24">
        <v>908</v>
      </c>
      <c r="H909" s="25">
        <f>S0_</f>
        <v>100</v>
      </c>
      <c r="I909" s="25">
        <f ca="1">S0_*EXP((mu_-sigma_^2/2)*Dt_+sigma_*SQRT(Dt_)*_xlfn.NORM.INV(RAND(),0,1))</f>
        <v>98.3603281102631</v>
      </c>
      <c r="J909" s="25">
        <f ca="1">MAX(k_-I909,0)*EXP(-rs_*T_)</f>
        <v>0</v>
      </c>
      <c r="K909" s="25">
        <v>-1.59200806694583</v>
      </c>
      <c r="L909" s="25">
        <v>-2.16200806694583</v>
      </c>
      <c r="M909" s="28">
        <v>1</v>
      </c>
      <c r="N909" s="28">
        <v>1</v>
      </c>
    </row>
    <row r="910" spans="7:14">
      <c r="G910" s="24">
        <v>909</v>
      </c>
      <c r="H910" s="25">
        <f>S0_</f>
        <v>100</v>
      </c>
      <c r="I910" s="25">
        <f ca="1">S0_*EXP((mu_-sigma_^2/2)*Dt_+sigma_*SQRT(Dt_)*_xlfn.NORM.INV(RAND(),0,1))</f>
        <v>107.853696283565</v>
      </c>
      <c r="J910" s="25">
        <f ca="1">MAX(k_-I910,0)*EXP(-rs_*T_)</f>
        <v>0</v>
      </c>
      <c r="K910" s="25">
        <v>7.62539622532939</v>
      </c>
      <c r="L910" s="25">
        <v>7.05539622532939</v>
      </c>
      <c r="M910" s="28">
        <v>0</v>
      </c>
      <c r="N910" s="28">
        <v>0</v>
      </c>
    </row>
    <row r="911" spans="7:14">
      <c r="G911" s="24">
        <v>910</v>
      </c>
      <c r="H911" s="25">
        <f>S0_</f>
        <v>100</v>
      </c>
      <c r="I911" s="25">
        <f ca="1">S0_*EXP((mu_-sigma_^2/2)*Dt_+sigma_*SQRT(Dt_)*_xlfn.NORM.INV(RAND(),0,1))</f>
        <v>95.9446541663879</v>
      </c>
      <c r="J911" s="25">
        <f ca="1">MAX(k_-I911,0)*EXP(-rs_*T_)</f>
        <v>1.02466785644398</v>
      </c>
      <c r="K911" s="25">
        <v>-3.93746048936756</v>
      </c>
      <c r="L911" s="25">
        <v>-3.48279263292358</v>
      </c>
      <c r="M911" s="28">
        <v>1</v>
      </c>
      <c r="N911" s="28">
        <v>1</v>
      </c>
    </row>
    <row r="912" spans="7:14">
      <c r="G912" s="24">
        <v>911</v>
      </c>
      <c r="H912" s="25">
        <f>S0_</f>
        <v>100</v>
      </c>
      <c r="I912" s="25">
        <f ca="1">S0_*EXP((mu_-sigma_^2/2)*Dt_+sigma_*SQRT(Dt_)*_xlfn.NORM.INV(RAND(),0,1))</f>
        <v>114.878301597651</v>
      </c>
      <c r="J912" s="25">
        <f ca="1">MAX(k_-I912,0)*EXP(-rs_*T_)</f>
        <v>0</v>
      </c>
      <c r="K912" s="25">
        <v>14.445802428018</v>
      </c>
      <c r="L912" s="25">
        <v>13.875802428018</v>
      </c>
      <c r="M912" s="28">
        <v>0</v>
      </c>
      <c r="N912" s="28">
        <v>0</v>
      </c>
    </row>
    <row r="913" spans="7:14">
      <c r="G913" s="24">
        <v>912</v>
      </c>
      <c r="H913" s="25">
        <f>S0_</f>
        <v>100</v>
      </c>
      <c r="I913" s="25">
        <f ca="1">S0_*EXP((mu_-sigma_^2/2)*Dt_+sigma_*SQRT(Dt_)*_xlfn.NORM.INV(RAND(),0,1))</f>
        <v>93.2218177748537</v>
      </c>
      <c r="J913" s="25">
        <f ca="1">MAX(k_-I913,0)*EXP(-rs_*T_)</f>
        <v>3.66835378374964</v>
      </c>
      <c r="K913" s="25">
        <v>-6.58114641667322</v>
      </c>
      <c r="L913" s="25">
        <v>-3.48279263292358</v>
      </c>
      <c r="M913" s="28">
        <v>1</v>
      </c>
      <c r="N913" s="28">
        <v>1</v>
      </c>
    </row>
    <row r="914" spans="7:14">
      <c r="G914" s="24">
        <v>913</v>
      </c>
      <c r="H914" s="25">
        <f>S0_</f>
        <v>100</v>
      </c>
      <c r="I914" s="25">
        <f ca="1">S0_*EXP((mu_-sigma_^2/2)*Dt_+sigma_*SQRT(Dt_)*_xlfn.NORM.INV(RAND(),0,1))</f>
        <v>103.925747700956</v>
      </c>
      <c r="J914" s="25">
        <f ca="1">MAX(k_-I914,0)*EXP(-rs_*T_)</f>
        <v>0</v>
      </c>
      <c r="K914" s="25">
        <v>3.81162966068672</v>
      </c>
      <c r="L914" s="25">
        <v>3.24162966068672</v>
      </c>
      <c r="M914" s="28">
        <v>0</v>
      </c>
      <c r="N914" s="28">
        <v>0</v>
      </c>
    </row>
    <row r="915" spans="7:14">
      <c r="G915" s="24">
        <v>914</v>
      </c>
      <c r="H915" s="25">
        <f>S0_</f>
        <v>100</v>
      </c>
      <c r="I915" s="25">
        <f ca="1">S0_*EXP((mu_-sigma_^2/2)*Dt_+sigma_*SQRT(Dt_)*_xlfn.NORM.INV(RAND(),0,1))</f>
        <v>99.7255764479782</v>
      </c>
      <c r="J915" s="25">
        <f ca="1">MAX(k_-I915,0)*EXP(-rs_*T_)</f>
        <v>0</v>
      </c>
      <c r="K915" s="25">
        <v>-0.266446300209969</v>
      </c>
      <c r="L915" s="25">
        <v>-0.836446300209969</v>
      </c>
      <c r="M915" s="28">
        <v>1</v>
      </c>
      <c r="N915" s="28">
        <v>1</v>
      </c>
    </row>
    <row r="916" spans="7:14">
      <c r="G916" s="24">
        <v>915</v>
      </c>
      <c r="H916" s="25">
        <f>S0_</f>
        <v>100</v>
      </c>
      <c r="I916" s="25">
        <f ca="1">S0_*EXP((mu_-sigma_^2/2)*Dt_+sigma_*SQRT(Dt_)*_xlfn.NORM.INV(RAND(),0,1))</f>
        <v>106.50225544246</v>
      </c>
      <c r="J916" s="25">
        <f ca="1">MAX(k_-I916,0)*EXP(-rs_*T_)</f>
        <v>0</v>
      </c>
      <c r="K916" s="25">
        <v>6.3132405833947</v>
      </c>
      <c r="L916" s="25">
        <v>5.7432405833947</v>
      </c>
      <c r="M916" s="28">
        <v>0</v>
      </c>
      <c r="N916" s="28">
        <v>0</v>
      </c>
    </row>
    <row r="917" spans="7:14">
      <c r="G917" s="24">
        <v>916</v>
      </c>
      <c r="H917" s="25">
        <f>S0_</f>
        <v>100</v>
      </c>
      <c r="I917" s="25">
        <f ca="1">S0_*EXP((mu_-sigma_^2/2)*Dt_+sigma_*SQRT(Dt_)*_xlfn.NORM.INV(RAND(),0,1))</f>
        <v>97.5542028879946</v>
      </c>
      <c r="J917" s="25">
        <f ca="1">MAX(k_-I917,0)*EXP(-rs_*T_)</f>
        <v>0</v>
      </c>
      <c r="K917" s="25">
        <v>-2.37469993649174</v>
      </c>
      <c r="L917" s="25">
        <v>-2.94469993649174</v>
      </c>
      <c r="M917" s="28">
        <v>1</v>
      </c>
      <c r="N917" s="28">
        <v>1</v>
      </c>
    </row>
    <row r="918" spans="7:14">
      <c r="G918" s="24">
        <v>917</v>
      </c>
      <c r="H918" s="25">
        <f>S0_</f>
        <v>100</v>
      </c>
      <c r="I918" s="25">
        <f ca="1">S0_*EXP((mu_-sigma_^2/2)*Dt_+sigma_*SQRT(Dt_)*_xlfn.NORM.INV(RAND(),0,1))</f>
        <v>101.979251807185</v>
      </c>
      <c r="J918" s="25">
        <f ca="1">MAX(k_-I918,0)*EXP(-rs_*T_)</f>
        <v>0</v>
      </c>
      <c r="K918" s="25">
        <v>1.9217166942234</v>
      </c>
      <c r="L918" s="25">
        <v>1.3517166942234</v>
      </c>
      <c r="M918" s="28">
        <v>0</v>
      </c>
      <c r="N918" s="28">
        <v>0</v>
      </c>
    </row>
    <row r="919" spans="7:14">
      <c r="G919" s="24">
        <v>918</v>
      </c>
      <c r="H919" s="25">
        <f>S0_</f>
        <v>100</v>
      </c>
      <c r="I919" s="25">
        <f ca="1">S0_*EXP((mu_-sigma_^2/2)*Dt_+sigma_*SQRT(Dt_)*_xlfn.NORM.INV(RAND(),0,1))</f>
        <v>106.517264233521</v>
      </c>
      <c r="J919" s="25">
        <f ca="1">MAX(k_-I919,0)*EXP(-rs_*T_)</f>
        <v>0</v>
      </c>
      <c r="K919" s="25">
        <v>6.32781308207228</v>
      </c>
      <c r="L919" s="25">
        <v>5.75781308207228</v>
      </c>
      <c r="M919" s="28">
        <v>0</v>
      </c>
      <c r="N919" s="28">
        <v>0</v>
      </c>
    </row>
    <row r="920" spans="7:14">
      <c r="G920" s="24">
        <v>919</v>
      </c>
      <c r="H920" s="25">
        <f>S0_</f>
        <v>100</v>
      </c>
      <c r="I920" s="25">
        <f ca="1">S0_*EXP((mu_-sigma_^2/2)*Dt_+sigma_*SQRT(Dt_)*_xlfn.NORM.INV(RAND(),0,1))</f>
        <v>111.602180242606</v>
      </c>
      <c r="J920" s="25">
        <f ca="1">MAX(k_-I920,0)*EXP(-rs_*T_)</f>
        <v>0</v>
      </c>
      <c r="K920" s="25">
        <v>11.2649150455044</v>
      </c>
      <c r="L920" s="25">
        <v>10.6949150455044</v>
      </c>
      <c r="M920" s="28">
        <v>0</v>
      </c>
      <c r="N920" s="28">
        <v>0</v>
      </c>
    </row>
    <row r="921" spans="7:14">
      <c r="G921" s="24">
        <v>920</v>
      </c>
      <c r="H921" s="25">
        <f>S0_</f>
        <v>100</v>
      </c>
      <c r="I921" s="25">
        <f ca="1">S0_*EXP((mu_-sigma_^2/2)*Dt_+sigma_*SQRT(Dt_)*_xlfn.NORM.INV(RAND(),0,1))</f>
        <v>87.2466691330663</v>
      </c>
      <c r="J921" s="25">
        <f ca="1">MAX(k_-I921,0)*EXP(-rs_*T_)</f>
        <v>9.46981009855692</v>
      </c>
      <c r="K921" s="25">
        <v>-12.3826027314805</v>
      </c>
      <c r="L921" s="25">
        <v>-3.48279263292358</v>
      </c>
      <c r="M921" s="28">
        <v>1</v>
      </c>
      <c r="N921" s="28">
        <v>1</v>
      </c>
    </row>
    <row r="922" spans="7:14">
      <c r="G922" s="24">
        <v>921</v>
      </c>
      <c r="H922" s="25">
        <f>S0_</f>
        <v>100</v>
      </c>
      <c r="I922" s="25">
        <f ca="1">S0_*EXP((mu_-sigma_^2/2)*Dt_+sigma_*SQRT(Dt_)*_xlfn.NORM.INV(RAND(),0,1))</f>
        <v>104.77142935914</v>
      </c>
      <c r="J922" s="25">
        <f ca="1">MAX(k_-I922,0)*EXP(-rs_*T_)</f>
        <v>0</v>
      </c>
      <c r="K922" s="25">
        <v>4.63272809527236</v>
      </c>
      <c r="L922" s="25">
        <v>4.06272809527236</v>
      </c>
      <c r="M922" s="28">
        <v>0</v>
      </c>
      <c r="N922" s="28">
        <v>0</v>
      </c>
    </row>
    <row r="923" spans="7:14">
      <c r="G923" s="24">
        <v>922</v>
      </c>
      <c r="H923" s="25">
        <f>S0_</f>
        <v>100</v>
      </c>
      <c r="I923" s="25">
        <f ca="1">S0_*EXP((mu_-sigma_^2/2)*Dt_+sigma_*SQRT(Dt_)*_xlfn.NORM.INV(RAND(),0,1))</f>
        <v>100.654236990466</v>
      </c>
      <c r="J923" s="25">
        <f ca="1">MAX(k_-I923,0)*EXP(-rs_*T_)</f>
        <v>0</v>
      </c>
      <c r="K923" s="25">
        <v>0.635218895338559</v>
      </c>
      <c r="L923" s="25">
        <v>0.0652188953385594</v>
      </c>
      <c r="M923" s="28">
        <v>0</v>
      </c>
      <c r="N923" s="28">
        <v>0</v>
      </c>
    </row>
    <row r="924" spans="7:14">
      <c r="G924" s="24">
        <v>923</v>
      </c>
      <c r="H924" s="25">
        <f>S0_</f>
        <v>100</v>
      </c>
      <c r="I924" s="25">
        <f ca="1">S0_*EXP((mu_-sigma_^2/2)*Dt_+sigma_*SQRT(Dt_)*_xlfn.NORM.INV(RAND(),0,1))</f>
        <v>98.1095930997065</v>
      </c>
      <c r="J924" s="25">
        <f ca="1">MAX(k_-I924,0)*EXP(-rs_*T_)</f>
        <v>0</v>
      </c>
      <c r="K924" s="25">
        <v>-1.83545443080091</v>
      </c>
      <c r="L924" s="25">
        <v>-2.40545443080091</v>
      </c>
      <c r="M924" s="28">
        <v>1</v>
      </c>
      <c r="N924" s="28">
        <v>1</v>
      </c>
    </row>
    <row r="925" spans="7:14">
      <c r="G925" s="24">
        <v>924</v>
      </c>
      <c r="H925" s="25">
        <f>S0_</f>
        <v>100</v>
      </c>
      <c r="I925" s="25">
        <f ca="1">S0_*EXP((mu_-sigma_^2/2)*Dt_+sigma_*SQRT(Dt_)*_xlfn.NORM.INV(RAND(),0,1))</f>
        <v>103.778090826966</v>
      </c>
      <c r="J925" s="25">
        <f ca="1">MAX(k_-I925,0)*EXP(-rs_*T_)</f>
        <v>0</v>
      </c>
      <c r="K925" s="25">
        <v>3.66826504243437</v>
      </c>
      <c r="L925" s="25">
        <v>3.09826504243437</v>
      </c>
      <c r="M925" s="28">
        <v>0</v>
      </c>
      <c r="N925" s="28">
        <v>0</v>
      </c>
    </row>
    <row r="926" spans="7:14">
      <c r="G926" s="24">
        <v>925</v>
      </c>
      <c r="H926" s="25">
        <f>S0_</f>
        <v>100</v>
      </c>
      <c r="I926" s="25">
        <f ca="1">S0_*EXP((mu_-sigma_^2/2)*Dt_+sigma_*SQRT(Dt_)*_xlfn.NORM.INV(RAND(),0,1))</f>
        <v>105.900256048682</v>
      </c>
      <c r="J926" s="25">
        <f ca="1">MAX(k_-I926,0)*EXP(-rs_*T_)</f>
        <v>0</v>
      </c>
      <c r="K926" s="25">
        <v>5.72874078365486</v>
      </c>
      <c r="L926" s="25">
        <v>5.15874078365486</v>
      </c>
      <c r="M926" s="28">
        <v>0</v>
      </c>
      <c r="N926" s="28">
        <v>0</v>
      </c>
    </row>
    <row r="927" spans="7:14">
      <c r="G927" s="24">
        <v>926</v>
      </c>
      <c r="H927" s="25">
        <f>S0_</f>
        <v>100</v>
      </c>
      <c r="I927" s="25">
        <f ca="1">S0_*EXP((mu_-sigma_^2/2)*Dt_+sigma_*SQRT(Dt_)*_xlfn.NORM.INV(RAND(),0,1))</f>
        <v>100.71028084958</v>
      </c>
      <c r="J927" s="25">
        <f ca="1">MAX(k_-I927,0)*EXP(-rs_*T_)</f>
        <v>0</v>
      </c>
      <c r="K927" s="25">
        <v>0.689633608654279</v>
      </c>
      <c r="L927" s="25">
        <v>0.119633608654279</v>
      </c>
      <c r="M927" s="28">
        <v>0</v>
      </c>
      <c r="N927" s="28">
        <v>0</v>
      </c>
    </row>
    <row r="928" spans="7:14">
      <c r="G928" s="24">
        <v>927</v>
      </c>
      <c r="H928" s="25">
        <f>S0_</f>
        <v>100</v>
      </c>
      <c r="I928" s="25">
        <f ca="1">S0_*EXP((mu_-sigma_^2/2)*Dt_+sigma_*SQRT(Dt_)*_xlfn.NORM.INV(RAND(),0,1))</f>
        <v>113.690323951851</v>
      </c>
      <c r="J928" s="25">
        <f ca="1">MAX(k_-I928,0)*EXP(-rs_*T_)</f>
        <v>0</v>
      </c>
      <c r="K928" s="25">
        <v>13.2923582497634</v>
      </c>
      <c r="L928" s="25">
        <v>12.7223582497634</v>
      </c>
      <c r="M928" s="28">
        <v>0</v>
      </c>
      <c r="N928" s="28">
        <v>0</v>
      </c>
    </row>
    <row r="929" spans="7:14">
      <c r="G929" s="24">
        <v>928</v>
      </c>
      <c r="H929" s="25">
        <f>S0_</f>
        <v>100</v>
      </c>
      <c r="I929" s="25">
        <f ca="1">S0_*EXP((mu_-sigma_^2/2)*Dt_+sigma_*SQRT(Dt_)*_xlfn.NORM.INV(RAND(),0,1))</f>
        <v>98.6893983621282</v>
      </c>
      <c r="J929" s="25">
        <f ca="1">MAX(k_-I929,0)*EXP(-rs_*T_)</f>
        <v>0</v>
      </c>
      <c r="K929" s="25">
        <v>-1.27250359849681</v>
      </c>
      <c r="L929" s="25">
        <v>-1.84250359849681</v>
      </c>
      <c r="M929" s="28">
        <v>1</v>
      </c>
      <c r="N929" s="28">
        <v>1</v>
      </c>
    </row>
    <row r="930" spans="7:14">
      <c r="G930" s="24">
        <v>929</v>
      </c>
      <c r="H930" s="25">
        <f>S0_</f>
        <v>100</v>
      </c>
      <c r="I930" s="25">
        <f ca="1">S0_*EXP((mu_-sigma_^2/2)*Dt_+sigma_*SQRT(Dt_)*_xlfn.NORM.INV(RAND(),0,1))</f>
        <v>105.578858138079</v>
      </c>
      <c r="J930" s="25">
        <f ca="1">MAX(k_-I930,0)*EXP(-rs_*T_)</f>
        <v>0</v>
      </c>
      <c r="K930" s="25">
        <v>5.41668562824073</v>
      </c>
      <c r="L930" s="25">
        <v>4.84668562824073</v>
      </c>
      <c r="M930" s="28">
        <v>0</v>
      </c>
      <c r="N930" s="28">
        <v>0</v>
      </c>
    </row>
    <row r="931" spans="7:14">
      <c r="G931" s="24">
        <v>930</v>
      </c>
      <c r="H931" s="25">
        <f>S0_</f>
        <v>100</v>
      </c>
      <c r="I931" s="25">
        <f ca="1">S0_*EXP((mu_-sigma_^2/2)*Dt_+sigma_*SQRT(Dt_)*_xlfn.NORM.INV(RAND(),0,1))</f>
        <v>120.99734737136</v>
      </c>
      <c r="J931" s="25">
        <f ca="1">MAX(k_-I931,0)*EXP(-rs_*T_)</f>
        <v>0</v>
      </c>
      <c r="K931" s="25">
        <v>20.3869729114113</v>
      </c>
      <c r="L931" s="25">
        <v>19.8169729114113</v>
      </c>
      <c r="M931" s="28">
        <v>0</v>
      </c>
      <c r="N931" s="28">
        <v>0</v>
      </c>
    </row>
    <row r="932" spans="7:14">
      <c r="G932" s="24">
        <v>931</v>
      </c>
      <c r="H932" s="25">
        <f>S0_</f>
        <v>100</v>
      </c>
      <c r="I932" s="25">
        <f ca="1">S0_*EXP((mu_-sigma_^2/2)*Dt_+sigma_*SQRT(Dt_)*_xlfn.NORM.INV(RAND(),0,1))</f>
        <v>110.381634472067</v>
      </c>
      <c r="J932" s="25">
        <f ca="1">MAX(k_-I932,0)*EXP(-rs_*T_)</f>
        <v>0</v>
      </c>
      <c r="K932" s="25">
        <v>10.0798494693138</v>
      </c>
      <c r="L932" s="25">
        <v>9.50984946931385</v>
      </c>
      <c r="M932" s="28">
        <v>0</v>
      </c>
      <c r="N932" s="28">
        <v>0</v>
      </c>
    </row>
    <row r="933" spans="7:14">
      <c r="G933" s="24">
        <v>932</v>
      </c>
      <c r="H933" s="25">
        <f>S0_</f>
        <v>100</v>
      </c>
      <c r="I933" s="25">
        <f ca="1">S0_*EXP((mu_-sigma_^2/2)*Dt_+sigma_*SQRT(Dt_)*_xlfn.NORM.INV(RAND(),0,1))</f>
        <v>99.6819338147124</v>
      </c>
      <c r="J933" s="25">
        <f ca="1">MAX(k_-I933,0)*EXP(-rs_*T_)</f>
        <v>0</v>
      </c>
      <c r="K933" s="25">
        <v>-0.308820280429295</v>
      </c>
      <c r="L933" s="25">
        <v>-0.878820280429295</v>
      </c>
      <c r="M933" s="28">
        <v>1</v>
      </c>
      <c r="N933" s="28">
        <v>1</v>
      </c>
    </row>
    <row r="934" spans="7:14">
      <c r="G934" s="24">
        <v>933</v>
      </c>
      <c r="H934" s="25">
        <f>S0_</f>
        <v>100</v>
      </c>
      <c r="I934" s="25">
        <f ca="1">S0_*EXP((mu_-sigma_^2/2)*Dt_+sigma_*SQRT(Dt_)*_xlfn.NORM.INV(RAND(),0,1))</f>
        <v>105.880840821675</v>
      </c>
      <c r="J934" s="25">
        <f ca="1">MAX(k_-I934,0)*EXP(-rs_*T_)</f>
        <v>0</v>
      </c>
      <c r="K934" s="25">
        <v>5.70988994025734</v>
      </c>
      <c r="L934" s="25">
        <v>5.13988994025734</v>
      </c>
      <c r="M934" s="28">
        <v>0</v>
      </c>
      <c r="N934" s="28">
        <v>0</v>
      </c>
    </row>
    <row r="935" spans="7:14">
      <c r="G935" s="24">
        <v>934</v>
      </c>
      <c r="H935" s="25">
        <f>S0_</f>
        <v>100</v>
      </c>
      <c r="I935" s="25">
        <f ca="1">S0_*EXP((mu_-sigma_^2/2)*Dt_+sigma_*SQRT(Dt_)*_xlfn.NORM.INV(RAND(),0,1))</f>
        <v>106.518222397214</v>
      </c>
      <c r="J935" s="25">
        <f ca="1">MAX(k_-I935,0)*EXP(-rs_*T_)</f>
        <v>0</v>
      </c>
      <c r="K935" s="25">
        <v>6.3287433927877</v>
      </c>
      <c r="L935" s="25">
        <v>5.7587433927877</v>
      </c>
      <c r="M935" s="28">
        <v>0</v>
      </c>
      <c r="N935" s="28">
        <v>0</v>
      </c>
    </row>
    <row r="936" spans="7:14">
      <c r="G936" s="24">
        <v>935</v>
      </c>
      <c r="H936" s="25">
        <f>S0_</f>
        <v>100</v>
      </c>
      <c r="I936" s="25">
        <f ca="1">S0_*EXP((mu_-sigma_^2/2)*Dt_+sigma_*SQRT(Dt_)*_xlfn.NORM.INV(RAND(),0,1))</f>
        <v>101.082442585955</v>
      </c>
      <c r="J936" s="25">
        <f ca="1">MAX(k_-I936,0)*EXP(-rs_*T_)</f>
        <v>0</v>
      </c>
      <c r="K936" s="25">
        <v>1.05097692997765</v>
      </c>
      <c r="L936" s="25">
        <v>0.480976929977651</v>
      </c>
      <c r="M936" s="28">
        <v>0</v>
      </c>
      <c r="N936" s="28">
        <v>0</v>
      </c>
    </row>
    <row r="937" spans="7:14">
      <c r="G937" s="24">
        <v>936</v>
      </c>
      <c r="H937" s="25">
        <f>S0_</f>
        <v>100</v>
      </c>
      <c r="I937" s="25">
        <f ca="1">S0_*EXP((mu_-sigma_^2/2)*Dt_+sigma_*SQRT(Dt_)*_xlfn.NORM.INV(RAND(),0,1))</f>
        <v>95.5731049675912</v>
      </c>
      <c r="J937" s="25">
        <f ca="1">MAX(k_-I937,0)*EXP(-rs_*T_)</f>
        <v>1.38541644611849</v>
      </c>
      <c r="K937" s="25">
        <v>-4.29820907904207</v>
      </c>
      <c r="L937" s="25">
        <v>-3.48279263292358</v>
      </c>
      <c r="M937" s="28">
        <v>1</v>
      </c>
      <c r="N937" s="28">
        <v>1</v>
      </c>
    </row>
    <row r="938" spans="7:14">
      <c r="G938" s="24">
        <v>937</v>
      </c>
      <c r="H938" s="25">
        <f>S0_</f>
        <v>100</v>
      </c>
      <c r="I938" s="25">
        <f ca="1">S0_*EXP((mu_-sigma_^2/2)*Dt_+sigma_*SQRT(Dt_)*_xlfn.NORM.INV(RAND(),0,1))</f>
        <v>109.267678746024</v>
      </c>
      <c r="J938" s="25">
        <f ca="1">MAX(k_-I938,0)*EXP(-rs_*T_)</f>
        <v>0</v>
      </c>
      <c r="K938" s="25">
        <v>8.99827545857406</v>
      </c>
      <c r="L938" s="25">
        <v>8.42827545857406</v>
      </c>
      <c r="M938" s="28">
        <v>0</v>
      </c>
      <c r="N938" s="28">
        <v>0</v>
      </c>
    </row>
    <row r="939" spans="7:14">
      <c r="G939" s="24">
        <v>938</v>
      </c>
      <c r="H939" s="25">
        <f>S0_</f>
        <v>100</v>
      </c>
      <c r="I939" s="25">
        <f ca="1">S0_*EXP((mu_-sigma_^2/2)*Dt_+sigma_*SQRT(Dt_)*_xlfn.NORM.INV(RAND(),0,1))</f>
        <v>117.064220463104</v>
      </c>
      <c r="J939" s="25">
        <f ca="1">MAX(k_-I939,0)*EXP(-rs_*T_)</f>
        <v>0</v>
      </c>
      <c r="K939" s="25">
        <v>16.5681785505041</v>
      </c>
      <c r="L939" s="25">
        <v>15.9981785505041</v>
      </c>
      <c r="M939" s="28">
        <v>0</v>
      </c>
      <c r="N939" s="28">
        <v>0</v>
      </c>
    </row>
    <row r="940" spans="7:14">
      <c r="G940" s="24">
        <v>939</v>
      </c>
      <c r="H940" s="25">
        <f>S0_</f>
        <v>100</v>
      </c>
      <c r="I940" s="25">
        <f ca="1">S0_*EXP((mu_-sigma_^2/2)*Dt_+sigma_*SQRT(Dt_)*_xlfn.NORM.INV(RAND(),0,1))</f>
        <v>109.900014788507</v>
      </c>
      <c r="J940" s="25">
        <f ca="1">MAX(k_-I940,0)*EXP(-rs_*T_)</f>
        <v>0</v>
      </c>
      <c r="K940" s="25">
        <v>9.61223004726553</v>
      </c>
      <c r="L940" s="25">
        <v>9.04223004726552</v>
      </c>
      <c r="M940" s="28">
        <v>0</v>
      </c>
      <c r="N940" s="28">
        <v>0</v>
      </c>
    </row>
    <row r="941" spans="7:14">
      <c r="G941" s="24">
        <v>940</v>
      </c>
      <c r="H941" s="25">
        <f>S0_</f>
        <v>100</v>
      </c>
      <c r="I941" s="25">
        <f ca="1">S0_*EXP((mu_-sigma_^2/2)*Dt_+sigma_*SQRT(Dt_)*_xlfn.NORM.INV(RAND(),0,1))</f>
        <v>104.66223355822</v>
      </c>
      <c r="J941" s="25">
        <f ca="1">MAX(k_-I941,0)*EXP(-rs_*T_)</f>
        <v>0</v>
      </c>
      <c r="K941" s="25">
        <v>4.52670652045089</v>
      </c>
      <c r="L941" s="25">
        <v>3.95670652045089</v>
      </c>
      <c r="M941" s="28">
        <v>0</v>
      </c>
      <c r="N941" s="28">
        <v>0</v>
      </c>
    </row>
    <row r="942" spans="7:14">
      <c r="G942" s="24">
        <v>941</v>
      </c>
      <c r="H942" s="25">
        <f>S0_</f>
        <v>100</v>
      </c>
      <c r="I942" s="25">
        <f ca="1">S0_*EXP((mu_-sigma_^2/2)*Dt_+sigma_*SQRT(Dt_)*_xlfn.NORM.INV(RAND(),0,1))</f>
        <v>106.332912078441</v>
      </c>
      <c r="J942" s="25">
        <f ca="1">MAX(k_-I942,0)*EXP(-rs_*T_)</f>
        <v>0</v>
      </c>
      <c r="K942" s="25">
        <v>6.14881988234547</v>
      </c>
      <c r="L942" s="25">
        <v>5.57881988234547</v>
      </c>
      <c r="M942" s="28">
        <v>0</v>
      </c>
      <c r="N942" s="28">
        <v>0</v>
      </c>
    </row>
    <row r="943" spans="7:14">
      <c r="G943" s="24">
        <v>942</v>
      </c>
      <c r="H943" s="25">
        <f>S0_</f>
        <v>100</v>
      </c>
      <c r="I943" s="25">
        <f ca="1">S0_*EXP((mu_-sigma_^2/2)*Dt_+sigma_*SQRT(Dt_)*_xlfn.NORM.INV(RAND(),0,1))</f>
        <v>105.486753891479</v>
      </c>
      <c r="J943" s="25">
        <f ca="1">MAX(k_-I943,0)*EXP(-rs_*T_)</f>
        <v>0</v>
      </c>
      <c r="K943" s="25">
        <v>5.32725877125454</v>
      </c>
      <c r="L943" s="25">
        <v>4.75725877125454</v>
      </c>
      <c r="M943" s="28">
        <v>0</v>
      </c>
      <c r="N943" s="28">
        <v>0</v>
      </c>
    </row>
    <row r="944" spans="7:14">
      <c r="G944" s="24">
        <v>943</v>
      </c>
      <c r="H944" s="25">
        <f>S0_</f>
        <v>100</v>
      </c>
      <c r="I944" s="25">
        <f ca="1">S0_*EXP((mu_-sigma_^2/2)*Dt_+sigma_*SQRT(Dt_)*_xlfn.NORM.INV(RAND(),0,1))</f>
        <v>107.251339516036</v>
      </c>
      <c r="J944" s="25">
        <f ca="1">MAX(k_-I944,0)*EXP(-rs_*T_)</f>
        <v>0</v>
      </c>
      <c r="K944" s="25">
        <v>7.04054944037879</v>
      </c>
      <c r="L944" s="25">
        <v>6.47054944037879</v>
      </c>
      <c r="M944" s="28">
        <v>0</v>
      </c>
      <c r="N944" s="28">
        <v>0</v>
      </c>
    </row>
    <row r="945" spans="7:14">
      <c r="G945" s="24">
        <v>944</v>
      </c>
      <c r="H945" s="25">
        <f>S0_</f>
        <v>100</v>
      </c>
      <c r="I945" s="25">
        <f ca="1">S0_*EXP((mu_-sigma_^2/2)*Dt_+sigma_*SQRT(Dt_)*_xlfn.NORM.INV(RAND(),0,1))</f>
        <v>97.4528476034424</v>
      </c>
      <c r="J945" s="25">
        <f ca="1">MAX(k_-I945,0)*EXP(-rs_*T_)</f>
        <v>0</v>
      </c>
      <c r="K945" s="25">
        <v>-2.47310891187559</v>
      </c>
      <c r="L945" s="25">
        <v>-3.04310891187559</v>
      </c>
      <c r="M945" s="28">
        <v>1</v>
      </c>
      <c r="N945" s="28">
        <v>1</v>
      </c>
    </row>
    <row r="946" spans="7:14">
      <c r="G946" s="24">
        <v>945</v>
      </c>
      <c r="H946" s="25">
        <f>S0_</f>
        <v>100</v>
      </c>
      <c r="I946" s="25">
        <f ca="1">S0_*EXP((mu_-sigma_^2/2)*Dt_+sigma_*SQRT(Dt_)*_xlfn.NORM.INV(RAND(),0,1))</f>
        <v>115.177170552557</v>
      </c>
      <c r="J946" s="25">
        <f ca="1">MAX(k_-I946,0)*EXP(-rs_*T_)</f>
        <v>0</v>
      </c>
      <c r="K946" s="25">
        <v>14.7359835247045</v>
      </c>
      <c r="L946" s="25">
        <v>14.1659835247045</v>
      </c>
      <c r="M946" s="28">
        <v>0</v>
      </c>
      <c r="N946" s="28">
        <v>0</v>
      </c>
    </row>
    <row r="947" spans="7:14">
      <c r="G947" s="24">
        <v>946</v>
      </c>
      <c r="H947" s="25">
        <f>S0_</f>
        <v>100</v>
      </c>
      <c r="I947" s="25">
        <f ca="1">S0_*EXP((mu_-sigma_^2/2)*Dt_+sigma_*SQRT(Dt_)*_xlfn.NORM.INV(RAND(),0,1))</f>
        <v>102.00646589752</v>
      </c>
      <c r="J947" s="25">
        <f ca="1">MAX(k_-I947,0)*EXP(-rs_*T_)</f>
        <v>0</v>
      </c>
      <c r="K947" s="25">
        <v>1.94813969483579</v>
      </c>
      <c r="L947" s="25">
        <v>1.37813969483579</v>
      </c>
      <c r="M947" s="28">
        <v>0</v>
      </c>
      <c r="N947" s="28">
        <v>0</v>
      </c>
    </row>
    <row r="948" spans="7:14">
      <c r="G948" s="24">
        <v>947</v>
      </c>
      <c r="H948" s="25">
        <f>S0_</f>
        <v>100</v>
      </c>
      <c r="I948" s="25">
        <f ca="1">S0_*EXP((mu_-sigma_^2/2)*Dt_+sigma_*SQRT(Dt_)*_xlfn.NORM.INV(RAND(),0,1))</f>
        <v>123.801039538453</v>
      </c>
      <c r="J948" s="25">
        <f ca="1">MAX(k_-I948,0)*EXP(-rs_*T_)</f>
        <v>0</v>
      </c>
      <c r="K948" s="25">
        <v>23.109164207843</v>
      </c>
      <c r="L948" s="25">
        <v>22.539164207843</v>
      </c>
      <c r="M948" s="28">
        <v>0</v>
      </c>
      <c r="N948" s="28">
        <v>0</v>
      </c>
    </row>
    <row r="949" spans="7:14">
      <c r="G949" s="24">
        <v>948</v>
      </c>
      <c r="H949" s="25">
        <f>S0_</f>
        <v>100</v>
      </c>
      <c r="I949" s="25">
        <f ca="1">S0_*EXP((mu_-sigma_^2/2)*Dt_+sigma_*SQRT(Dt_)*_xlfn.NORM.INV(RAND(),0,1))</f>
        <v>116.356226536764</v>
      </c>
      <c r="J949" s="25">
        <f ca="1">MAX(k_-I949,0)*EXP(-rs_*T_)</f>
        <v>0</v>
      </c>
      <c r="K949" s="25">
        <v>15.8807653862389</v>
      </c>
      <c r="L949" s="25">
        <v>15.3107653862389</v>
      </c>
      <c r="M949" s="28">
        <v>0</v>
      </c>
      <c r="N949" s="28">
        <v>0</v>
      </c>
    </row>
    <row r="950" spans="7:14">
      <c r="G950" s="24">
        <v>949</v>
      </c>
      <c r="H950" s="25">
        <f>S0_</f>
        <v>100</v>
      </c>
      <c r="I950" s="25">
        <f ca="1">S0_*EXP((mu_-sigma_^2/2)*Dt_+sigma_*SQRT(Dt_)*_xlfn.NORM.INV(RAND(),0,1))</f>
        <v>88.4764573455069</v>
      </c>
      <c r="J950" s="25">
        <f ca="1">MAX(k_-I950,0)*EXP(-rs_*T_)</f>
        <v>8.27577075013917</v>
      </c>
      <c r="K950" s="25">
        <v>-11.1885633830627</v>
      </c>
      <c r="L950" s="25">
        <v>-3.48279263292358</v>
      </c>
      <c r="M950" s="28">
        <v>1</v>
      </c>
      <c r="N950" s="28">
        <v>1</v>
      </c>
    </row>
    <row r="951" spans="7:14">
      <c r="G951" s="24">
        <v>950</v>
      </c>
      <c r="H951" s="25">
        <f>S0_</f>
        <v>100</v>
      </c>
      <c r="I951" s="25">
        <f ca="1">S0_*EXP((mu_-sigma_^2/2)*Dt_+sigma_*SQRT(Dt_)*_xlfn.NORM.INV(RAND(),0,1))</f>
        <v>108.283534386455</v>
      </c>
      <c r="J951" s="25">
        <f ca="1">MAX(k_-I951,0)*EXP(-rs_*T_)</f>
        <v>0</v>
      </c>
      <c r="K951" s="25">
        <v>8.04273931181151</v>
      </c>
      <c r="L951" s="25">
        <v>7.47273931181151</v>
      </c>
      <c r="M951" s="28">
        <v>0</v>
      </c>
      <c r="N951" s="28">
        <v>0</v>
      </c>
    </row>
    <row r="952" spans="7:14">
      <c r="G952" s="24">
        <v>951</v>
      </c>
      <c r="H952" s="25">
        <f>S0_</f>
        <v>100</v>
      </c>
      <c r="I952" s="25">
        <f ca="1">S0_*EXP((mu_-sigma_^2/2)*Dt_+sigma_*SQRT(Dt_)*_xlfn.NORM.INV(RAND(),0,1))</f>
        <v>99.3716592794653</v>
      </c>
      <c r="J952" s="25">
        <f ca="1">MAX(k_-I952,0)*EXP(-rs_*T_)</f>
        <v>0</v>
      </c>
      <c r="K952" s="25">
        <v>-0.610075407246479</v>
      </c>
      <c r="L952" s="25">
        <v>-1.18007540724648</v>
      </c>
      <c r="M952" s="28">
        <v>1</v>
      </c>
      <c r="N952" s="28">
        <v>1</v>
      </c>
    </row>
    <row r="953" spans="7:14">
      <c r="G953" s="24">
        <v>952</v>
      </c>
      <c r="H953" s="25">
        <f>S0_</f>
        <v>100</v>
      </c>
      <c r="I953" s="25">
        <f ca="1">S0_*EXP((mu_-sigma_^2/2)*Dt_+sigma_*SQRT(Dt_)*_xlfn.NORM.INV(RAND(),0,1))</f>
        <v>101.681321460693</v>
      </c>
      <c r="J953" s="25">
        <f ca="1">MAX(k_-I953,0)*EXP(-rs_*T_)</f>
        <v>0</v>
      </c>
      <c r="K953" s="25">
        <v>1.63244692142806</v>
      </c>
      <c r="L953" s="25">
        <v>1.06244692142806</v>
      </c>
      <c r="M953" s="28">
        <v>0</v>
      </c>
      <c r="N953" s="28">
        <v>0</v>
      </c>
    </row>
    <row r="954" spans="7:14">
      <c r="G954" s="24">
        <v>953</v>
      </c>
      <c r="H954" s="25">
        <f>S0_</f>
        <v>100</v>
      </c>
      <c r="I954" s="25">
        <f ca="1">S0_*EXP((mu_-sigma_^2/2)*Dt_+sigma_*SQRT(Dt_)*_xlfn.NORM.INV(RAND(),0,1))</f>
        <v>110.815438797447</v>
      </c>
      <c r="J954" s="25">
        <f ca="1">MAX(k_-I954,0)*EXP(-rs_*T_)</f>
        <v>0</v>
      </c>
      <c r="K954" s="25">
        <v>10.50104348368</v>
      </c>
      <c r="L954" s="25">
        <v>9.93104348368001</v>
      </c>
      <c r="M954" s="28">
        <v>0</v>
      </c>
      <c r="N954" s="28">
        <v>0</v>
      </c>
    </row>
    <row r="955" spans="7:14">
      <c r="G955" s="24">
        <v>954</v>
      </c>
      <c r="H955" s="25">
        <f>S0_</f>
        <v>100</v>
      </c>
      <c r="I955" s="25">
        <f ca="1">S0_*EXP((mu_-sigma_^2/2)*Dt_+sigma_*SQRT(Dt_)*_xlfn.NORM.INV(RAND(),0,1))</f>
        <v>93.1654988088971</v>
      </c>
      <c r="J955" s="25">
        <f ca="1">MAX(k_-I955,0)*EXP(-rs_*T_)</f>
        <v>3.72303560679373</v>
      </c>
      <c r="K955" s="25">
        <v>-6.63582823971731</v>
      </c>
      <c r="L955" s="25">
        <v>-3.48279263292358</v>
      </c>
      <c r="M955" s="28">
        <v>1</v>
      </c>
      <c r="N955" s="28">
        <v>1</v>
      </c>
    </row>
    <row r="956" spans="7:14">
      <c r="G956" s="24">
        <v>955</v>
      </c>
      <c r="H956" s="25">
        <f>S0_</f>
        <v>100</v>
      </c>
      <c r="I956" s="25">
        <f ca="1">S0_*EXP((mu_-sigma_^2/2)*Dt_+sigma_*SQRT(Dt_)*_xlfn.NORM.INV(RAND(),0,1))</f>
        <v>93.9894813407783</v>
      </c>
      <c r="J956" s="25">
        <f ca="1">MAX(k_-I956,0)*EXP(-rs_*T_)</f>
        <v>2.9230055239533</v>
      </c>
      <c r="K956" s="25">
        <v>-5.83579815687689</v>
      </c>
      <c r="L956" s="25">
        <v>-3.48279263292358</v>
      </c>
      <c r="M956" s="28">
        <v>1</v>
      </c>
      <c r="N956" s="28">
        <v>1</v>
      </c>
    </row>
    <row r="957" spans="7:14">
      <c r="G957" s="24">
        <v>956</v>
      </c>
      <c r="H957" s="25">
        <f>S0_</f>
        <v>100</v>
      </c>
      <c r="I957" s="25">
        <f ca="1">S0_*EXP((mu_-sigma_^2/2)*Dt_+sigma_*SQRT(Dt_)*_xlfn.NORM.INV(RAND(),0,1))</f>
        <v>114.160577786395</v>
      </c>
      <c r="J957" s="25">
        <f ca="1">MAX(k_-I957,0)*EXP(-rs_*T_)</f>
        <v>0</v>
      </c>
      <c r="K957" s="25">
        <v>13.7489422180509</v>
      </c>
      <c r="L957" s="25">
        <v>13.1789422180509</v>
      </c>
      <c r="M957" s="28">
        <v>0</v>
      </c>
      <c r="N957" s="28">
        <v>0</v>
      </c>
    </row>
    <row r="958" spans="7:14">
      <c r="G958" s="24">
        <v>957</v>
      </c>
      <c r="H958" s="25">
        <f>S0_</f>
        <v>100</v>
      </c>
      <c r="I958" s="25">
        <f ca="1">S0_*EXP((mu_-sigma_^2/2)*Dt_+sigma_*SQRT(Dt_)*_xlfn.NORM.INV(RAND(),0,1))</f>
        <v>102.767884479709</v>
      </c>
      <c r="J958" s="25">
        <f ca="1">MAX(k_-I958,0)*EXP(-rs_*T_)</f>
        <v>0</v>
      </c>
      <c r="K958" s="25">
        <v>2.68742450709327</v>
      </c>
      <c r="L958" s="25">
        <v>2.11742450709327</v>
      </c>
      <c r="M958" s="28">
        <v>0</v>
      </c>
      <c r="N958" s="28">
        <v>0</v>
      </c>
    </row>
    <row r="959" spans="7:14">
      <c r="G959" s="24">
        <v>958</v>
      </c>
      <c r="H959" s="25">
        <f>S0_</f>
        <v>100</v>
      </c>
      <c r="I959" s="25">
        <f ca="1">S0_*EXP((mu_-sigma_^2/2)*Dt_+sigma_*SQRT(Dt_)*_xlfn.NORM.INV(RAND(),0,1))</f>
        <v>119.03556834697</v>
      </c>
      <c r="J959" s="25">
        <f ca="1">MAX(k_-I959,0)*EXP(-rs_*T_)</f>
        <v>0</v>
      </c>
      <c r="K959" s="25">
        <v>18.4822210815225</v>
      </c>
      <c r="L959" s="25">
        <v>17.9122210815225</v>
      </c>
      <c r="M959" s="28">
        <v>0</v>
      </c>
      <c r="N959" s="28">
        <v>0</v>
      </c>
    </row>
    <row r="960" spans="7:14">
      <c r="G960" s="24">
        <v>959</v>
      </c>
      <c r="H960" s="25">
        <f>S0_</f>
        <v>100</v>
      </c>
      <c r="I960" s="25">
        <f ca="1">S0_*EXP((mu_-sigma_^2/2)*Dt_+sigma_*SQRT(Dt_)*_xlfn.NORM.INV(RAND(),0,1))</f>
        <v>99.584866551281</v>
      </c>
      <c r="J960" s="25">
        <f ca="1">MAX(k_-I960,0)*EXP(-rs_*T_)</f>
        <v>0</v>
      </c>
      <c r="K960" s="25">
        <v>-0.403065883702945</v>
      </c>
      <c r="L960" s="25">
        <v>-0.973065883702945</v>
      </c>
      <c r="M960" s="28">
        <v>1</v>
      </c>
      <c r="N960" s="28">
        <v>1</v>
      </c>
    </row>
    <row r="961" spans="7:14">
      <c r="G961" s="24">
        <v>960</v>
      </c>
      <c r="H961" s="25">
        <f>S0_</f>
        <v>100</v>
      </c>
      <c r="I961" s="25">
        <f ca="1">S0_*EXP((mu_-sigma_^2/2)*Dt_+sigma_*SQRT(Dt_)*_xlfn.NORM.INV(RAND(),0,1))</f>
        <v>125.971089231699</v>
      </c>
      <c r="J961" s="25">
        <f ca="1">MAX(k_-I961,0)*EXP(-rs_*T_)</f>
        <v>0</v>
      </c>
      <c r="K961" s="25">
        <v>25.2161324610312</v>
      </c>
      <c r="L961" s="25">
        <v>24.6461324610312</v>
      </c>
      <c r="M961" s="28">
        <v>0</v>
      </c>
      <c r="N961" s="28">
        <v>0</v>
      </c>
    </row>
    <row r="962" spans="7:14">
      <c r="G962" s="24">
        <v>961</v>
      </c>
      <c r="H962" s="25">
        <f>S0_</f>
        <v>100</v>
      </c>
      <c r="I962" s="25">
        <f ca="1">S0_*EXP((mu_-sigma_^2/2)*Dt_+sigma_*SQRT(Dt_)*_xlfn.NORM.INV(RAND(),0,1))</f>
        <v>107.264744446679</v>
      </c>
      <c r="J962" s="25">
        <f ca="1">MAX(k_-I962,0)*EXP(-rs_*T_)</f>
        <v>0</v>
      </c>
      <c r="K962" s="25">
        <v>7.05356470145333</v>
      </c>
      <c r="L962" s="25">
        <v>6.48356470145333</v>
      </c>
      <c r="M962" s="28">
        <v>0</v>
      </c>
      <c r="N962" s="28">
        <v>0</v>
      </c>
    </row>
    <row r="963" spans="7:14">
      <c r="G963" s="24">
        <v>962</v>
      </c>
      <c r="H963" s="25">
        <f>S0_</f>
        <v>100</v>
      </c>
      <c r="I963" s="25">
        <f ca="1">S0_*EXP((mu_-sigma_^2/2)*Dt_+sigma_*SQRT(Dt_)*_xlfn.NORM.INV(RAND(),0,1))</f>
        <v>103.773698249944</v>
      </c>
      <c r="J963" s="25">
        <f ca="1">MAX(k_-I963,0)*EXP(-rs_*T_)</f>
        <v>0</v>
      </c>
      <c r="K963" s="25">
        <v>3.66400015377121</v>
      </c>
      <c r="L963" s="25">
        <v>3.09400015377121</v>
      </c>
      <c r="M963" s="28">
        <v>0</v>
      </c>
      <c r="N963" s="28">
        <v>0</v>
      </c>
    </row>
    <row r="964" spans="7:14">
      <c r="G964" s="24">
        <v>963</v>
      </c>
      <c r="H964" s="25">
        <f>S0_</f>
        <v>100</v>
      </c>
      <c r="I964" s="25">
        <f ca="1">S0_*EXP((mu_-sigma_^2/2)*Dt_+sigma_*SQRT(Dt_)*_xlfn.NORM.INV(RAND(),0,1))</f>
        <v>119.202746599021</v>
      </c>
      <c r="J964" s="25">
        <f ca="1">MAX(k_-I964,0)*EXP(-rs_*T_)</f>
        <v>0</v>
      </c>
      <c r="K964" s="25">
        <v>18.6445396085087</v>
      </c>
      <c r="L964" s="25">
        <v>18.0745396085087</v>
      </c>
      <c r="M964" s="28">
        <v>0</v>
      </c>
      <c r="N964" s="28">
        <v>0</v>
      </c>
    </row>
    <row r="965" spans="7:14">
      <c r="G965" s="24">
        <v>964</v>
      </c>
      <c r="H965" s="25">
        <f>S0_</f>
        <v>100</v>
      </c>
      <c r="I965" s="25">
        <f ca="1">S0_*EXP((mu_-sigma_^2/2)*Dt_+sigma_*SQRT(Dt_)*_xlfn.NORM.INV(RAND(),0,1))</f>
        <v>94.9628480527065</v>
      </c>
      <c r="J965" s="25">
        <f ca="1">MAX(k_-I965,0)*EXP(-rs_*T_)</f>
        <v>1.9779337280741</v>
      </c>
      <c r="K965" s="25">
        <v>-4.89072636099768</v>
      </c>
      <c r="L965" s="25">
        <v>-3.48279263292358</v>
      </c>
      <c r="M965" s="28">
        <v>1</v>
      </c>
      <c r="N965" s="28">
        <v>1</v>
      </c>
    </row>
    <row r="966" spans="7:14">
      <c r="G966" s="24">
        <v>965</v>
      </c>
      <c r="H966" s="25">
        <f>S0_</f>
        <v>100</v>
      </c>
      <c r="I966" s="25">
        <f ca="1">S0_*EXP((mu_-sigma_^2/2)*Dt_+sigma_*SQRT(Dt_)*_xlfn.NORM.INV(RAND(),0,1))</f>
        <v>104.105842430081</v>
      </c>
      <c r="J966" s="25">
        <f ca="1">MAX(k_-I966,0)*EXP(-rs_*T_)</f>
        <v>0</v>
      </c>
      <c r="K966" s="25">
        <v>3.98648919409533</v>
      </c>
      <c r="L966" s="25">
        <v>3.41648919409533</v>
      </c>
      <c r="M966" s="28">
        <v>0</v>
      </c>
      <c r="N966" s="28">
        <v>0</v>
      </c>
    </row>
    <row r="967" spans="7:14">
      <c r="G967" s="24">
        <v>966</v>
      </c>
      <c r="H967" s="25">
        <f>S0_</f>
        <v>100</v>
      </c>
      <c r="I967" s="25">
        <f ca="1">S0_*EXP((mu_-sigma_^2/2)*Dt_+sigma_*SQRT(Dt_)*_xlfn.NORM.INV(RAND(),0,1))</f>
        <v>118.75402546606</v>
      </c>
      <c r="J967" s="25">
        <f ca="1">MAX(k_-I967,0)*EXP(-rs_*T_)</f>
        <v>0</v>
      </c>
      <c r="K967" s="25">
        <v>18.2088624050668</v>
      </c>
      <c r="L967" s="25">
        <v>17.6388624050668</v>
      </c>
      <c r="M967" s="28">
        <v>0</v>
      </c>
      <c r="N967" s="28">
        <v>0</v>
      </c>
    </row>
    <row r="968" spans="7:14">
      <c r="G968" s="24">
        <v>967</v>
      </c>
      <c r="H968" s="25">
        <f>S0_</f>
        <v>100</v>
      </c>
      <c r="I968" s="25">
        <f ca="1">S0_*EXP((mu_-sigma_^2/2)*Dt_+sigma_*SQRT(Dt_)*_xlfn.NORM.INV(RAND(),0,1))</f>
        <v>92.7565431146802</v>
      </c>
      <c r="J968" s="25">
        <f ca="1">MAX(k_-I968,0)*EXP(-rs_*T_)</f>
        <v>4.12010331789615</v>
      </c>
      <c r="K968" s="25">
        <v>-7.03289595081973</v>
      </c>
      <c r="L968" s="25">
        <v>-3.48279263292358</v>
      </c>
      <c r="M968" s="28">
        <v>1</v>
      </c>
      <c r="N968" s="28">
        <v>1</v>
      </c>
    </row>
    <row r="969" spans="7:14">
      <c r="G969" s="24">
        <v>968</v>
      </c>
      <c r="H969" s="25">
        <f>S0_</f>
        <v>100</v>
      </c>
      <c r="I969" s="25">
        <f ca="1">S0_*EXP((mu_-sigma_^2/2)*Dt_+sigma_*SQRT(Dt_)*_xlfn.NORM.INV(RAND(),0,1))</f>
        <v>94.0501260420228</v>
      </c>
      <c r="J969" s="25">
        <f ca="1">MAX(k_-I969,0)*EXP(-rs_*T_)</f>
        <v>2.8641237109497</v>
      </c>
      <c r="K969" s="25">
        <v>-5.77691634387328</v>
      </c>
      <c r="L969" s="25">
        <v>-3.48279263292358</v>
      </c>
      <c r="M969" s="28">
        <v>1</v>
      </c>
      <c r="N969" s="28">
        <v>1</v>
      </c>
    </row>
    <row r="970" spans="7:14">
      <c r="G970" s="24">
        <v>969</v>
      </c>
      <c r="H970" s="25">
        <f>S0_</f>
        <v>100</v>
      </c>
      <c r="I970" s="25">
        <f ca="1">S0_*EXP((mu_-sigma_^2/2)*Dt_+sigma_*SQRT(Dt_)*_xlfn.NORM.INV(RAND(),0,1))</f>
        <v>93.0643810826065</v>
      </c>
      <c r="J970" s="25">
        <f ca="1">MAX(k_-I970,0)*EXP(-rs_*T_)</f>
        <v>3.82121392952613</v>
      </c>
      <c r="K970" s="25">
        <v>-6.73400656244971</v>
      </c>
      <c r="L970" s="25">
        <v>-3.48279263292358</v>
      </c>
      <c r="M970" s="28">
        <v>1</v>
      </c>
      <c r="N970" s="28">
        <v>1</v>
      </c>
    </row>
    <row r="971" spans="7:14">
      <c r="G971" s="24">
        <v>970</v>
      </c>
      <c r="H971" s="25">
        <f>S0_</f>
        <v>100</v>
      </c>
      <c r="I971" s="25">
        <f ca="1">S0_*EXP((mu_-sigma_^2/2)*Dt_+sigma_*SQRT(Dt_)*_xlfn.NORM.INV(RAND(),0,1))</f>
        <v>105.540735365555</v>
      </c>
      <c r="J971" s="25">
        <f ca="1">MAX(k_-I971,0)*EXP(-rs_*T_)</f>
        <v>0</v>
      </c>
      <c r="K971" s="25">
        <v>5.37967105125634</v>
      </c>
      <c r="L971" s="25">
        <v>4.80967105125634</v>
      </c>
      <c r="M971" s="28">
        <v>0</v>
      </c>
      <c r="N971" s="28">
        <v>0</v>
      </c>
    </row>
    <row r="972" spans="7:14">
      <c r="G972" s="24">
        <v>971</v>
      </c>
      <c r="H972" s="25">
        <f>S0_</f>
        <v>100</v>
      </c>
      <c r="I972" s="25">
        <f ca="1">S0_*EXP((mu_-sigma_^2/2)*Dt_+sigma_*SQRT(Dt_)*_xlfn.NORM.INV(RAND(),0,1))</f>
        <v>112.542464910851</v>
      </c>
      <c r="J972" s="25">
        <f ca="1">MAX(k_-I972,0)*EXP(-rs_*T_)</f>
        <v>0</v>
      </c>
      <c r="K972" s="25">
        <v>12.1778664636768</v>
      </c>
      <c r="L972" s="25">
        <v>11.6078664636768</v>
      </c>
      <c r="M972" s="28">
        <v>0</v>
      </c>
      <c r="N972" s="28">
        <v>0</v>
      </c>
    </row>
    <row r="973" spans="7:14">
      <c r="G973" s="24">
        <v>972</v>
      </c>
      <c r="H973" s="25">
        <f>S0_</f>
        <v>100</v>
      </c>
      <c r="I973" s="25">
        <f ca="1">S0_*EXP((mu_-sigma_^2/2)*Dt_+sigma_*SQRT(Dt_)*_xlfn.NORM.INV(RAND(),0,1))</f>
        <v>98.14660492464</v>
      </c>
      <c r="J973" s="25">
        <f ca="1">MAX(k_-I973,0)*EXP(-rs_*T_)</f>
        <v>0</v>
      </c>
      <c r="K973" s="25">
        <v>-1.79951850713518</v>
      </c>
      <c r="L973" s="25">
        <v>-2.36951850713518</v>
      </c>
      <c r="M973" s="28">
        <v>1</v>
      </c>
      <c r="N973" s="28">
        <v>1</v>
      </c>
    </row>
    <row r="974" spans="7:14">
      <c r="G974" s="24">
        <v>973</v>
      </c>
      <c r="H974" s="25">
        <f>S0_</f>
        <v>100</v>
      </c>
      <c r="I974" s="25">
        <f ca="1">S0_*EXP((mu_-sigma_^2/2)*Dt_+sigma_*SQRT(Dt_)*_xlfn.NORM.INV(RAND(),0,1))</f>
        <v>96.5119822267303</v>
      </c>
      <c r="J974" s="25">
        <f ca="1">MAX(k_-I974,0)*EXP(-rs_*T_)</f>
        <v>0.473831524905268</v>
      </c>
      <c r="K974" s="25">
        <v>-3.38662415782885</v>
      </c>
      <c r="L974" s="25">
        <v>-3.48279263292358</v>
      </c>
      <c r="M974" s="28">
        <v>1</v>
      </c>
      <c r="N974" s="28">
        <v>1</v>
      </c>
    </row>
    <row r="975" spans="7:14">
      <c r="G975" s="24">
        <v>974</v>
      </c>
      <c r="H975" s="25">
        <f>S0_</f>
        <v>100</v>
      </c>
      <c r="I975" s="25">
        <f ca="1">S0_*EXP((mu_-sigma_^2/2)*Dt_+sigma_*SQRT(Dt_)*_xlfn.NORM.INV(RAND(),0,1))</f>
        <v>108.876232539078</v>
      </c>
      <c r="J975" s="25">
        <f ca="1">MAX(k_-I975,0)*EXP(-rs_*T_)</f>
        <v>0</v>
      </c>
      <c r="K975" s="25">
        <v>8.61820824931466</v>
      </c>
      <c r="L975" s="25">
        <v>8.04820824931466</v>
      </c>
      <c r="M975" s="28">
        <v>0</v>
      </c>
      <c r="N975" s="28">
        <v>0</v>
      </c>
    </row>
    <row r="976" spans="7:14">
      <c r="G976" s="24">
        <v>975</v>
      </c>
      <c r="H976" s="25">
        <f>S0_</f>
        <v>100</v>
      </c>
      <c r="I976" s="25">
        <f ca="1">S0_*EXP((mu_-sigma_^2/2)*Dt_+sigma_*SQRT(Dt_)*_xlfn.NORM.INV(RAND(),0,1))</f>
        <v>93.1926418146416</v>
      </c>
      <c r="J976" s="25">
        <f ca="1">MAX(k_-I976,0)*EXP(-rs_*T_)</f>
        <v>3.69668162440438</v>
      </c>
      <c r="K976" s="25">
        <v>-6.60947425732797</v>
      </c>
      <c r="L976" s="25">
        <v>-3.48279263292358</v>
      </c>
      <c r="M976" s="28">
        <v>1</v>
      </c>
      <c r="N976" s="28">
        <v>1</v>
      </c>
    </row>
    <row r="977" spans="7:14">
      <c r="G977" s="24">
        <v>976</v>
      </c>
      <c r="H977" s="25">
        <f>S0_</f>
        <v>100</v>
      </c>
      <c r="I977" s="25">
        <f ca="1">S0_*EXP((mu_-sigma_^2/2)*Dt_+sigma_*SQRT(Dt_)*_xlfn.NORM.INV(RAND(),0,1))</f>
        <v>82.460750508242</v>
      </c>
      <c r="J977" s="25">
        <f ca="1">MAX(k_-I977,0)*EXP(-rs_*T_)</f>
        <v>14.1166062692769</v>
      </c>
      <c r="K977" s="25">
        <v>-17.0293989022005</v>
      </c>
      <c r="L977" s="25">
        <v>-3.48279263292358</v>
      </c>
      <c r="M977" s="28">
        <v>1</v>
      </c>
      <c r="N977" s="28">
        <v>1</v>
      </c>
    </row>
    <row r="978" spans="7:14">
      <c r="G978" s="24">
        <v>977</v>
      </c>
      <c r="H978" s="25">
        <f>S0_</f>
        <v>100</v>
      </c>
      <c r="I978" s="25">
        <f ca="1">S0_*EXP((mu_-sigma_^2/2)*Dt_+sigma_*SQRT(Dt_)*_xlfn.NORM.INV(RAND(),0,1))</f>
        <v>103.331146245445</v>
      </c>
      <c r="J978" s="25">
        <f ca="1">MAX(k_-I978,0)*EXP(-rs_*T_)</f>
        <v>0</v>
      </c>
      <c r="K978" s="25">
        <v>3.23431274764136</v>
      </c>
      <c r="L978" s="25">
        <v>2.66431274764136</v>
      </c>
      <c r="M978" s="28">
        <v>0</v>
      </c>
      <c r="N978" s="28">
        <v>0</v>
      </c>
    </row>
    <row r="979" spans="7:14">
      <c r="G979" s="24">
        <v>978</v>
      </c>
      <c r="H979" s="25">
        <f>S0_</f>
        <v>100</v>
      </c>
      <c r="I979" s="25">
        <f ca="1">S0_*EXP((mu_-sigma_^2/2)*Dt_+sigma_*SQRT(Dt_)*_xlfn.NORM.INV(RAND(),0,1))</f>
        <v>107.057174786093</v>
      </c>
      <c r="J979" s="25">
        <f ca="1">MAX(k_-I979,0)*EXP(-rs_*T_)</f>
        <v>0</v>
      </c>
      <c r="K979" s="25">
        <v>6.85202890872846</v>
      </c>
      <c r="L979" s="25">
        <v>6.28202890872846</v>
      </c>
      <c r="M979" s="28">
        <v>0</v>
      </c>
      <c r="N979" s="28">
        <v>0</v>
      </c>
    </row>
    <row r="980" spans="7:14">
      <c r="G980" s="24">
        <v>979</v>
      </c>
      <c r="H980" s="25">
        <f>S0_</f>
        <v>100</v>
      </c>
      <c r="I980" s="25">
        <f ca="1">S0_*EXP((mu_-sigma_^2/2)*Dt_+sigma_*SQRT(Dt_)*_xlfn.NORM.INV(RAND(),0,1))</f>
        <v>97.935519515847</v>
      </c>
      <c r="J980" s="25">
        <f ca="1">MAX(k_-I980,0)*EXP(-rs_*T_)</f>
        <v>0</v>
      </c>
      <c r="K980" s="25">
        <v>-2.00446784835177</v>
      </c>
      <c r="L980" s="25">
        <v>-2.57446784835177</v>
      </c>
      <c r="M980" s="28">
        <v>1</v>
      </c>
      <c r="N980" s="28">
        <v>1</v>
      </c>
    </row>
    <row r="981" spans="7:14">
      <c r="G981" s="24">
        <v>980</v>
      </c>
      <c r="H981" s="25">
        <f>S0_</f>
        <v>100</v>
      </c>
      <c r="I981" s="25">
        <f ca="1">S0_*EXP((mu_-sigma_^2/2)*Dt_+sigma_*SQRT(Dt_)*_xlfn.NORM.INV(RAND(),0,1))</f>
        <v>111.597616351001</v>
      </c>
      <c r="J981" s="25">
        <f ca="1">MAX(k_-I981,0)*EXP(-rs_*T_)</f>
        <v>0</v>
      </c>
      <c r="K981" s="25">
        <v>11.2604838222232</v>
      </c>
      <c r="L981" s="25">
        <v>10.6904838222232</v>
      </c>
      <c r="M981" s="28">
        <v>0</v>
      </c>
      <c r="N981" s="28">
        <v>0</v>
      </c>
    </row>
    <row r="982" spans="7:14">
      <c r="G982" s="24">
        <v>981</v>
      </c>
      <c r="H982" s="25">
        <f>S0_</f>
        <v>100</v>
      </c>
      <c r="I982" s="25">
        <f ca="1">S0_*EXP((mu_-sigma_^2/2)*Dt_+sigma_*SQRT(Dt_)*_xlfn.NORM.INV(RAND(),0,1))</f>
        <v>108.276384388456</v>
      </c>
      <c r="J982" s="25">
        <f ca="1">MAX(k_-I982,0)*EXP(-rs_*T_)</f>
        <v>0</v>
      </c>
      <c r="K982" s="25">
        <v>8.03579715797937</v>
      </c>
      <c r="L982" s="25">
        <v>7.46579715797937</v>
      </c>
      <c r="M982" s="28">
        <v>0</v>
      </c>
      <c r="N982" s="28">
        <v>0</v>
      </c>
    </row>
    <row r="983" spans="7:14">
      <c r="G983" s="24">
        <v>982</v>
      </c>
      <c r="H983" s="25">
        <f>S0_</f>
        <v>100</v>
      </c>
      <c r="I983" s="25">
        <f ca="1">S0_*EXP((mu_-sigma_^2/2)*Dt_+sigma_*SQRT(Dt_)*_xlfn.NORM.INV(RAND(),0,1))</f>
        <v>114.575482280493</v>
      </c>
      <c r="J983" s="25">
        <f ca="1">MAX(k_-I983,0)*EXP(-rs_*T_)</f>
        <v>0</v>
      </c>
      <c r="K983" s="25">
        <v>14.1517858026426</v>
      </c>
      <c r="L983" s="25">
        <v>13.5817858026426</v>
      </c>
      <c r="M983" s="28">
        <v>0</v>
      </c>
      <c r="N983" s="28">
        <v>0</v>
      </c>
    </row>
    <row r="984" spans="7:14">
      <c r="G984" s="24">
        <v>983</v>
      </c>
      <c r="H984" s="25">
        <f>S0_</f>
        <v>100</v>
      </c>
      <c r="I984" s="25">
        <f ca="1">S0_*EXP((mu_-sigma_^2/2)*Dt_+sigma_*SQRT(Dt_)*_xlfn.NORM.INV(RAND(),0,1))</f>
        <v>95.0438448187989</v>
      </c>
      <c r="J984" s="25">
        <f ca="1">MAX(k_-I984,0)*EXP(-rs_*T_)</f>
        <v>1.89929146688594</v>
      </c>
      <c r="K984" s="25">
        <v>-4.81208409980952</v>
      </c>
      <c r="L984" s="25">
        <v>-3.48279263292358</v>
      </c>
      <c r="M984" s="28">
        <v>1</v>
      </c>
      <c r="N984" s="28">
        <v>1</v>
      </c>
    </row>
    <row r="985" spans="7:14">
      <c r="G985" s="24">
        <v>984</v>
      </c>
      <c r="H985" s="25">
        <f>S0_</f>
        <v>100</v>
      </c>
      <c r="I985" s="25">
        <f ca="1">S0_*EXP((mu_-sigma_^2/2)*Dt_+sigma_*SQRT(Dt_)*_xlfn.NORM.INV(RAND(),0,1))</f>
        <v>100.738658497734</v>
      </c>
      <c r="J985" s="25">
        <f ca="1">MAX(k_-I985,0)*EXP(-rs_*T_)</f>
        <v>0</v>
      </c>
      <c r="K985" s="25">
        <v>0.717186343481661</v>
      </c>
      <c r="L985" s="25">
        <v>0.147186343481661</v>
      </c>
      <c r="M985" s="28">
        <v>0</v>
      </c>
      <c r="N985" s="28">
        <v>0</v>
      </c>
    </row>
    <row r="986" spans="7:14">
      <c r="G986" s="24">
        <v>985</v>
      </c>
      <c r="H986" s="25">
        <f>S0_</f>
        <v>100</v>
      </c>
      <c r="I986" s="25">
        <f ca="1">S0_*EXP((mu_-sigma_^2/2)*Dt_+sigma_*SQRT(Dt_)*_xlfn.NORM.INV(RAND(),0,1))</f>
        <v>116.658007907925</v>
      </c>
      <c r="J986" s="25">
        <f ca="1">MAX(k_-I986,0)*EXP(-rs_*T_)</f>
        <v>0</v>
      </c>
      <c r="K986" s="25">
        <v>16.1737742377951</v>
      </c>
      <c r="L986" s="25">
        <v>15.6037742377951</v>
      </c>
      <c r="M986" s="28">
        <v>0</v>
      </c>
      <c r="N986" s="28">
        <v>0</v>
      </c>
    </row>
    <row r="987" spans="7:14">
      <c r="G987" s="24">
        <v>986</v>
      </c>
      <c r="H987" s="25">
        <f>S0_</f>
        <v>100</v>
      </c>
      <c r="I987" s="25">
        <f ca="1">S0_*EXP((mu_-sigma_^2/2)*Dt_+sigma_*SQRT(Dt_)*_xlfn.NORM.INV(RAND(),0,1))</f>
        <v>103.449789140116</v>
      </c>
      <c r="J987" s="25">
        <f ca="1">MAX(k_-I987,0)*EXP(-rs_*T_)</f>
        <v>0</v>
      </c>
      <c r="K987" s="25">
        <v>3.34950679748969</v>
      </c>
      <c r="L987" s="25">
        <v>2.77950679748969</v>
      </c>
      <c r="M987" s="28">
        <v>0</v>
      </c>
      <c r="N987" s="28">
        <v>0</v>
      </c>
    </row>
    <row r="988" spans="7:14">
      <c r="G988" s="24">
        <v>987</v>
      </c>
      <c r="H988" s="25">
        <f>S0_</f>
        <v>100</v>
      </c>
      <c r="I988" s="25">
        <f ca="1">S0_*EXP((mu_-sigma_^2/2)*Dt_+sigma_*SQRT(Dt_)*_xlfn.NORM.INV(RAND(),0,1))</f>
        <v>119.663877713431</v>
      </c>
      <c r="J988" s="25">
        <f ca="1">MAX(k_-I988,0)*EXP(-rs_*T_)</f>
        <v>0</v>
      </c>
      <c r="K988" s="25">
        <v>19.0922660461302</v>
      </c>
      <c r="L988" s="25">
        <v>18.5222660461302</v>
      </c>
      <c r="M988" s="28">
        <v>0</v>
      </c>
      <c r="N988" s="28">
        <v>0</v>
      </c>
    </row>
    <row r="989" spans="7:14">
      <c r="G989" s="24">
        <v>988</v>
      </c>
      <c r="H989" s="25">
        <f>S0_</f>
        <v>100</v>
      </c>
      <c r="I989" s="25">
        <f ca="1">S0_*EXP((mu_-sigma_^2/2)*Dt_+sigma_*SQRT(Dt_)*_xlfn.NORM.INV(RAND(),0,1))</f>
        <v>107.991514861673</v>
      </c>
      <c r="J989" s="25">
        <f ca="1">MAX(k_-I989,0)*EXP(-rs_*T_)</f>
        <v>0</v>
      </c>
      <c r="K989" s="25">
        <v>7.75920853832718</v>
      </c>
      <c r="L989" s="25">
        <v>7.18920853832718</v>
      </c>
      <c r="M989" s="28">
        <v>0</v>
      </c>
      <c r="N989" s="28">
        <v>0</v>
      </c>
    </row>
    <row r="990" spans="7:14">
      <c r="G990" s="24">
        <v>989</v>
      </c>
      <c r="H990" s="25">
        <f>S0_</f>
        <v>100</v>
      </c>
      <c r="I990" s="25">
        <f ca="1">S0_*EXP((mu_-sigma_^2/2)*Dt_+sigma_*SQRT(Dt_)*_xlfn.NORM.INV(RAND(),0,1))</f>
        <v>89.0956616050571</v>
      </c>
      <c r="J990" s="25">
        <f ca="1">MAX(k_-I990,0)*EXP(-rs_*T_)</f>
        <v>7.67456621497488</v>
      </c>
      <c r="K990" s="25">
        <v>-10.5873588478985</v>
      </c>
      <c r="L990" s="25">
        <v>-3.48279263292358</v>
      </c>
      <c r="M990" s="28">
        <v>1</v>
      </c>
      <c r="N990" s="28">
        <v>1</v>
      </c>
    </row>
    <row r="991" spans="7:14">
      <c r="G991" s="24">
        <v>990</v>
      </c>
      <c r="H991" s="25">
        <f>S0_</f>
        <v>100</v>
      </c>
      <c r="I991" s="25">
        <f ca="1">S0_*EXP((mu_-sigma_^2/2)*Dt_+sigma_*SQRT(Dt_)*_xlfn.NORM.INV(RAND(),0,1))</f>
        <v>102.147582561669</v>
      </c>
      <c r="J991" s="25">
        <f ca="1">MAX(k_-I991,0)*EXP(-rs_*T_)</f>
        <v>0</v>
      </c>
      <c r="K991" s="25">
        <v>2.0851542214084</v>
      </c>
      <c r="L991" s="25">
        <v>1.5151542214084</v>
      </c>
      <c r="M991" s="28">
        <v>0</v>
      </c>
      <c r="N991" s="28">
        <v>0</v>
      </c>
    </row>
    <row r="992" spans="7:14">
      <c r="G992" s="24">
        <v>991</v>
      </c>
      <c r="H992" s="25">
        <f>S0_</f>
        <v>100</v>
      </c>
      <c r="I992" s="25">
        <f ca="1">S0_*EXP((mu_-sigma_^2/2)*Dt_+sigma_*SQRT(Dt_)*_xlfn.NORM.INV(RAND(),0,1))</f>
        <v>104.515581951479</v>
      </c>
      <c r="J992" s="25">
        <f ca="1">MAX(k_-I992,0)*EXP(-rs_*T_)</f>
        <v>0</v>
      </c>
      <c r="K992" s="25">
        <v>4.38431794720993</v>
      </c>
      <c r="L992" s="25">
        <v>3.81431794720993</v>
      </c>
      <c r="M992" s="28">
        <v>0</v>
      </c>
      <c r="N992" s="28">
        <v>0</v>
      </c>
    </row>
    <row r="993" spans="7:14">
      <c r="G993" s="24">
        <v>992</v>
      </c>
      <c r="H993" s="25">
        <f>S0_</f>
        <v>100</v>
      </c>
      <c r="I993" s="25">
        <f ca="1">S0_*EXP((mu_-sigma_^2/2)*Dt_+sigma_*SQRT(Dt_)*_xlfn.NORM.INV(RAND(),0,1))</f>
        <v>94.3017746443114</v>
      </c>
      <c r="J993" s="25">
        <f ca="1">MAX(k_-I993,0)*EXP(-rs_*T_)</f>
        <v>2.61979031267242</v>
      </c>
      <c r="K993" s="25">
        <v>-5.532582945596</v>
      </c>
      <c r="L993" s="25">
        <v>-3.48279263292358</v>
      </c>
      <c r="M993" s="28">
        <v>1</v>
      </c>
      <c r="N993" s="28">
        <v>1</v>
      </c>
    </row>
    <row r="994" spans="7:14">
      <c r="G994" s="24">
        <v>993</v>
      </c>
      <c r="H994" s="25">
        <f>S0_</f>
        <v>100</v>
      </c>
      <c r="I994" s="25">
        <f ca="1">S0_*EXP((mu_-sigma_^2/2)*Dt_+sigma_*SQRT(Dt_)*_xlfn.NORM.INV(RAND(),0,1))</f>
        <v>119.077326639703</v>
      </c>
      <c r="J994" s="25">
        <f ca="1">MAX(k_-I994,0)*EXP(-rs_*T_)</f>
        <v>0</v>
      </c>
      <c r="K994" s="25">
        <v>18.522765497335</v>
      </c>
      <c r="L994" s="25">
        <v>17.952765497335</v>
      </c>
      <c r="M994" s="28">
        <v>0</v>
      </c>
      <c r="N994" s="28">
        <v>0</v>
      </c>
    </row>
    <row r="995" spans="7:14">
      <c r="G995" s="24">
        <v>994</v>
      </c>
      <c r="H995" s="25">
        <f>S0_</f>
        <v>100</v>
      </c>
      <c r="I995" s="25">
        <f ca="1">S0_*EXP((mu_-sigma_^2/2)*Dt_+sigma_*SQRT(Dt_)*_xlfn.NORM.INV(RAND(),0,1))</f>
        <v>109.157710481511</v>
      </c>
      <c r="J995" s="25">
        <f ca="1">MAX(k_-I995,0)*EXP(-rs_*T_)</f>
        <v>0</v>
      </c>
      <c r="K995" s="25">
        <v>8.89150387499718</v>
      </c>
      <c r="L995" s="25">
        <v>8.32150387499718</v>
      </c>
      <c r="M995" s="28">
        <v>0</v>
      </c>
      <c r="N995" s="28">
        <v>0</v>
      </c>
    </row>
    <row r="996" spans="7:14">
      <c r="G996" s="24">
        <v>995</v>
      </c>
      <c r="H996" s="25">
        <f>S0_</f>
        <v>100</v>
      </c>
      <c r="I996" s="25">
        <f ca="1">S0_*EXP((mu_-sigma_^2/2)*Dt_+sigma_*SQRT(Dt_)*_xlfn.NORM.INV(RAND(),0,1))</f>
        <v>99.5032718232662</v>
      </c>
      <c r="J996" s="25">
        <f ca="1">MAX(k_-I996,0)*EXP(-rs_*T_)</f>
        <v>0</v>
      </c>
      <c r="K996" s="25">
        <v>-0.482288724585214</v>
      </c>
      <c r="L996" s="25">
        <v>-1.05228872458521</v>
      </c>
      <c r="M996" s="28">
        <v>1</v>
      </c>
      <c r="N996" s="28">
        <v>1</v>
      </c>
    </row>
    <row r="997" spans="7:14">
      <c r="G997" s="24">
        <v>996</v>
      </c>
      <c r="H997" s="25">
        <f>S0_</f>
        <v>100</v>
      </c>
      <c r="I997" s="25">
        <f ca="1">S0_*EXP((mu_-sigma_^2/2)*Dt_+sigma_*SQRT(Dt_)*_xlfn.NORM.INV(RAND(),0,1))</f>
        <v>91.8675454738547</v>
      </c>
      <c r="J997" s="25">
        <f ca="1">MAX(k_-I997,0)*EXP(-rs_*T_)</f>
        <v>4.98325857752379</v>
      </c>
      <c r="K997" s="25">
        <v>-7.89605121044737</v>
      </c>
      <c r="L997" s="25">
        <v>-3.48279263292358</v>
      </c>
      <c r="M997" s="28">
        <v>1</v>
      </c>
      <c r="N997" s="28">
        <v>1</v>
      </c>
    </row>
    <row r="998" spans="7:14">
      <c r="G998" s="24">
        <v>997</v>
      </c>
      <c r="H998" s="25">
        <f>S0_</f>
        <v>100</v>
      </c>
      <c r="I998" s="25">
        <f ca="1">S0_*EXP((mu_-sigma_^2/2)*Dt_+sigma_*SQRT(Dt_)*_xlfn.NORM.INV(RAND(),0,1))</f>
        <v>94.502184765267</v>
      </c>
      <c r="J998" s="25">
        <f ca="1">MAX(k_-I998,0)*EXP(-rs_*T_)</f>
        <v>2.42520593804483</v>
      </c>
      <c r="K998" s="25">
        <v>-5.33799857096841</v>
      </c>
      <c r="L998" s="25">
        <v>-3.48279263292358</v>
      </c>
      <c r="M998" s="28">
        <v>1</v>
      </c>
      <c r="N998" s="28">
        <v>1</v>
      </c>
    </row>
    <row r="999" spans="7:14">
      <c r="G999" s="24">
        <v>998</v>
      </c>
      <c r="H999" s="25">
        <f>S0_</f>
        <v>100</v>
      </c>
      <c r="I999" s="25">
        <f ca="1">S0_*EXP((mu_-sigma_^2/2)*Dt_+sigma_*SQRT(Dt_)*_xlfn.NORM.INV(RAND(),0,1))</f>
        <v>100.556920457474</v>
      </c>
      <c r="J999" s="25">
        <f ca="1">MAX(k_-I999,0)*EXP(-rs_*T_)</f>
        <v>0</v>
      </c>
      <c r="K999" s="25">
        <v>0.540731268551932</v>
      </c>
      <c r="L999" s="25">
        <v>-0.0292687314480682</v>
      </c>
      <c r="M999" s="28">
        <v>0</v>
      </c>
      <c r="N999" s="28">
        <v>1</v>
      </c>
    </row>
    <row r="1000" spans="7:14">
      <c r="G1000" s="24">
        <v>999</v>
      </c>
      <c r="H1000" s="25">
        <f>S0_</f>
        <v>100</v>
      </c>
      <c r="I1000" s="25">
        <f ca="1">S0_*EXP((mu_-sigma_^2/2)*Dt_+sigma_*SQRT(Dt_)*_xlfn.NORM.INV(RAND(),0,1))</f>
        <v>101.247850946663</v>
      </c>
      <c r="J1000" s="25">
        <f ca="1">MAX(k_-I1000,0)*EXP(-rs_*T_)</f>
        <v>0</v>
      </c>
      <c r="K1000" s="25">
        <v>1.21157701480885</v>
      </c>
      <c r="L1000" s="25">
        <v>0.641577014808853</v>
      </c>
      <c r="M1000" s="28">
        <v>0</v>
      </c>
      <c r="N1000" s="28">
        <v>0</v>
      </c>
    </row>
    <row r="1001" spans="7:14">
      <c r="G1001" s="24">
        <v>1000</v>
      </c>
      <c r="H1001" s="25">
        <f>S0_</f>
        <v>100</v>
      </c>
      <c r="I1001" s="25">
        <f ca="1">S0_*EXP((mu_-sigma_^2/2)*Dt_+sigma_*SQRT(Dt_)*_xlfn.NORM.INV(RAND(),0,1))</f>
        <v>114.689376349695</v>
      </c>
      <c r="J1001" s="25">
        <f ca="1">MAX(k_-I1001,0)*EXP(-rs_*T_)</f>
        <v>0</v>
      </c>
      <c r="K1001" s="25">
        <v>14.262369071211</v>
      </c>
      <c r="L1001" s="25">
        <v>13.692369071211</v>
      </c>
      <c r="M1001" s="28">
        <v>0</v>
      </c>
      <c r="N1001" s="28">
        <v>0</v>
      </c>
    </row>
    <row r="1002" spans="7:14">
      <c r="G1002" s="24">
        <v>1001</v>
      </c>
      <c r="H1002" s="25">
        <f>S0_</f>
        <v>100</v>
      </c>
      <c r="I1002" s="25">
        <f ca="1">S0_*EXP((mu_-sigma_^2/2)*Dt_+sigma_*SQRT(Dt_)*_xlfn.NORM.INV(RAND(),0,1))</f>
        <v>92.4115495826389</v>
      </c>
      <c r="J1002" s="25">
        <f ca="1">MAX(k_-I1002,0)*EXP(-rs_*T_)</f>
        <v>4.45506819074155</v>
      </c>
      <c r="K1002" s="25">
        <v>-7.36786082366513</v>
      </c>
      <c r="L1002" s="25">
        <v>-3.48279263292358</v>
      </c>
      <c r="M1002" s="28">
        <v>1</v>
      </c>
      <c r="N1002" s="28">
        <v>1</v>
      </c>
    </row>
    <row r="1003" spans="7:14">
      <c r="G1003" s="24">
        <v>1002</v>
      </c>
      <c r="H1003" s="25">
        <f>S0_</f>
        <v>100</v>
      </c>
      <c r="I1003" s="25">
        <f ca="1">S0_*EXP((mu_-sigma_^2/2)*Dt_+sigma_*SQRT(Dt_)*_xlfn.NORM.INV(RAND(),0,1))</f>
        <v>100.3775132836</v>
      </c>
      <c r="J1003" s="25">
        <f ca="1">MAX(k_-I1003,0)*EXP(-rs_*T_)</f>
        <v>0</v>
      </c>
      <c r="K1003" s="25">
        <v>0.366539303767325</v>
      </c>
      <c r="L1003" s="25">
        <v>-0.203460696232675</v>
      </c>
      <c r="M1003" s="28">
        <v>0</v>
      </c>
      <c r="N1003" s="28">
        <v>1</v>
      </c>
    </row>
    <row r="1004" spans="7:14">
      <c r="G1004" s="24">
        <v>1003</v>
      </c>
      <c r="H1004" s="25">
        <f>S0_</f>
        <v>100</v>
      </c>
      <c r="I1004" s="25">
        <f ca="1">S0_*EXP((mu_-sigma_^2/2)*Dt_+sigma_*SQRT(Dt_)*_xlfn.NORM.INV(RAND(),0,1))</f>
        <v>106.497243384992</v>
      </c>
      <c r="J1004" s="25">
        <f ca="1">MAX(k_-I1004,0)*EXP(-rs_*T_)</f>
        <v>0</v>
      </c>
      <c r="K1004" s="25">
        <v>6.30837422203874</v>
      </c>
      <c r="L1004" s="25">
        <v>5.73837422203874</v>
      </c>
      <c r="M1004" s="28">
        <v>0</v>
      </c>
      <c r="N1004" s="28">
        <v>0</v>
      </c>
    </row>
    <row r="1005" spans="7:14">
      <c r="G1005" s="24">
        <v>1004</v>
      </c>
      <c r="H1005" s="25">
        <f>S0_</f>
        <v>100</v>
      </c>
      <c r="I1005" s="25">
        <f ca="1">S0_*EXP((mu_-sigma_^2/2)*Dt_+sigma_*SQRT(Dt_)*_xlfn.NORM.INV(RAND(),0,1))</f>
        <v>96.0464967345987</v>
      </c>
      <c r="J1005" s="25">
        <f ca="1">MAX(k_-I1005,0)*EXP(-rs_*T_)</f>
        <v>0.925785762309824</v>
      </c>
      <c r="K1005" s="25">
        <v>-3.83857839523341</v>
      </c>
      <c r="L1005" s="25">
        <v>-3.48279263292358</v>
      </c>
      <c r="M1005" s="28">
        <v>1</v>
      </c>
      <c r="N1005" s="28">
        <v>1</v>
      </c>
    </row>
    <row r="1006" spans="7:14">
      <c r="G1006" s="24">
        <v>1005</v>
      </c>
      <c r="H1006" s="25">
        <f>S0_</f>
        <v>100</v>
      </c>
      <c r="I1006" s="25">
        <f ca="1">S0_*EXP((mu_-sigma_^2/2)*Dt_+sigma_*SQRT(Dt_)*_xlfn.NORM.INV(RAND(),0,1))</f>
        <v>90.495955184939</v>
      </c>
      <c r="J1006" s="25">
        <f ca="1">MAX(k_-I1006,0)*EXP(-rs_*T_)</f>
        <v>6.31497794050482</v>
      </c>
      <c r="K1006" s="25">
        <v>-9.2277705734284</v>
      </c>
      <c r="L1006" s="25">
        <v>-3.48279263292358</v>
      </c>
      <c r="M1006" s="28">
        <v>1</v>
      </c>
      <c r="N1006" s="28">
        <v>1</v>
      </c>
    </row>
    <row r="1007" spans="7:14">
      <c r="G1007" s="24">
        <v>1006</v>
      </c>
      <c r="H1007" s="25">
        <f>S0_</f>
        <v>100</v>
      </c>
      <c r="I1007" s="25">
        <f ca="1">S0_*EXP((mu_-sigma_^2/2)*Dt_+sigma_*SQRT(Dt_)*_xlfn.NORM.INV(RAND(),0,1))</f>
        <v>102.774641700829</v>
      </c>
      <c r="J1007" s="25">
        <f ca="1">MAX(k_-I1007,0)*EXP(-rs_*T_)</f>
        <v>0</v>
      </c>
      <c r="K1007" s="25">
        <v>2.69398530172622</v>
      </c>
      <c r="L1007" s="25">
        <v>2.12398530172622</v>
      </c>
      <c r="M1007" s="28">
        <v>0</v>
      </c>
      <c r="N1007" s="28">
        <v>0</v>
      </c>
    </row>
    <row r="1008" spans="7:14">
      <c r="G1008" s="24">
        <v>1007</v>
      </c>
      <c r="H1008" s="25">
        <f>S0_</f>
        <v>100</v>
      </c>
      <c r="I1008" s="25">
        <f ca="1">S0_*EXP((mu_-sigma_^2/2)*Dt_+sigma_*SQRT(Dt_)*_xlfn.NORM.INV(RAND(),0,1))</f>
        <v>98.0580052390761</v>
      </c>
      <c r="J1008" s="25">
        <f ca="1">MAX(k_-I1008,0)*EXP(-rs_*T_)</f>
        <v>0</v>
      </c>
      <c r="K1008" s="25">
        <v>-1.88554267759848</v>
      </c>
      <c r="L1008" s="25">
        <v>-2.45554267759848</v>
      </c>
      <c r="M1008" s="28">
        <v>1</v>
      </c>
      <c r="N1008" s="28">
        <v>1</v>
      </c>
    </row>
    <row r="1009" spans="7:14">
      <c r="G1009" s="24">
        <v>1008</v>
      </c>
      <c r="H1009" s="25">
        <f>S0_</f>
        <v>100</v>
      </c>
      <c r="I1009" s="25">
        <f ca="1">S0_*EXP((mu_-sigma_^2/2)*Dt_+sigma_*SQRT(Dt_)*_xlfn.NORM.INV(RAND(),0,1))</f>
        <v>102.7944902979</v>
      </c>
      <c r="J1009" s="25">
        <f ca="1">MAX(k_-I1009,0)*EXP(-rs_*T_)</f>
        <v>0</v>
      </c>
      <c r="K1009" s="25">
        <v>2.71325691749972</v>
      </c>
      <c r="L1009" s="25">
        <v>2.14325691749972</v>
      </c>
      <c r="M1009" s="28">
        <v>0</v>
      </c>
      <c r="N1009" s="28">
        <v>0</v>
      </c>
    </row>
    <row r="1010" spans="7:14">
      <c r="G1010" s="24">
        <v>1009</v>
      </c>
      <c r="H1010" s="25">
        <f>S0_</f>
        <v>100</v>
      </c>
      <c r="I1010" s="25">
        <f ca="1">S0_*EXP((mu_-sigma_^2/2)*Dt_+sigma_*SQRT(Dt_)*_xlfn.NORM.INV(RAND(),0,1))</f>
        <v>108.775965682043</v>
      </c>
      <c r="J1010" s="25">
        <f ca="1">MAX(k_-I1010,0)*EXP(-rs_*T_)</f>
        <v>0</v>
      </c>
      <c r="K1010" s="25">
        <v>8.52085606181469</v>
      </c>
      <c r="L1010" s="25">
        <v>7.95085606181469</v>
      </c>
      <c r="M1010" s="28">
        <v>0</v>
      </c>
      <c r="N1010" s="28">
        <v>0</v>
      </c>
    </row>
    <row r="1011" spans="7:14">
      <c r="G1011" s="24">
        <v>1010</v>
      </c>
      <c r="H1011" s="25">
        <f>S0_</f>
        <v>100</v>
      </c>
      <c r="I1011" s="25">
        <f ca="1">S0_*EXP((mu_-sigma_^2/2)*Dt_+sigma_*SQRT(Dt_)*_xlfn.NORM.INV(RAND(),0,1))</f>
        <v>99.2261618966816</v>
      </c>
      <c r="J1011" s="25">
        <f ca="1">MAX(k_-I1011,0)*EXP(-rs_*T_)</f>
        <v>0</v>
      </c>
      <c r="K1011" s="25">
        <v>-0.751343308807128</v>
      </c>
      <c r="L1011" s="25">
        <v>-1.32134330880713</v>
      </c>
      <c r="M1011" s="28">
        <v>1</v>
      </c>
      <c r="N1011" s="28">
        <v>1</v>
      </c>
    </row>
    <row r="1012" spans="7:14">
      <c r="G1012" s="24">
        <v>1011</v>
      </c>
      <c r="H1012" s="25">
        <f>S0_</f>
        <v>100</v>
      </c>
      <c r="I1012" s="25">
        <f ca="1">S0_*EXP((mu_-sigma_^2/2)*Dt_+sigma_*SQRT(Dt_)*_xlfn.NORM.INV(RAND(),0,1))</f>
        <v>96.2628919065482</v>
      </c>
      <c r="J1012" s="25">
        <f ca="1">MAX(k_-I1012,0)*EXP(-rs_*T_)</f>
        <v>0.71568100809162</v>
      </c>
      <c r="K1012" s="25">
        <v>-3.6284736410152</v>
      </c>
      <c r="L1012" s="25">
        <v>-3.48279263292358</v>
      </c>
      <c r="M1012" s="28">
        <v>1</v>
      </c>
      <c r="N1012" s="28">
        <v>1</v>
      </c>
    </row>
    <row r="1013" spans="7:14">
      <c r="G1013" s="24">
        <v>1012</v>
      </c>
      <c r="H1013" s="25">
        <f>S0_</f>
        <v>100</v>
      </c>
      <c r="I1013" s="25">
        <f ca="1">S0_*EXP((mu_-sigma_^2/2)*Dt_+sigma_*SQRT(Dt_)*_xlfn.NORM.INV(RAND(),0,1))</f>
        <v>106.226487442658</v>
      </c>
      <c r="J1013" s="25">
        <f ca="1">MAX(k_-I1013,0)*EXP(-rs_*T_)</f>
        <v>0</v>
      </c>
      <c r="K1013" s="25">
        <v>6.04548891732156</v>
      </c>
      <c r="L1013" s="25">
        <v>5.47548891732156</v>
      </c>
      <c r="M1013" s="28">
        <v>0</v>
      </c>
      <c r="N1013" s="28">
        <v>0</v>
      </c>
    </row>
    <row r="1014" spans="7:14">
      <c r="G1014" s="24">
        <v>1013</v>
      </c>
      <c r="H1014" s="25">
        <f>S0_</f>
        <v>100</v>
      </c>
      <c r="I1014" s="25">
        <f ca="1">S0_*EXP((mu_-sigma_^2/2)*Dt_+sigma_*SQRT(Dt_)*_xlfn.NORM.INV(RAND(),0,1))</f>
        <v>102.566393151004</v>
      </c>
      <c r="J1014" s="25">
        <f ca="1">MAX(k_-I1014,0)*EXP(-rs_*T_)</f>
        <v>0</v>
      </c>
      <c r="K1014" s="25">
        <v>2.49179035447692</v>
      </c>
      <c r="L1014" s="25">
        <v>1.92179035447692</v>
      </c>
      <c r="M1014" s="28">
        <v>0</v>
      </c>
      <c r="N1014" s="28">
        <v>0</v>
      </c>
    </row>
    <row r="1015" spans="7:14">
      <c r="G1015" s="24">
        <v>1014</v>
      </c>
      <c r="H1015" s="25">
        <f>S0_</f>
        <v>100</v>
      </c>
      <c r="I1015" s="25">
        <f ca="1">S0_*EXP((mu_-sigma_^2/2)*Dt_+sigma_*SQRT(Dt_)*_xlfn.NORM.INV(RAND(),0,1))</f>
        <v>111.144939949043</v>
      </c>
      <c r="J1015" s="25">
        <f ca="1">MAX(k_-I1015,0)*EXP(-rs_*T_)</f>
        <v>0</v>
      </c>
      <c r="K1015" s="25">
        <v>10.8209663259828</v>
      </c>
      <c r="L1015" s="25">
        <v>10.2509663259828</v>
      </c>
      <c r="M1015" s="28">
        <v>0</v>
      </c>
      <c r="N1015" s="28">
        <v>0</v>
      </c>
    </row>
    <row r="1016" spans="7:14">
      <c r="G1016" s="24">
        <v>1015</v>
      </c>
      <c r="H1016" s="25">
        <f>S0_</f>
        <v>100</v>
      </c>
      <c r="I1016" s="25">
        <f ca="1">S0_*EXP((mu_-sigma_^2/2)*Dt_+sigma_*SQRT(Dt_)*_xlfn.NORM.INV(RAND(),0,1))</f>
        <v>94.3631633821013</v>
      </c>
      <c r="J1016" s="25">
        <f ca="1">MAX(k_-I1016,0)*EXP(-rs_*T_)</f>
        <v>2.56018609161282</v>
      </c>
      <c r="K1016" s="25">
        <v>-5.4729787245364</v>
      </c>
      <c r="L1016" s="25">
        <v>-3.48279263292358</v>
      </c>
      <c r="M1016" s="28">
        <v>1</v>
      </c>
      <c r="N1016" s="28">
        <v>1</v>
      </c>
    </row>
    <row r="1017" spans="7:14">
      <c r="G1017" s="24">
        <v>1016</v>
      </c>
      <c r="H1017" s="25">
        <f>S0_</f>
        <v>100</v>
      </c>
      <c r="I1017" s="25">
        <f ca="1">S0_*EXP((mu_-sigma_^2/2)*Dt_+sigma_*SQRT(Dt_)*_xlfn.NORM.INV(RAND(),0,1))</f>
        <v>114.47521930999</v>
      </c>
      <c r="J1017" s="25">
        <f ca="1">MAX(k_-I1017,0)*EXP(-rs_*T_)</f>
        <v>0</v>
      </c>
      <c r="K1017" s="25">
        <v>14.0544373886969</v>
      </c>
      <c r="L1017" s="25">
        <v>13.4844373886969</v>
      </c>
      <c r="M1017" s="28">
        <v>0</v>
      </c>
      <c r="N1017" s="28">
        <v>0</v>
      </c>
    </row>
    <row r="1018" spans="7:14">
      <c r="G1018" s="24">
        <v>1017</v>
      </c>
      <c r="H1018" s="25">
        <f>S0_</f>
        <v>100</v>
      </c>
      <c r="I1018" s="25">
        <f ca="1">S0_*EXP((mu_-sigma_^2/2)*Dt_+sigma_*SQRT(Dt_)*_xlfn.NORM.INV(RAND(),0,1))</f>
        <v>96.4311765607641</v>
      </c>
      <c r="J1018" s="25">
        <f ca="1">MAX(k_-I1018,0)*EXP(-rs_*T_)</f>
        <v>0.552288241080194</v>
      </c>
      <c r="K1018" s="25">
        <v>-3.46508087400378</v>
      </c>
      <c r="L1018" s="25">
        <v>-3.48279263292358</v>
      </c>
      <c r="M1018" s="28">
        <v>1</v>
      </c>
      <c r="N1018" s="28">
        <v>1</v>
      </c>
    </row>
    <row r="1019" spans="7:14">
      <c r="G1019" s="24">
        <v>1018</v>
      </c>
      <c r="H1019" s="25">
        <f>S0_</f>
        <v>100</v>
      </c>
      <c r="I1019" s="25">
        <f ca="1">S0_*EXP((mu_-sigma_^2/2)*Dt_+sigma_*SQRT(Dt_)*_xlfn.NORM.INV(RAND(),0,1))</f>
        <v>97.8815839203614</v>
      </c>
      <c r="J1019" s="25">
        <f ca="1">MAX(k_-I1019,0)*EXP(-rs_*T_)</f>
        <v>0</v>
      </c>
      <c r="K1019" s="25">
        <v>-2.05683558341276</v>
      </c>
      <c r="L1019" s="25">
        <v>-2.62683558341276</v>
      </c>
      <c r="M1019" s="28">
        <v>1</v>
      </c>
      <c r="N1019" s="28">
        <v>1</v>
      </c>
    </row>
    <row r="1020" spans="7:14">
      <c r="G1020" s="24">
        <v>1019</v>
      </c>
      <c r="H1020" s="25">
        <f>S0_</f>
        <v>100</v>
      </c>
      <c r="I1020" s="25">
        <f ca="1">S0_*EXP((mu_-sigma_^2/2)*Dt_+sigma_*SQRT(Dt_)*_xlfn.NORM.INV(RAND(),0,1))</f>
        <v>94.1769052659713</v>
      </c>
      <c r="J1020" s="25">
        <f ca="1">MAX(k_-I1020,0)*EXP(-rs_*T_)</f>
        <v>2.74102984777475</v>
      </c>
      <c r="K1020" s="25">
        <v>-5.65382248069833</v>
      </c>
      <c r="L1020" s="25">
        <v>-3.48279263292358</v>
      </c>
      <c r="M1020" s="28">
        <v>1</v>
      </c>
      <c r="N1020" s="28">
        <v>1</v>
      </c>
    </row>
    <row r="1021" spans="7:14">
      <c r="G1021" s="24">
        <v>1020</v>
      </c>
      <c r="H1021" s="25">
        <f>S0_</f>
        <v>100</v>
      </c>
      <c r="I1021" s="25">
        <f ca="1">S0_*EXP((mu_-sigma_^2/2)*Dt_+sigma_*SQRT(Dt_)*_xlfn.NORM.INV(RAND(),0,1))</f>
        <v>104.560746863562</v>
      </c>
      <c r="J1021" s="25">
        <f ca="1">MAX(k_-I1021,0)*EXP(-rs_*T_)</f>
        <v>0</v>
      </c>
      <c r="K1021" s="25">
        <v>4.42816995493788</v>
      </c>
      <c r="L1021" s="25">
        <v>3.85816995493788</v>
      </c>
      <c r="M1021" s="28">
        <v>0</v>
      </c>
      <c r="N1021" s="28">
        <v>0</v>
      </c>
    </row>
    <row r="1022" spans="7:14">
      <c r="G1022" s="24">
        <v>1021</v>
      </c>
      <c r="H1022" s="25">
        <f>S0_</f>
        <v>100</v>
      </c>
      <c r="I1022" s="25">
        <f ca="1">S0_*EXP((mu_-sigma_^2/2)*Dt_+sigma_*SQRT(Dt_)*_xlfn.NORM.INV(RAND(),0,1))</f>
        <v>102.596342794867</v>
      </c>
      <c r="J1022" s="25">
        <f ca="1">MAX(k_-I1022,0)*EXP(-rs_*T_)</f>
        <v>0</v>
      </c>
      <c r="K1022" s="25">
        <v>2.5208693884779</v>
      </c>
      <c r="L1022" s="25">
        <v>1.9508693884779</v>
      </c>
      <c r="M1022" s="28">
        <v>0</v>
      </c>
      <c r="N1022" s="28">
        <v>0</v>
      </c>
    </row>
    <row r="1023" spans="7:14">
      <c r="G1023" s="24">
        <v>1022</v>
      </c>
      <c r="H1023" s="25">
        <f>S0_</f>
        <v>100</v>
      </c>
      <c r="I1023" s="25">
        <f ca="1">S0_*EXP((mu_-sigma_^2/2)*Dt_+sigma_*SQRT(Dt_)*_xlfn.NORM.INV(RAND(),0,1))</f>
        <v>117.27073946445</v>
      </c>
      <c r="J1023" s="25">
        <f ca="1">MAX(k_-I1023,0)*EXP(-rs_*T_)</f>
        <v>0</v>
      </c>
      <c r="K1023" s="25">
        <v>16.7686942257305</v>
      </c>
      <c r="L1023" s="25">
        <v>16.1986942257305</v>
      </c>
      <c r="M1023" s="28">
        <v>0</v>
      </c>
      <c r="N1023" s="28">
        <v>0</v>
      </c>
    </row>
    <row r="1024" spans="7:14">
      <c r="G1024" s="24">
        <v>1023</v>
      </c>
      <c r="H1024" s="25">
        <f>S0_</f>
        <v>100</v>
      </c>
      <c r="I1024" s="25">
        <f ca="1">S0_*EXP((mu_-sigma_^2/2)*Dt_+sigma_*SQRT(Dt_)*_xlfn.NORM.INV(RAND(),0,1))</f>
        <v>97.4480362103522</v>
      </c>
      <c r="J1024" s="25">
        <f ca="1">MAX(k_-I1024,0)*EXP(-rs_*T_)</f>
        <v>0</v>
      </c>
      <c r="K1024" s="25">
        <v>-2.47778044199126</v>
      </c>
      <c r="L1024" s="25">
        <v>-3.04778044199126</v>
      </c>
      <c r="M1024" s="28">
        <v>1</v>
      </c>
      <c r="N1024" s="28">
        <v>1</v>
      </c>
    </row>
    <row r="1025" spans="7:14">
      <c r="G1025" s="24">
        <v>1024</v>
      </c>
      <c r="H1025" s="25">
        <f>S0_</f>
        <v>100</v>
      </c>
      <c r="I1025" s="25">
        <f ca="1">S0_*EXP((mu_-sigma_^2/2)*Dt_+sigma_*SQRT(Dt_)*_xlfn.NORM.INV(RAND(),0,1))</f>
        <v>116.024048283992</v>
      </c>
      <c r="J1025" s="25">
        <f ca="1">MAX(k_-I1025,0)*EXP(-rs_*T_)</f>
        <v>0</v>
      </c>
      <c r="K1025" s="25">
        <v>15.5582432637409</v>
      </c>
      <c r="L1025" s="25">
        <v>14.9882432637409</v>
      </c>
      <c r="M1025" s="28">
        <v>0</v>
      </c>
      <c r="N1025" s="28">
        <v>0</v>
      </c>
    </row>
    <row r="1026" spans="7:14">
      <c r="G1026" s="24">
        <v>1025</v>
      </c>
      <c r="H1026" s="25">
        <f>S0_</f>
        <v>100</v>
      </c>
      <c r="I1026" s="25">
        <f ca="1">S0_*EXP((mu_-sigma_^2/2)*Dt_+sigma_*SQRT(Dt_)*_xlfn.NORM.INV(RAND(),0,1))</f>
        <v>119.181975286573</v>
      </c>
      <c r="J1026" s="25">
        <f ca="1">MAX(k_-I1026,0)*EXP(-rs_*T_)</f>
        <v>0</v>
      </c>
      <c r="K1026" s="25">
        <v>18.6243720998836</v>
      </c>
      <c r="L1026" s="25">
        <v>18.0543720998836</v>
      </c>
      <c r="M1026" s="28">
        <v>0</v>
      </c>
      <c r="N1026" s="28">
        <v>0</v>
      </c>
    </row>
    <row r="1027" spans="7:14">
      <c r="G1027" s="24">
        <v>1026</v>
      </c>
      <c r="H1027" s="25">
        <f>S0_</f>
        <v>100</v>
      </c>
      <c r="I1027" s="25">
        <f ca="1">S0_*EXP((mu_-sigma_^2/2)*Dt_+sigma_*SQRT(Dt_)*_xlfn.NORM.INV(RAND(),0,1))</f>
        <v>100.798170558532</v>
      </c>
      <c r="J1027" s="25">
        <f ca="1">MAX(k_-I1027,0)*EXP(-rs_*T_)</f>
        <v>0</v>
      </c>
      <c r="K1027" s="25">
        <v>0.774968440902444</v>
      </c>
      <c r="L1027" s="25">
        <v>0.204968440902444</v>
      </c>
      <c r="M1027" s="28">
        <v>0</v>
      </c>
      <c r="N1027" s="28">
        <v>0</v>
      </c>
    </row>
    <row r="1028" spans="7:14">
      <c r="G1028" s="24">
        <v>1027</v>
      </c>
      <c r="H1028" s="25">
        <f>S0_</f>
        <v>100</v>
      </c>
      <c r="I1028" s="25">
        <f ca="1">S0_*EXP((mu_-sigma_^2/2)*Dt_+sigma_*SQRT(Dt_)*_xlfn.NORM.INV(RAND(),0,1))</f>
        <v>93.8532522047614</v>
      </c>
      <c r="J1028" s="25">
        <f ca="1">MAX(k_-I1028,0)*EXP(-rs_*T_)</f>
        <v>3.05527459854652</v>
      </c>
      <c r="K1028" s="25">
        <v>-5.9680672314701</v>
      </c>
      <c r="L1028" s="25">
        <v>-3.48279263292358</v>
      </c>
      <c r="M1028" s="28">
        <v>1</v>
      </c>
      <c r="N1028" s="28">
        <v>1</v>
      </c>
    </row>
    <row r="1029" spans="7:14">
      <c r="G1029" s="24">
        <v>1028</v>
      </c>
      <c r="H1029" s="25">
        <f>S0_</f>
        <v>100</v>
      </c>
      <c r="I1029" s="25">
        <f ca="1">S0_*EXP((mu_-sigma_^2/2)*Dt_+sigma_*SQRT(Dt_)*_xlfn.NORM.INV(RAND(),0,1))</f>
        <v>95.5269682020377</v>
      </c>
      <c r="J1029" s="25">
        <f ca="1">MAX(k_-I1029,0)*EXP(-rs_*T_)</f>
        <v>1.4302120563889</v>
      </c>
      <c r="K1029" s="25">
        <v>-4.34300468931248</v>
      </c>
      <c r="L1029" s="25">
        <v>-3.48279263292358</v>
      </c>
      <c r="M1029" s="28">
        <v>1</v>
      </c>
      <c r="N1029" s="28">
        <v>1</v>
      </c>
    </row>
    <row r="1030" spans="7:14">
      <c r="G1030" s="24">
        <v>1029</v>
      </c>
      <c r="H1030" s="25">
        <f>S0_</f>
        <v>100</v>
      </c>
      <c r="I1030" s="25">
        <f ca="1">S0_*EXP((mu_-sigma_^2/2)*Dt_+sigma_*SQRT(Dt_)*_xlfn.NORM.INV(RAND(),0,1))</f>
        <v>96.3437071379623</v>
      </c>
      <c r="J1030" s="25">
        <f ca="1">MAX(k_-I1030,0)*EXP(-rs_*T_)</f>
        <v>0.637215004527876</v>
      </c>
      <c r="K1030" s="25">
        <v>-3.55000763745146</v>
      </c>
      <c r="L1030" s="25">
        <v>-3.48279263292358</v>
      </c>
      <c r="M1030" s="28">
        <v>1</v>
      </c>
      <c r="N1030" s="28">
        <v>1</v>
      </c>
    </row>
    <row r="1031" spans="7:14">
      <c r="G1031" s="24">
        <v>1030</v>
      </c>
      <c r="H1031" s="25">
        <f>S0_</f>
        <v>100</v>
      </c>
      <c r="I1031" s="25">
        <f ca="1">S0_*EXP((mu_-sigma_^2/2)*Dt_+sigma_*SQRT(Dt_)*_xlfn.NORM.INV(RAND(),0,1))</f>
        <v>106.230815103084</v>
      </c>
      <c r="J1031" s="25">
        <f ca="1">MAX(k_-I1031,0)*EXP(-rs_*T_)</f>
        <v>0</v>
      </c>
      <c r="K1031" s="25">
        <v>6.04969077645704</v>
      </c>
      <c r="L1031" s="25">
        <v>5.47969077645704</v>
      </c>
      <c r="M1031" s="28">
        <v>0</v>
      </c>
      <c r="N1031" s="28">
        <v>0</v>
      </c>
    </row>
    <row r="1032" spans="7:14">
      <c r="G1032" s="24">
        <v>1031</v>
      </c>
      <c r="H1032" s="25">
        <f>S0_</f>
        <v>100</v>
      </c>
      <c r="I1032" s="25">
        <f ca="1">S0_*EXP((mu_-sigma_^2/2)*Dt_+sigma_*SQRT(Dt_)*_xlfn.NORM.INV(RAND(),0,1))</f>
        <v>103.878454238117</v>
      </c>
      <c r="J1032" s="25">
        <f ca="1">MAX(k_-I1032,0)*EXP(-rs_*T_)</f>
        <v>0</v>
      </c>
      <c r="K1032" s="25">
        <v>3.7657109773059</v>
      </c>
      <c r="L1032" s="25">
        <v>3.1957109773059</v>
      </c>
      <c r="M1032" s="28">
        <v>0</v>
      </c>
      <c r="N1032" s="28">
        <v>0</v>
      </c>
    </row>
    <row r="1033" spans="7:14">
      <c r="G1033" s="24">
        <v>1032</v>
      </c>
      <c r="H1033" s="25">
        <f>S0_</f>
        <v>100</v>
      </c>
      <c r="I1033" s="25">
        <f ca="1">S0_*EXP((mu_-sigma_^2/2)*Dt_+sigma_*SQRT(Dt_)*_xlfn.NORM.INV(RAND(),0,1))</f>
        <v>107.629483624984</v>
      </c>
      <c r="J1033" s="25">
        <f ca="1">MAX(k_-I1033,0)*EXP(-rs_*T_)</f>
        <v>0</v>
      </c>
      <c r="K1033" s="25">
        <v>7.40770123195476</v>
      </c>
      <c r="L1033" s="25">
        <v>6.83770123195476</v>
      </c>
      <c r="M1033" s="28">
        <v>0</v>
      </c>
      <c r="N1033" s="28">
        <v>0</v>
      </c>
    </row>
    <row r="1034" spans="7:14">
      <c r="G1034" s="24">
        <v>1033</v>
      </c>
      <c r="H1034" s="25">
        <f>S0_</f>
        <v>100</v>
      </c>
      <c r="I1034" s="25">
        <f ca="1">S0_*EXP((mu_-sigma_^2/2)*Dt_+sigma_*SQRT(Dt_)*_xlfn.NORM.INV(RAND(),0,1))</f>
        <v>120.734430010573</v>
      </c>
      <c r="J1034" s="25">
        <f ca="1">MAX(k_-I1034,0)*EXP(-rs_*T_)</f>
        <v>0</v>
      </c>
      <c r="K1034" s="25">
        <v>20.1316983275557</v>
      </c>
      <c r="L1034" s="25">
        <v>19.5616983275557</v>
      </c>
      <c r="M1034" s="28">
        <v>0</v>
      </c>
      <c r="N1034" s="28">
        <v>0</v>
      </c>
    </row>
    <row r="1035" spans="7:14">
      <c r="G1035" s="24">
        <v>1034</v>
      </c>
      <c r="H1035" s="25">
        <f>S0_</f>
        <v>100</v>
      </c>
      <c r="I1035" s="25">
        <f ca="1">S0_*EXP((mu_-sigma_^2/2)*Dt_+sigma_*SQRT(Dt_)*_xlfn.NORM.INV(RAND(),0,1))</f>
        <v>117.12849550587</v>
      </c>
      <c r="J1035" s="25">
        <f ca="1">MAX(k_-I1035,0)*EXP(-rs_*T_)</f>
        <v>0</v>
      </c>
      <c r="K1035" s="25">
        <v>16.6305851741876</v>
      </c>
      <c r="L1035" s="25">
        <v>16.0605851741876</v>
      </c>
      <c r="M1035" s="28">
        <v>0</v>
      </c>
      <c r="N1035" s="28">
        <v>0</v>
      </c>
    </row>
    <row r="1036" spans="7:14">
      <c r="G1036" s="24">
        <v>1035</v>
      </c>
      <c r="H1036" s="25">
        <f>S0_</f>
        <v>100</v>
      </c>
      <c r="I1036" s="25">
        <f ca="1">S0_*EXP((mu_-sigma_^2/2)*Dt_+sigma_*SQRT(Dt_)*_xlfn.NORM.INV(RAND(),0,1))</f>
        <v>111.76845506837</v>
      </c>
      <c r="J1036" s="25">
        <f ca="1">MAX(k_-I1036,0)*EXP(-rs_*T_)</f>
        <v>0</v>
      </c>
      <c r="K1036" s="25">
        <v>11.4263564080135</v>
      </c>
      <c r="L1036" s="25">
        <v>10.8563564080135</v>
      </c>
      <c r="M1036" s="28">
        <v>0</v>
      </c>
      <c r="N1036" s="28">
        <v>0</v>
      </c>
    </row>
    <row r="1037" spans="7:14">
      <c r="G1037" s="24">
        <v>1036</v>
      </c>
      <c r="H1037" s="25">
        <f>S0_</f>
        <v>100</v>
      </c>
      <c r="I1037" s="25">
        <f ca="1">S0_*EXP((mu_-sigma_^2/2)*Dt_+sigma_*SQRT(Dt_)*_xlfn.NORM.INV(RAND(),0,1))</f>
        <v>107.674369925339</v>
      </c>
      <c r="J1037" s="25">
        <f ca="1">MAX(k_-I1037,0)*EXP(-rs_*T_)</f>
        <v>0</v>
      </c>
      <c r="K1037" s="25">
        <v>7.45128272695281</v>
      </c>
      <c r="L1037" s="25">
        <v>6.88128272695281</v>
      </c>
      <c r="M1037" s="28">
        <v>0</v>
      </c>
      <c r="N1037" s="28">
        <v>0</v>
      </c>
    </row>
    <row r="1038" spans="7:14">
      <c r="G1038" s="24">
        <v>1037</v>
      </c>
      <c r="H1038" s="25">
        <f>S0_</f>
        <v>100</v>
      </c>
      <c r="I1038" s="25">
        <f ca="1">S0_*EXP((mu_-sigma_^2/2)*Dt_+sigma_*SQRT(Dt_)*_xlfn.NORM.INV(RAND(),0,1))</f>
        <v>92.704205513743</v>
      </c>
      <c r="J1038" s="25">
        <f ca="1">MAX(k_-I1038,0)*EXP(-rs_*T_)</f>
        <v>4.17091951070771</v>
      </c>
      <c r="K1038" s="25">
        <v>-7.08371214363129</v>
      </c>
      <c r="L1038" s="25">
        <v>-3.48279263292358</v>
      </c>
      <c r="M1038" s="28">
        <v>1</v>
      </c>
      <c r="N1038" s="28">
        <v>1</v>
      </c>
    </row>
    <row r="1039" spans="7:14">
      <c r="G1039" s="24">
        <v>1038</v>
      </c>
      <c r="H1039" s="25">
        <f>S0_</f>
        <v>100</v>
      </c>
      <c r="I1039" s="25">
        <f ca="1">S0_*EXP((mu_-sigma_^2/2)*Dt_+sigma_*SQRT(Dt_)*_xlfn.NORM.INV(RAND(),0,1))</f>
        <v>108.237231822377</v>
      </c>
      <c r="J1039" s="25">
        <f ca="1">MAX(k_-I1039,0)*EXP(-rs_*T_)</f>
        <v>0</v>
      </c>
      <c r="K1039" s="25">
        <v>7.99778272263487</v>
      </c>
      <c r="L1039" s="25">
        <v>7.42778272263487</v>
      </c>
      <c r="M1039" s="28">
        <v>0</v>
      </c>
      <c r="N1039" s="28">
        <v>0</v>
      </c>
    </row>
    <row r="1040" spans="7:14">
      <c r="G1040" s="24">
        <v>1039</v>
      </c>
      <c r="H1040" s="25">
        <f>S0_</f>
        <v>100</v>
      </c>
      <c r="I1040" s="25">
        <f ca="1">S0_*EXP((mu_-sigma_^2/2)*Dt_+sigma_*SQRT(Dt_)*_xlfn.NORM.INV(RAND(),0,1))</f>
        <v>116.116828648596</v>
      </c>
      <c r="J1040" s="25">
        <f ca="1">MAX(k_-I1040,0)*EXP(-rs_*T_)</f>
        <v>0</v>
      </c>
      <c r="K1040" s="25">
        <v>15.6483265845743</v>
      </c>
      <c r="L1040" s="25">
        <v>15.0783265845743</v>
      </c>
      <c r="M1040" s="28">
        <v>0</v>
      </c>
      <c r="N1040" s="28">
        <v>0</v>
      </c>
    </row>
    <row r="1041" spans="7:14">
      <c r="G1041" s="24">
        <v>1040</v>
      </c>
      <c r="H1041" s="25">
        <f>S0_</f>
        <v>100</v>
      </c>
      <c r="I1041" s="25">
        <f ca="1">S0_*EXP((mu_-sigma_^2/2)*Dt_+sigma_*SQRT(Dt_)*_xlfn.NORM.INV(RAND(),0,1))</f>
        <v>112.046054612438</v>
      </c>
      <c r="J1041" s="25">
        <f ca="1">MAX(k_-I1041,0)*EXP(-rs_*T_)</f>
        <v>0</v>
      </c>
      <c r="K1041" s="25">
        <v>11.6958863769677</v>
      </c>
      <c r="L1041" s="25">
        <v>11.1258863769677</v>
      </c>
      <c r="M1041" s="28">
        <v>0</v>
      </c>
      <c r="N1041" s="28">
        <v>0</v>
      </c>
    </row>
    <row r="1042" spans="7:14">
      <c r="G1042" s="24">
        <v>1041</v>
      </c>
      <c r="H1042" s="25">
        <f>S0_</f>
        <v>100</v>
      </c>
      <c r="I1042" s="25">
        <f ca="1">S0_*EXP((mu_-sigma_^2/2)*Dt_+sigma_*SQRT(Dt_)*_xlfn.NORM.INV(RAND(),0,1))</f>
        <v>109.845893776136</v>
      </c>
      <c r="J1042" s="25">
        <f ca="1">MAX(k_-I1042,0)*EXP(-rs_*T_)</f>
        <v>0</v>
      </c>
      <c r="K1042" s="25">
        <v>9.55968228522561</v>
      </c>
      <c r="L1042" s="25">
        <v>8.98968228522561</v>
      </c>
      <c r="M1042" s="28">
        <v>0</v>
      </c>
      <c r="N1042" s="28">
        <v>0</v>
      </c>
    </row>
    <row r="1043" spans="7:14">
      <c r="G1043" s="24">
        <v>1042</v>
      </c>
      <c r="H1043" s="25">
        <f>S0_</f>
        <v>100</v>
      </c>
      <c r="I1043" s="25">
        <f ca="1">S0_*EXP((mu_-sigma_^2/2)*Dt_+sigma_*SQRT(Dt_)*_xlfn.NORM.INV(RAND(),0,1))</f>
        <v>105.245985493958</v>
      </c>
      <c r="J1043" s="25">
        <f ca="1">MAX(k_-I1043,0)*EXP(-rs_*T_)</f>
        <v>0</v>
      </c>
      <c r="K1043" s="25">
        <v>5.09348929974191</v>
      </c>
      <c r="L1043" s="25">
        <v>4.52348929974191</v>
      </c>
      <c r="M1043" s="28">
        <v>0</v>
      </c>
      <c r="N1043" s="28">
        <v>0</v>
      </c>
    </row>
    <row r="1044" spans="7:14">
      <c r="G1044" s="24">
        <v>1043</v>
      </c>
      <c r="H1044" s="25">
        <f>S0_</f>
        <v>100</v>
      </c>
      <c r="I1044" s="25">
        <f ca="1">S0_*EXP((mu_-sigma_^2/2)*Dt_+sigma_*SQRT(Dt_)*_xlfn.NORM.INV(RAND(),0,1))</f>
        <v>95.633196656684</v>
      </c>
      <c r="J1044" s="25">
        <f ca="1">MAX(k_-I1044,0)*EXP(-rs_*T_)</f>
        <v>1.32707156968876</v>
      </c>
      <c r="K1044" s="25">
        <v>-4.23986420261234</v>
      </c>
      <c r="L1044" s="25">
        <v>-3.48279263292358</v>
      </c>
      <c r="M1044" s="28">
        <v>1</v>
      </c>
      <c r="N1044" s="28">
        <v>1</v>
      </c>
    </row>
    <row r="1045" spans="7:14">
      <c r="G1045" s="24">
        <v>1044</v>
      </c>
      <c r="H1045" s="25">
        <f>S0_</f>
        <v>100</v>
      </c>
      <c r="I1045" s="25">
        <f ca="1">S0_*EXP((mu_-sigma_^2/2)*Dt_+sigma_*SQRT(Dt_)*_xlfn.NORM.INV(RAND(),0,1))</f>
        <v>101.315389023798</v>
      </c>
      <c r="J1045" s="25">
        <f ca="1">MAX(k_-I1045,0)*EXP(-rs_*T_)</f>
        <v>0</v>
      </c>
      <c r="K1045" s="25">
        <v>1.27715181931565</v>
      </c>
      <c r="L1045" s="25">
        <v>0.707151819315653</v>
      </c>
      <c r="M1045" s="28">
        <v>0</v>
      </c>
      <c r="N1045" s="28">
        <v>0</v>
      </c>
    </row>
    <row r="1046" spans="7:14">
      <c r="G1046" s="24">
        <v>1045</v>
      </c>
      <c r="H1046" s="25">
        <f>S0_</f>
        <v>100</v>
      </c>
      <c r="I1046" s="25">
        <f ca="1">S0_*EXP((mu_-sigma_^2/2)*Dt_+sigma_*SQRT(Dt_)*_xlfn.NORM.INV(RAND(),0,1))</f>
        <v>102.612679319051</v>
      </c>
      <c r="J1046" s="25">
        <f ca="1">MAX(k_-I1046,0)*EXP(-rs_*T_)</f>
        <v>0</v>
      </c>
      <c r="K1046" s="25">
        <v>2.53673102424095</v>
      </c>
      <c r="L1046" s="25">
        <v>1.96673102424095</v>
      </c>
      <c r="M1046" s="28">
        <v>0</v>
      </c>
      <c r="N1046" s="28">
        <v>0</v>
      </c>
    </row>
    <row r="1047" spans="7:14">
      <c r="G1047" s="24">
        <v>1046</v>
      </c>
      <c r="H1047" s="25">
        <f>S0_</f>
        <v>100</v>
      </c>
      <c r="I1047" s="25">
        <f ca="1">S0_*EXP((mu_-sigma_^2/2)*Dt_+sigma_*SQRT(Dt_)*_xlfn.NORM.INV(RAND(),0,1))</f>
        <v>106.414285647919</v>
      </c>
      <c r="J1047" s="25">
        <f ca="1">MAX(k_-I1047,0)*EXP(-rs_*T_)</f>
        <v>0</v>
      </c>
      <c r="K1047" s="25">
        <v>6.22782799357486</v>
      </c>
      <c r="L1047" s="25">
        <v>5.65782799357486</v>
      </c>
      <c r="M1047" s="28">
        <v>0</v>
      </c>
      <c r="N1047" s="28">
        <v>0</v>
      </c>
    </row>
    <row r="1048" spans="7:14">
      <c r="G1048" s="24">
        <v>1047</v>
      </c>
      <c r="H1048" s="25">
        <f>S0_</f>
        <v>100</v>
      </c>
      <c r="I1048" s="25">
        <f ca="1">S0_*EXP((mu_-sigma_^2/2)*Dt_+sigma_*SQRT(Dt_)*_xlfn.NORM.INV(RAND(),0,1))</f>
        <v>112.510974911316</v>
      </c>
      <c r="J1048" s="25">
        <f ca="1">MAX(k_-I1048,0)*EXP(-rs_*T_)</f>
        <v>0</v>
      </c>
      <c r="K1048" s="25">
        <v>12.1472918507908</v>
      </c>
      <c r="L1048" s="25">
        <v>11.5772918507908</v>
      </c>
      <c r="M1048" s="28">
        <v>0</v>
      </c>
      <c r="N1048" s="28">
        <v>0</v>
      </c>
    </row>
    <row r="1049" spans="7:14">
      <c r="G1049" s="24">
        <v>1048</v>
      </c>
      <c r="H1049" s="25">
        <f>S0_</f>
        <v>100</v>
      </c>
      <c r="I1049" s="25">
        <f ca="1">S0_*EXP((mu_-sigma_^2/2)*Dt_+sigma_*SQRT(Dt_)*_xlfn.NORM.INV(RAND(),0,1))</f>
        <v>112.082759180884</v>
      </c>
      <c r="J1049" s="25">
        <f ca="1">MAX(k_-I1049,0)*EXP(-rs_*T_)</f>
        <v>0</v>
      </c>
      <c r="K1049" s="25">
        <v>11.7315239758226</v>
      </c>
      <c r="L1049" s="25">
        <v>11.1615239758226</v>
      </c>
      <c r="M1049" s="28">
        <v>0</v>
      </c>
      <c r="N1049" s="28">
        <v>0</v>
      </c>
    </row>
    <row r="1050" spans="7:14">
      <c r="G1050" s="24">
        <v>1049</v>
      </c>
      <c r="H1050" s="25">
        <f>S0_</f>
        <v>100</v>
      </c>
      <c r="I1050" s="25">
        <f ca="1">S0_*EXP((mu_-sigma_^2/2)*Dt_+sigma_*SQRT(Dt_)*_xlfn.NORM.INV(RAND(),0,1))</f>
        <v>99.8989877730945</v>
      </c>
      <c r="J1050" s="25">
        <f ca="1">MAX(k_-I1050,0)*EXP(-rs_*T_)</f>
        <v>0</v>
      </c>
      <c r="K1050" s="25">
        <v>-0.0980758901218585</v>
      </c>
      <c r="L1050" s="25">
        <v>-0.668075890121859</v>
      </c>
      <c r="M1050" s="28">
        <v>1</v>
      </c>
      <c r="N1050" s="28">
        <v>1</v>
      </c>
    </row>
    <row r="1051" spans="7:14">
      <c r="G1051" s="24">
        <v>1050</v>
      </c>
      <c r="H1051" s="25">
        <f>S0_</f>
        <v>100</v>
      </c>
      <c r="I1051" s="25">
        <f ca="1">S0_*EXP((mu_-sigma_^2/2)*Dt_+sigma_*SQRT(Dt_)*_xlfn.NORM.INV(RAND(),0,1))</f>
        <v>118.424790469217</v>
      </c>
      <c r="J1051" s="25">
        <f ca="1">MAX(k_-I1051,0)*EXP(-rs_*T_)</f>
        <v>0</v>
      </c>
      <c r="K1051" s="25">
        <v>17.8891979806319</v>
      </c>
      <c r="L1051" s="25">
        <v>17.3191979806319</v>
      </c>
      <c r="M1051" s="28">
        <v>0</v>
      </c>
      <c r="N1051" s="28">
        <v>0</v>
      </c>
    </row>
    <row r="1052" spans="7:14">
      <c r="G1052" s="24">
        <v>1051</v>
      </c>
      <c r="H1052" s="25">
        <f>S0_</f>
        <v>100</v>
      </c>
      <c r="I1052" s="25">
        <f ca="1">S0_*EXP((mu_-sigma_^2/2)*Dt_+sigma_*SQRT(Dt_)*_xlfn.NORM.INV(RAND(),0,1))</f>
        <v>122.768646484181</v>
      </c>
      <c r="J1052" s="25">
        <f ca="1">MAX(k_-I1052,0)*EXP(-rs_*T_)</f>
        <v>0</v>
      </c>
      <c r="K1052" s="25">
        <v>22.1067819135883</v>
      </c>
      <c r="L1052" s="25">
        <v>21.5367819135883</v>
      </c>
      <c r="M1052" s="28">
        <v>0</v>
      </c>
      <c r="N1052" s="28">
        <v>0</v>
      </c>
    </row>
    <row r="1053" spans="7:14">
      <c r="G1053" s="24">
        <v>1052</v>
      </c>
      <c r="H1053" s="25">
        <f>S0_</f>
        <v>100</v>
      </c>
      <c r="I1053" s="25">
        <f ca="1">S0_*EXP((mu_-sigma_^2/2)*Dt_+sigma_*SQRT(Dt_)*_xlfn.NORM.INV(RAND(),0,1))</f>
        <v>104.296648468307</v>
      </c>
      <c r="J1053" s="25">
        <f ca="1">MAX(k_-I1053,0)*EXP(-rs_*T_)</f>
        <v>0</v>
      </c>
      <c r="K1053" s="25">
        <v>4.17174866824888</v>
      </c>
      <c r="L1053" s="25">
        <v>3.60174866824888</v>
      </c>
      <c r="M1053" s="28">
        <v>0</v>
      </c>
      <c r="N1053" s="28">
        <v>0</v>
      </c>
    </row>
    <row r="1054" spans="7:14">
      <c r="G1054" s="24">
        <v>1053</v>
      </c>
      <c r="H1054" s="25">
        <f>S0_</f>
        <v>100</v>
      </c>
      <c r="I1054" s="25">
        <f ca="1">S0_*EXP((mu_-sigma_^2/2)*Dt_+sigma_*SQRT(Dt_)*_xlfn.NORM.INV(RAND(),0,1))</f>
        <v>101.471083156023</v>
      </c>
      <c r="J1054" s="25">
        <f ca="1">MAX(k_-I1054,0)*EXP(-rs_*T_)</f>
        <v>0</v>
      </c>
      <c r="K1054" s="25">
        <v>1.4283200597604</v>
      </c>
      <c r="L1054" s="25">
        <v>0.858320059760395</v>
      </c>
      <c r="M1054" s="28">
        <v>0</v>
      </c>
      <c r="N1054" s="28">
        <v>0</v>
      </c>
    </row>
    <row r="1055" spans="7:14">
      <c r="G1055" s="24">
        <v>1054</v>
      </c>
      <c r="H1055" s="25">
        <f>S0_</f>
        <v>100</v>
      </c>
      <c r="I1055" s="25">
        <f ca="1">S0_*EXP((mu_-sigma_^2/2)*Dt_+sigma_*SQRT(Dt_)*_xlfn.NORM.INV(RAND(),0,1))</f>
        <v>114.210853582943</v>
      </c>
      <c r="J1055" s="25">
        <f ca="1">MAX(k_-I1055,0)*EXP(-rs_*T_)</f>
        <v>0</v>
      </c>
      <c r="K1055" s="25">
        <v>13.7977565413172</v>
      </c>
      <c r="L1055" s="25">
        <v>13.2277565413172</v>
      </c>
      <c r="M1055" s="28">
        <v>0</v>
      </c>
      <c r="N1055" s="28">
        <v>0</v>
      </c>
    </row>
    <row r="1056" spans="7:14">
      <c r="G1056" s="24">
        <v>1055</v>
      </c>
      <c r="H1056" s="25">
        <f>S0_</f>
        <v>100</v>
      </c>
      <c r="I1056" s="25">
        <f ca="1">S0_*EXP((mu_-sigma_^2/2)*Dt_+sigma_*SQRT(Dt_)*_xlfn.NORM.INV(RAND(),0,1))</f>
        <v>107.90747204618</v>
      </c>
      <c r="J1056" s="25">
        <f ca="1">MAX(k_-I1056,0)*EXP(-rs_*T_)</f>
        <v>0</v>
      </c>
      <c r="K1056" s="25">
        <v>7.67760877372094</v>
      </c>
      <c r="L1056" s="25">
        <v>7.10760877372094</v>
      </c>
      <c r="M1056" s="28">
        <v>0</v>
      </c>
      <c r="N1056" s="28">
        <v>0</v>
      </c>
    </row>
    <row r="1057" spans="7:14">
      <c r="G1057" s="24">
        <v>1056</v>
      </c>
      <c r="H1057" s="25">
        <f>S0_</f>
        <v>100</v>
      </c>
      <c r="I1057" s="25">
        <f ca="1">S0_*EXP((mu_-sigma_^2/2)*Dt_+sigma_*SQRT(Dt_)*_xlfn.NORM.INV(RAND(),0,1))</f>
        <v>108.155603988616</v>
      </c>
      <c r="J1057" s="25">
        <f ca="1">MAX(k_-I1057,0)*EXP(-rs_*T_)</f>
        <v>0</v>
      </c>
      <c r="K1057" s="25">
        <v>7.91852773836123</v>
      </c>
      <c r="L1057" s="25">
        <v>7.34852773836123</v>
      </c>
      <c r="M1057" s="28">
        <v>0</v>
      </c>
      <c r="N1057" s="28">
        <v>0</v>
      </c>
    </row>
    <row r="1058" spans="7:14">
      <c r="G1058" s="24">
        <v>1057</v>
      </c>
      <c r="H1058" s="25">
        <f>S0_</f>
        <v>100</v>
      </c>
      <c r="I1058" s="25">
        <f ca="1">S0_*EXP((mu_-sigma_^2/2)*Dt_+sigma_*SQRT(Dt_)*_xlfn.NORM.INV(RAND(),0,1))</f>
        <v>105.224979378418</v>
      </c>
      <c r="J1058" s="25">
        <f ca="1">MAX(k_-I1058,0)*EXP(-rs_*T_)</f>
        <v>0</v>
      </c>
      <c r="K1058" s="25">
        <v>5.07309381354447</v>
      </c>
      <c r="L1058" s="25">
        <v>4.50309381354447</v>
      </c>
      <c r="M1058" s="28">
        <v>0</v>
      </c>
      <c r="N1058" s="28">
        <v>0</v>
      </c>
    </row>
    <row r="1059" spans="7:14">
      <c r="G1059" s="24">
        <v>1058</v>
      </c>
      <c r="H1059" s="25">
        <f>S0_</f>
        <v>100</v>
      </c>
      <c r="I1059" s="25">
        <f ca="1">S0_*EXP((mu_-sigma_^2/2)*Dt_+sigma_*SQRT(Dt_)*_xlfn.NORM.INV(RAND(),0,1))</f>
        <v>114.683226010986</v>
      </c>
      <c r="J1059" s="25">
        <f ca="1">MAX(k_-I1059,0)*EXP(-rs_*T_)</f>
        <v>0</v>
      </c>
      <c r="K1059" s="25">
        <v>14.2563975174503</v>
      </c>
      <c r="L1059" s="25">
        <v>13.6863975174503</v>
      </c>
      <c r="M1059" s="28">
        <v>0</v>
      </c>
      <c r="N1059" s="28">
        <v>0</v>
      </c>
    </row>
    <row r="1060" spans="7:14">
      <c r="G1060" s="24">
        <v>1059</v>
      </c>
      <c r="H1060" s="25">
        <f>S0_</f>
        <v>100</v>
      </c>
      <c r="I1060" s="25">
        <f ca="1">S0_*EXP((mu_-sigma_^2/2)*Dt_+sigma_*SQRT(Dt_)*_xlfn.NORM.INV(RAND(),0,1))</f>
        <v>89.86880262487</v>
      </c>
      <c r="J1060" s="25">
        <f ca="1">MAX(k_-I1060,0)*EXP(-rs_*T_)</f>
        <v>6.92389972606757</v>
      </c>
      <c r="K1060" s="25">
        <v>-9.83669235899115</v>
      </c>
      <c r="L1060" s="25">
        <v>-3.48279263292358</v>
      </c>
      <c r="M1060" s="28">
        <v>1</v>
      </c>
      <c r="N1060" s="28">
        <v>1</v>
      </c>
    </row>
    <row r="1061" spans="7:14">
      <c r="G1061" s="24">
        <v>1060</v>
      </c>
      <c r="H1061" s="25">
        <f>S0_</f>
        <v>100</v>
      </c>
      <c r="I1061" s="25">
        <f ca="1">S0_*EXP((mu_-sigma_^2/2)*Dt_+sigma_*SQRT(Dt_)*_xlfn.NORM.INV(RAND(),0,1))</f>
        <v>101.690858227496</v>
      </c>
      <c r="J1061" s="25">
        <f ca="1">MAX(k_-I1061,0)*EXP(-rs_*T_)</f>
        <v>0</v>
      </c>
      <c r="K1061" s="25">
        <v>1.64170646278926</v>
      </c>
      <c r="L1061" s="25">
        <v>1.07170646278926</v>
      </c>
      <c r="M1061" s="28">
        <v>0</v>
      </c>
      <c r="N1061" s="28">
        <v>0</v>
      </c>
    </row>
    <row r="1062" spans="7:14">
      <c r="G1062" s="24">
        <v>1061</v>
      </c>
      <c r="H1062" s="25">
        <f>S0_</f>
        <v>100</v>
      </c>
      <c r="I1062" s="25">
        <f ca="1">S0_*EXP((mu_-sigma_^2/2)*Dt_+sigma_*SQRT(Dt_)*_xlfn.NORM.INV(RAND(),0,1))</f>
        <v>99.5442868173314</v>
      </c>
      <c r="J1062" s="25">
        <f ca="1">MAX(k_-I1062,0)*EXP(-rs_*T_)</f>
        <v>0</v>
      </c>
      <c r="K1062" s="25">
        <v>-0.442466000401116</v>
      </c>
      <c r="L1062" s="25">
        <v>-1.01246600040112</v>
      </c>
      <c r="M1062" s="28">
        <v>1</v>
      </c>
      <c r="N1062" s="28">
        <v>1</v>
      </c>
    </row>
    <row r="1063" spans="7:14">
      <c r="G1063" s="24">
        <v>1062</v>
      </c>
      <c r="H1063" s="25">
        <f>S0_</f>
        <v>100</v>
      </c>
      <c r="I1063" s="25">
        <f ca="1">S0_*EXP((mu_-sigma_^2/2)*Dt_+sigma_*SQRT(Dt_)*_xlfn.NORM.INV(RAND(),0,1))</f>
        <v>100.992133357628</v>
      </c>
      <c r="J1063" s="25">
        <f ca="1">MAX(k_-I1063,0)*EXP(-rs_*T_)</f>
        <v>0</v>
      </c>
      <c r="K1063" s="25">
        <v>0.963292911659155</v>
      </c>
      <c r="L1063" s="25">
        <v>0.393292911659155</v>
      </c>
      <c r="M1063" s="28">
        <v>0</v>
      </c>
      <c r="N1063" s="28">
        <v>0</v>
      </c>
    </row>
    <row r="1064" spans="7:14">
      <c r="G1064" s="24">
        <v>1063</v>
      </c>
      <c r="H1064" s="25">
        <f>S0_</f>
        <v>100</v>
      </c>
      <c r="I1064" s="25">
        <f ca="1">S0_*EXP((mu_-sigma_^2/2)*Dt_+sigma_*SQRT(Dt_)*_xlfn.NORM.INV(RAND(),0,1))</f>
        <v>113.717272142747</v>
      </c>
      <c r="J1064" s="25">
        <f ca="1">MAX(k_-I1064,0)*EXP(-rs_*T_)</f>
        <v>0</v>
      </c>
      <c r="K1064" s="25">
        <v>13.3185230804006</v>
      </c>
      <c r="L1064" s="25">
        <v>12.7485230804006</v>
      </c>
      <c r="M1064" s="28">
        <v>0</v>
      </c>
      <c r="N1064" s="28">
        <v>0</v>
      </c>
    </row>
    <row r="1065" spans="7:14">
      <c r="G1065" s="24">
        <v>1064</v>
      </c>
      <c r="H1065" s="25">
        <f>S0_</f>
        <v>100</v>
      </c>
      <c r="I1065" s="25">
        <f ca="1">S0_*EXP((mu_-sigma_^2/2)*Dt_+sigma_*SQRT(Dt_)*_xlfn.NORM.INV(RAND(),0,1))</f>
        <v>98.6342442218512</v>
      </c>
      <c r="J1065" s="25">
        <f ca="1">MAX(k_-I1065,0)*EXP(-rs_*T_)</f>
        <v>0</v>
      </c>
      <c r="K1065" s="25">
        <v>-1.32605445632158</v>
      </c>
      <c r="L1065" s="25">
        <v>-1.89605445632158</v>
      </c>
      <c r="M1065" s="28">
        <v>1</v>
      </c>
      <c r="N1065" s="28">
        <v>1</v>
      </c>
    </row>
    <row r="1066" spans="7:14">
      <c r="G1066" s="24">
        <v>1065</v>
      </c>
      <c r="H1066" s="25">
        <f>S0_</f>
        <v>100</v>
      </c>
      <c r="I1066" s="25">
        <f ca="1">S0_*EXP((mu_-sigma_^2/2)*Dt_+sigma_*SQRT(Dt_)*_xlfn.NORM.INV(RAND(),0,1))</f>
        <v>92.0124029737142</v>
      </c>
      <c r="J1066" s="25">
        <f ca="1">MAX(k_-I1066,0)*EXP(-rs_*T_)</f>
        <v>4.84261195805228</v>
      </c>
      <c r="K1066" s="25">
        <v>-7.75540459097586</v>
      </c>
      <c r="L1066" s="25">
        <v>-3.48279263292358</v>
      </c>
      <c r="M1066" s="28">
        <v>1</v>
      </c>
      <c r="N1066" s="28">
        <v>1</v>
      </c>
    </row>
    <row r="1067" spans="7:14">
      <c r="G1067" s="24">
        <v>1066</v>
      </c>
      <c r="H1067" s="25">
        <f>S0_</f>
        <v>100</v>
      </c>
      <c r="I1067" s="25">
        <f ca="1">S0_*EXP((mu_-sigma_^2/2)*Dt_+sigma_*SQRT(Dt_)*_xlfn.NORM.INV(RAND(),0,1))</f>
        <v>126.426219810179</v>
      </c>
      <c r="J1067" s="25">
        <f ca="1">MAX(k_-I1067,0)*EXP(-rs_*T_)</f>
        <v>0</v>
      </c>
      <c r="K1067" s="25">
        <v>25.658032793036</v>
      </c>
      <c r="L1067" s="25">
        <v>25.088032793036</v>
      </c>
      <c r="M1067" s="28">
        <v>0</v>
      </c>
      <c r="N1067" s="28">
        <v>0</v>
      </c>
    </row>
    <row r="1068" spans="7:14">
      <c r="G1068" s="24">
        <v>1067</v>
      </c>
      <c r="H1068" s="25">
        <f>S0_</f>
        <v>100</v>
      </c>
      <c r="I1068" s="25">
        <f ca="1">S0_*EXP((mu_-sigma_^2/2)*Dt_+sigma_*SQRT(Dt_)*_xlfn.NORM.INV(RAND(),0,1))</f>
        <v>103.452735231251</v>
      </c>
      <c r="J1068" s="25">
        <f ca="1">MAX(k_-I1068,0)*EXP(-rs_*T_)</f>
        <v>0</v>
      </c>
      <c r="K1068" s="25">
        <v>3.35236724834091</v>
      </c>
      <c r="L1068" s="25">
        <v>2.78236724834091</v>
      </c>
      <c r="M1068" s="28">
        <v>0</v>
      </c>
      <c r="N1068" s="28">
        <v>0</v>
      </c>
    </row>
    <row r="1069" spans="7:14">
      <c r="G1069" s="24">
        <v>1068</v>
      </c>
      <c r="H1069" s="25">
        <f>S0_</f>
        <v>100</v>
      </c>
      <c r="I1069" s="25">
        <f ca="1">S0_*EXP((mu_-sigma_^2/2)*Dt_+sigma_*SQRT(Dt_)*_xlfn.NORM.INV(RAND(),0,1))</f>
        <v>102.662038131724</v>
      </c>
      <c r="J1069" s="25">
        <f ca="1">MAX(k_-I1069,0)*EXP(-rs_*T_)</f>
        <v>0</v>
      </c>
      <c r="K1069" s="25">
        <v>2.58465501954925</v>
      </c>
      <c r="L1069" s="25">
        <v>2.01465501954925</v>
      </c>
      <c r="M1069" s="28">
        <v>0</v>
      </c>
      <c r="N1069" s="28">
        <v>0</v>
      </c>
    </row>
    <row r="1070" spans="7:14">
      <c r="G1070" s="24">
        <v>1069</v>
      </c>
      <c r="H1070" s="25">
        <f>S0_</f>
        <v>100</v>
      </c>
      <c r="I1070" s="25">
        <f ca="1">S0_*EXP((mu_-sigma_^2/2)*Dt_+sigma_*SQRT(Dt_)*_xlfn.NORM.INV(RAND(),0,1))</f>
        <v>98.5745877981367</v>
      </c>
      <c r="J1070" s="25">
        <f ca="1">MAX(k_-I1070,0)*EXP(-rs_*T_)</f>
        <v>0</v>
      </c>
      <c r="K1070" s="25">
        <v>-1.3839767201556</v>
      </c>
      <c r="L1070" s="25">
        <v>-1.9539767201556</v>
      </c>
      <c r="M1070" s="28">
        <v>1</v>
      </c>
      <c r="N1070" s="28">
        <v>1</v>
      </c>
    </row>
    <row r="1071" spans="7:14">
      <c r="G1071" s="24">
        <v>1070</v>
      </c>
      <c r="H1071" s="25">
        <f>S0_</f>
        <v>100</v>
      </c>
      <c r="I1071" s="25">
        <f ca="1">S0_*EXP((mu_-sigma_^2/2)*Dt_+sigma_*SQRT(Dt_)*_xlfn.NORM.INV(RAND(),0,1))</f>
        <v>97.14710299487</v>
      </c>
      <c r="J1071" s="25">
        <f ca="1">MAX(k_-I1071,0)*EXP(-rs_*T_)</f>
        <v>0</v>
      </c>
      <c r="K1071" s="25">
        <v>-2.76996579301082</v>
      </c>
      <c r="L1071" s="25">
        <v>-3.33996579301082</v>
      </c>
      <c r="M1071" s="28">
        <v>1</v>
      </c>
      <c r="N1071" s="28">
        <v>1</v>
      </c>
    </row>
    <row r="1072" spans="7:14">
      <c r="G1072" s="24">
        <v>1071</v>
      </c>
      <c r="H1072" s="25">
        <f>S0_</f>
        <v>100</v>
      </c>
      <c r="I1072" s="25">
        <f ca="1">S0_*EXP((mu_-sigma_^2/2)*Dt_+sigma_*SQRT(Dt_)*_xlfn.NORM.INV(RAND(),0,1))</f>
        <v>115.868663204626</v>
      </c>
      <c r="J1072" s="25">
        <f ca="1">MAX(k_-I1072,0)*EXP(-rs_*T_)</f>
        <v>0</v>
      </c>
      <c r="K1072" s="25">
        <v>15.4073750922603</v>
      </c>
      <c r="L1072" s="25">
        <v>14.8373750922603</v>
      </c>
      <c r="M1072" s="28">
        <v>0</v>
      </c>
      <c r="N1072" s="28">
        <v>0</v>
      </c>
    </row>
    <row r="1073" spans="7:14">
      <c r="G1073" s="24">
        <v>1072</v>
      </c>
      <c r="H1073" s="25">
        <f>S0_</f>
        <v>100</v>
      </c>
      <c r="I1073" s="25">
        <f ca="1">S0_*EXP((mu_-sigma_^2/2)*Dt_+sigma_*SQRT(Dt_)*_xlfn.NORM.INV(RAND(),0,1))</f>
        <v>104.944093467798</v>
      </c>
      <c r="J1073" s="25">
        <f ca="1">MAX(k_-I1073,0)*EXP(-rs_*T_)</f>
        <v>0</v>
      </c>
      <c r="K1073" s="25">
        <v>4.80037300982919</v>
      </c>
      <c r="L1073" s="25">
        <v>4.23037300982919</v>
      </c>
      <c r="M1073" s="28">
        <v>0</v>
      </c>
      <c r="N1073" s="28">
        <v>0</v>
      </c>
    </row>
    <row r="1074" spans="7:14">
      <c r="G1074" s="24">
        <v>1073</v>
      </c>
      <c r="H1074" s="25">
        <f>S0_</f>
        <v>100</v>
      </c>
      <c r="I1074" s="25">
        <f ca="1">S0_*EXP((mu_-sigma_^2/2)*Dt_+sigma_*SQRT(Dt_)*_xlfn.NORM.INV(RAND(),0,1))</f>
        <v>108.079587915914</v>
      </c>
      <c r="J1074" s="25">
        <f ca="1">MAX(k_-I1074,0)*EXP(-rs_*T_)</f>
        <v>0</v>
      </c>
      <c r="K1074" s="25">
        <v>7.84472138617771</v>
      </c>
      <c r="L1074" s="25">
        <v>7.27472138617771</v>
      </c>
      <c r="M1074" s="28">
        <v>0</v>
      </c>
      <c r="N1074" s="28">
        <v>0</v>
      </c>
    </row>
    <row r="1075" spans="7:14">
      <c r="G1075" s="24">
        <v>1074</v>
      </c>
      <c r="H1075" s="25">
        <f>S0_</f>
        <v>100</v>
      </c>
      <c r="I1075" s="25">
        <f ca="1">S0_*EXP((mu_-sigma_^2/2)*Dt_+sigma_*SQRT(Dt_)*_xlfn.NORM.INV(RAND(),0,1))</f>
        <v>109.59758637311</v>
      </c>
      <c r="J1075" s="25">
        <f ca="1">MAX(k_-I1075,0)*EXP(-rs_*T_)</f>
        <v>0</v>
      </c>
      <c r="K1075" s="25">
        <v>9.31859296048055</v>
      </c>
      <c r="L1075" s="25">
        <v>8.74859296048055</v>
      </c>
      <c r="M1075" s="28">
        <v>0</v>
      </c>
      <c r="N1075" s="28">
        <v>0</v>
      </c>
    </row>
    <row r="1076" spans="7:14">
      <c r="G1076" s="24">
        <v>1075</v>
      </c>
      <c r="H1076" s="25">
        <f>S0_</f>
        <v>100</v>
      </c>
      <c r="I1076" s="25">
        <f ca="1">S0_*EXP((mu_-sigma_^2/2)*Dt_+sigma_*SQRT(Dt_)*_xlfn.NORM.INV(RAND(),0,1))</f>
        <v>108.316422187141</v>
      </c>
      <c r="J1076" s="25">
        <f ca="1">MAX(k_-I1076,0)*EXP(-rs_*T_)</f>
        <v>0</v>
      </c>
      <c r="K1076" s="25">
        <v>8.07467109299564</v>
      </c>
      <c r="L1076" s="25">
        <v>7.50467109299564</v>
      </c>
      <c r="M1076" s="28">
        <v>0</v>
      </c>
      <c r="N1076" s="28">
        <v>0</v>
      </c>
    </row>
    <row r="1077" spans="7:14">
      <c r="G1077" s="24">
        <v>1076</v>
      </c>
      <c r="H1077" s="25">
        <f>S0_</f>
        <v>100</v>
      </c>
      <c r="I1077" s="25">
        <f ca="1">S0_*EXP((mu_-sigma_^2/2)*Dt_+sigma_*SQRT(Dt_)*_xlfn.NORM.INV(RAND(),0,1))</f>
        <v>98.5598258604722</v>
      </c>
      <c r="J1077" s="25">
        <f ca="1">MAX(k_-I1077,0)*EXP(-rs_*T_)</f>
        <v>0</v>
      </c>
      <c r="K1077" s="25">
        <v>-1.39830954124788</v>
      </c>
      <c r="L1077" s="25">
        <v>-1.96830954124788</v>
      </c>
      <c r="M1077" s="28">
        <v>1</v>
      </c>
      <c r="N1077" s="28">
        <v>1</v>
      </c>
    </row>
    <row r="1078" spans="7:14">
      <c r="G1078" s="24">
        <v>1077</v>
      </c>
      <c r="H1078" s="25">
        <f>S0_</f>
        <v>100</v>
      </c>
      <c r="I1078" s="25">
        <f ca="1">S0_*EXP((mu_-sigma_^2/2)*Dt_+sigma_*SQRT(Dt_)*_xlfn.NORM.INV(RAND(),0,1))</f>
        <v>100.930712548667</v>
      </c>
      <c r="J1078" s="25">
        <f ca="1">MAX(k_-I1078,0)*EXP(-rs_*T_)</f>
        <v>0</v>
      </c>
      <c r="K1078" s="25">
        <v>0.903657551708912</v>
      </c>
      <c r="L1078" s="25">
        <v>0.333657551708912</v>
      </c>
      <c r="M1078" s="28">
        <v>0</v>
      </c>
      <c r="N1078" s="28">
        <v>0</v>
      </c>
    </row>
    <row r="1079" spans="7:14">
      <c r="G1079" s="24">
        <v>1078</v>
      </c>
      <c r="H1079" s="25">
        <f>S0_</f>
        <v>100</v>
      </c>
      <c r="I1079" s="25">
        <f ca="1">S0_*EXP((mu_-sigma_^2/2)*Dt_+sigma_*SQRT(Dt_)*_xlfn.NORM.INV(RAND(),0,1))</f>
        <v>106.77596776535</v>
      </c>
      <c r="J1079" s="25">
        <f ca="1">MAX(k_-I1079,0)*EXP(-rs_*T_)</f>
        <v>0</v>
      </c>
      <c r="K1079" s="25">
        <v>6.57899632927978</v>
      </c>
      <c r="L1079" s="25">
        <v>6.00899632927978</v>
      </c>
      <c r="M1079" s="28">
        <v>0</v>
      </c>
      <c r="N1079" s="28">
        <v>0</v>
      </c>
    </row>
    <row r="1080" spans="7:14">
      <c r="G1080" s="24">
        <v>1079</v>
      </c>
      <c r="H1080" s="25">
        <f>S0_</f>
        <v>100</v>
      </c>
      <c r="I1080" s="25">
        <f ca="1">S0_*EXP((mu_-sigma_^2/2)*Dt_+sigma_*SQRT(Dt_)*_xlfn.NORM.INV(RAND(),0,1))</f>
        <v>98.8552384894326</v>
      </c>
      <c r="J1080" s="25">
        <f ca="1">MAX(k_-I1080,0)*EXP(-rs_*T_)</f>
        <v>0</v>
      </c>
      <c r="K1080" s="25">
        <v>-1.11148429814508</v>
      </c>
      <c r="L1080" s="25">
        <v>-1.68148429814508</v>
      </c>
      <c r="M1080" s="28">
        <v>1</v>
      </c>
      <c r="N1080" s="28">
        <v>1</v>
      </c>
    </row>
    <row r="1081" spans="7:14">
      <c r="G1081" s="24">
        <v>1080</v>
      </c>
      <c r="H1081" s="25">
        <f>S0_</f>
        <v>100</v>
      </c>
      <c r="I1081" s="25">
        <f ca="1">S0_*EXP((mu_-sigma_^2/2)*Dt_+sigma_*SQRT(Dt_)*_xlfn.NORM.INV(RAND(),0,1))</f>
        <v>108.818983917562</v>
      </c>
      <c r="J1081" s="25">
        <f ca="1">MAX(k_-I1081,0)*EXP(-rs_*T_)</f>
        <v>0</v>
      </c>
      <c r="K1081" s="25">
        <v>8.5626237949825</v>
      </c>
      <c r="L1081" s="25">
        <v>7.9926237949825</v>
      </c>
      <c r="M1081" s="28">
        <v>0</v>
      </c>
      <c r="N1081" s="28">
        <v>0</v>
      </c>
    </row>
    <row r="1082" spans="7:14">
      <c r="G1082" s="24">
        <v>1081</v>
      </c>
      <c r="H1082" s="25">
        <f>S0_</f>
        <v>100</v>
      </c>
      <c r="I1082" s="25">
        <f ca="1">S0_*EXP((mu_-sigma_^2/2)*Dt_+sigma_*SQRT(Dt_)*_xlfn.NORM.INV(RAND(),0,1))</f>
        <v>102.133859934293</v>
      </c>
      <c r="J1082" s="25">
        <f ca="1">MAX(k_-I1082,0)*EXP(-rs_*T_)</f>
        <v>0</v>
      </c>
      <c r="K1082" s="25">
        <v>2.07183049876677</v>
      </c>
      <c r="L1082" s="25">
        <v>1.50183049876677</v>
      </c>
      <c r="M1082" s="28">
        <v>0</v>
      </c>
      <c r="N1082" s="28">
        <v>0</v>
      </c>
    </row>
    <row r="1083" spans="7:14">
      <c r="G1083" s="24">
        <v>1082</v>
      </c>
      <c r="H1083" s="25">
        <f>S0_</f>
        <v>100</v>
      </c>
      <c r="I1083" s="25">
        <f ca="1">S0_*EXP((mu_-sigma_^2/2)*Dt_+sigma_*SQRT(Dt_)*_xlfn.NORM.INV(RAND(),0,1))</f>
        <v>105.010609808799</v>
      </c>
      <c r="J1083" s="25">
        <f ca="1">MAX(k_-I1083,0)*EXP(-rs_*T_)</f>
        <v>0</v>
      </c>
      <c r="K1083" s="25">
        <v>4.86495577917446</v>
      </c>
      <c r="L1083" s="25">
        <v>4.29495577917446</v>
      </c>
      <c r="M1083" s="28">
        <v>0</v>
      </c>
      <c r="N1083" s="28">
        <v>0</v>
      </c>
    </row>
    <row r="1084" spans="7:14">
      <c r="G1084" s="24">
        <v>1083</v>
      </c>
      <c r="H1084" s="25">
        <f>S0_</f>
        <v>100</v>
      </c>
      <c r="I1084" s="25">
        <f ca="1">S0_*EXP((mu_-sigma_^2/2)*Dt_+sigma_*SQRT(Dt_)*_xlfn.NORM.INV(RAND(),0,1))</f>
        <v>83.3939181574148</v>
      </c>
      <c r="J1084" s="25">
        <f ca="1">MAX(k_-I1084,0)*EXP(-rs_*T_)</f>
        <v>13.2105649846792</v>
      </c>
      <c r="K1084" s="25">
        <v>-16.1233576176028</v>
      </c>
      <c r="L1084" s="25">
        <v>-3.48279263292358</v>
      </c>
      <c r="M1084" s="28">
        <v>1</v>
      </c>
      <c r="N1084" s="28">
        <v>1</v>
      </c>
    </row>
    <row r="1085" spans="7:14">
      <c r="G1085" s="24">
        <v>1084</v>
      </c>
      <c r="H1085" s="25">
        <f>S0_</f>
        <v>100</v>
      </c>
      <c r="I1085" s="25">
        <f ca="1">S0_*EXP((mu_-sigma_^2/2)*Dt_+sigma_*SQRT(Dt_)*_xlfn.NORM.INV(RAND(),0,1))</f>
        <v>124.12646465855</v>
      </c>
      <c r="J1085" s="25">
        <f ca="1">MAX(k_-I1085,0)*EXP(-rs_*T_)</f>
        <v>0</v>
      </c>
      <c r="K1085" s="25">
        <v>23.4251295053053</v>
      </c>
      <c r="L1085" s="25">
        <v>22.8551295053053</v>
      </c>
      <c r="M1085" s="28">
        <v>0</v>
      </c>
      <c r="N1085" s="28">
        <v>0</v>
      </c>
    </row>
    <row r="1086" spans="7:14">
      <c r="G1086" s="24">
        <v>1085</v>
      </c>
      <c r="H1086" s="25">
        <f>S0_</f>
        <v>100</v>
      </c>
      <c r="I1086" s="25">
        <f ca="1">S0_*EXP((mu_-sigma_^2/2)*Dt_+sigma_*SQRT(Dt_)*_xlfn.NORM.INV(RAND(),0,1))</f>
        <v>106.918201601389</v>
      </c>
      <c r="J1086" s="25">
        <f ca="1">MAX(k_-I1086,0)*EXP(-rs_*T_)</f>
        <v>0</v>
      </c>
      <c r="K1086" s="25">
        <v>6.71709555253495</v>
      </c>
      <c r="L1086" s="25">
        <v>6.14709555253495</v>
      </c>
      <c r="M1086" s="28">
        <v>0</v>
      </c>
      <c r="N1086" s="28">
        <v>0</v>
      </c>
    </row>
    <row r="1087" spans="7:14">
      <c r="G1087" s="24">
        <v>1086</v>
      </c>
      <c r="H1087" s="25">
        <f>S0_</f>
        <v>100</v>
      </c>
      <c r="I1087" s="25">
        <f ca="1">S0_*EXP((mu_-sigma_^2/2)*Dt_+sigma_*SQRT(Dt_)*_xlfn.NORM.INV(RAND(),0,1))</f>
        <v>112.298234432959</v>
      </c>
      <c r="J1087" s="25">
        <f ca="1">MAX(k_-I1087,0)*EXP(-rs_*T_)</f>
        <v>0</v>
      </c>
      <c r="K1087" s="25">
        <v>11.9407355514305</v>
      </c>
      <c r="L1087" s="25">
        <v>11.3707355514305</v>
      </c>
      <c r="M1087" s="28">
        <v>0</v>
      </c>
      <c r="N1087" s="28">
        <v>0</v>
      </c>
    </row>
    <row r="1088" spans="7:14">
      <c r="G1088" s="24">
        <v>1087</v>
      </c>
      <c r="H1088" s="25">
        <f>S0_</f>
        <v>100</v>
      </c>
      <c r="I1088" s="25">
        <f ca="1">S0_*EXP((mu_-sigma_^2/2)*Dt_+sigma_*SQRT(Dt_)*_xlfn.NORM.INV(RAND(),0,1))</f>
        <v>110.204337329499</v>
      </c>
      <c r="J1088" s="25">
        <f ca="1">MAX(k_-I1088,0)*EXP(-rs_*T_)</f>
        <v>0</v>
      </c>
      <c r="K1088" s="25">
        <v>9.90770619907723</v>
      </c>
      <c r="L1088" s="25">
        <v>9.33770619907723</v>
      </c>
      <c r="M1088" s="28">
        <v>0</v>
      </c>
      <c r="N1088" s="28">
        <v>0</v>
      </c>
    </row>
    <row r="1089" spans="7:14">
      <c r="G1089" s="24">
        <v>1088</v>
      </c>
      <c r="H1089" s="25">
        <f>S0_</f>
        <v>100</v>
      </c>
      <c r="I1089" s="25">
        <f ca="1">S0_*EXP((mu_-sigma_^2/2)*Dt_+sigma_*SQRT(Dt_)*_xlfn.NORM.INV(RAND(),0,1))</f>
        <v>109.27591989644</v>
      </c>
      <c r="J1089" s="25">
        <f ca="1">MAX(k_-I1089,0)*EXP(-rs_*T_)</f>
        <v>0</v>
      </c>
      <c r="K1089" s="25">
        <v>9.00627704597966</v>
      </c>
      <c r="L1089" s="25">
        <v>8.43627704597966</v>
      </c>
      <c r="M1089" s="28">
        <v>0</v>
      </c>
      <c r="N1089" s="28">
        <v>0</v>
      </c>
    </row>
    <row r="1090" spans="7:14">
      <c r="G1090" s="24">
        <v>1089</v>
      </c>
      <c r="H1090" s="25">
        <f>S0_</f>
        <v>100</v>
      </c>
      <c r="I1090" s="25">
        <f ca="1">S0_*EXP((mu_-sigma_^2/2)*Dt_+sigma_*SQRT(Dt_)*_xlfn.NORM.INV(RAND(),0,1))</f>
        <v>123.52606645983</v>
      </c>
      <c r="J1090" s="25">
        <f ca="1">MAX(k_-I1090,0)*EXP(-rs_*T_)</f>
        <v>0</v>
      </c>
      <c r="K1090" s="25">
        <v>22.8421843552881</v>
      </c>
      <c r="L1090" s="25">
        <v>22.2721843552881</v>
      </c>
      <c r="M1090" s="28">
        <v>0</v>
      </c>
      <c r="N1090" s="28">
        <v>0</v>
      </c>
    </row>
    <row r="1091" spans="7:14">
      <c r="G1091" s="24">
        <v>1090</v>
      </c>
      <c r="H1091" s="25">
        <f>S0_</f>
        <v>100</v>
      </c>
      <c r="I1091" s="25">
        <f ca="1">S0_*EXP((mu_-sigma_^2/2)*Dt_+sigma_*SQRT(Dt_)*_xlfn.NORM.INV(RAND(),0,1))</f>
        <v>98.1203516021905</v>
      </c>
      <c r="J1091" s="25">
        <f ca="1">MAX(k_-I1091,0)*EXP(-rs_*T_)</f>
        <v>0</v>
      </c>
      <c r="K1091" s="25">
        <v>-1.82500866854203</v>
      </c>
      <c r="L1091" s="25">
        <v>-2.39500866854203</v>
      </c>
      <c r="M1091" s="28">
        <v>1</v>
      </c>
      <c r="N1091" s="28">
        <v>1</v>
      </c>
    </row>
    <row r="1092" spans="7:14">
      <c r="G1092" s="24">
        <v>1091</v>
      </c>
      <c r="H1092" s="25">
        <f>S0_</f>
        <v>100</v>
      </c>
      <c r="I1092" s="25">
        <f ca="1">S0_*EXP((mu_-sigma_^2/2)*Dt_+sigma_*SQRT(Dt_)*_xlfn.NORM.INV(RAND(),0,1))</f>
        <v>118.939277773797</v>
      </c>
      <c r="J1092" s="25">
        <f ca="1">MAX(k_-I1092,0)*EXP(-rs_*T_)</f>
        <v>0</v>
      </c>
      <c r="K1092" s="25">
        <v>18.3887295908035</v>
      </c>
      <c r="L1092" s="25">
        <v>17.8187295908035</v>
      </c>
      <c r="M1092" s="28">
        <v>0</v>
      </c>
      <c r="N1092" s="28">
        <v>0</v>
      </c>
    </row>
    <row r="1093" spans="7:14">
      <c r="G1093" s="24">
        <v>1092</v>
      </c>
      <c r="H1093" s="25">
        <f>S0_</f>
        <v>100</v>
      </c>
      <c r="I1093" s="25">
        <f ca="1">S0_*EXP((mu_-sigma_^2/2)*Dt_+sigma_*SQRT(Dt_)*_xlfn.NORM.INV(RAND(),0,1))</f>
        <v>93.8482028843041</v>
      </c>
      <c r="J1093" s="25">
        <f ca="1">MAX(k_-I1093,0)*EXP(-rs_*T_)</f>
        <v>3.06017713968963</v>
      </c>
      <c r="K1093" s="25">
        <v>-5.97296977261321</v>
      </c>
      <c r="L1093" s="25">
        <v>-3.48279263292358</v>
      </c>
      <c r="M1093" s="28">
        <v>1</v>
      </c>
      <c r="N1093" s="28">
        <v>1</v>
      </c>
    </row>
    <row r="1094" spans="7:14">
      <c r="G1094" s="24">
        <v>1093</v>
      </c>
      <c r="H1094" s="25">
        <f>S0_</f>
        <v>100</v>
      </c>
      <c r="I1094" s="25">
        <f ca="1">S0_*EXP((mu_-sigma_^2/2)*Dt_+sigma_*SQRT(Dt_)*_xlfn.NORM.INV(RAND(),0,1))</f>
        <v>94.9962276801365</v>
      </c>
      <c r="J1094" s="25">
        <f ca="1">MAX(k_-I1094,0)*EXP(-rs_*T_)</f>
        <v>1.94552441711824</v>
      </c>
      <c r="K1094" s="25">
        <v>-4.85831705004182</v>
      </c>
      <c r="L1094" s="25">
        <v>-3.48279263292358</v>
      </c>
      <c r="M1094" s="28">
        <v>1</v>
      </c>
      <c r="N1094" s="28">
        <v>1</v>
      </c>
    </row>
    <row r="1095" spans="7:14">
      <c r="G1095" s="24">
        <v>1094</v>
      </c>
      <c r="H1095" s="25">
        <f>S0_</f>
        <v>100</v>
      </c>
      <c r="I1095" s="25">
        <f ca="1">S0_*EXP((mu_-sigma_^2/2)*Dt_+sigma_*SQRT(Dt_)*_xlfn.NORM.INV(RAND(),0,1))</f>
        <v>104.924269327169</v>
      </c>
      <c r="J1095" s="25">
        <f ca="1">MAX(k_-I1095,0)*EXP(-rs_*T_)</f>
        <v>0</v>
      </c>
      <c r="K1095" s="25">
        <v>4.78112513957014</v>
      </c>
      <c r="L1095" s="25">
        <v>4.21112513957014</v>
      </c>
      <c r="M1095" s="28">
        <v>0</v>
      </c>
      <c r="N1095" s="28">
        <v>0</v>
      </c>
    </row>
    <row r="1096" spans="7:14">
      <c r="G1096" s="24">
        <v>1095</v>
      </c>
      <c r="H1096" s="25">
        <f>S0_</f>
        <v>100</v>
      </c>
      <c r="I1096" s="25">
        <f ca="1">S0_*EXP((mu_-sigma_^2/2)*Dt_+sigma_*SQRT(Dt_)*_xlfn.NORM.INV(RAND(),0,1))</f>
        <v>112.148125083464</v>
      </c>
      <c r="J1096" s="25">
        <f ca="1">MAX(k_-I1096,0)*EXP(-rs_*T_)</f>
        <v>0</v>
      </c>
      <c r="K1096" s="25">
        <v>11.7949897489829</v>
      </c>
      <c r="L1096" s="25">
        <v>11.2249897489829</v>
      </c>
      <c r="M1096" s="28">
        <v>0</v>
      </c>
      <c r="N1096" s="28">
        <v>0</v>
      </c>
    </row>
    <row r="1097" spans="7:14">
      <c r="G1097" s="24">
        <v>1096</v>
      </c>
      <c r="H1097" s="25">
        <f>S0_</f>
        <v>100</v>
      </c>
      <c r="I1097" s="25">
        <f ca="1">S0_*EXP((mu_-sigma_^2/2)*Dt_+sigma_*SQRT(Dt_)*_xlfn.NORM.INV(RAND(),0,1))</f>
        <v>95.8151174725188</v>
      </c>
      <c r="J1097" s="25">
        <f ca="1">MAX(k_-I1097,0)*EXP(-rs_*T_)</f>
        <v>1.15043903230904</v>
      </c>
      <c r="K1097" s="25">
        <v>-4.06323166523263</v>
      </c>
      <c r="L1097" s="25">
        <v>-3.48279263292358</v>
      </c>
      <c r="M1097" s="28">
        <v>1</v>
      </c>
      <c r="N1097" s="28">
        <v>1</v>
      </c>
    </row>
    <row r="1098" spans="7:14">
      <c r="G1098" s="24">
        <v>1097</v>
      </c>
      <c r="H1098" s="25">
        <f>S0_</f>
        <v>100</v>
      </c>
      <c r="I1098" s="25">
        <f ca="1">S0_*EXP((mu_-sigma_^2/2)*Dt_+sigma_*SQRT(Dt_)*_xlfn.NORM.INV(RAND(),0,1))</f>
        <v>81.2289831141103</v>
      </c>
      <c r="J1098" s="25">
        <f ca="1">MAX(k_-I1098,0)*EXP(-rs_*T_)</f>
        <v>15.3125672663109</v>
      </c>
      <c r="K1098" s="25">
        <v>-18.2253598992345</v>
      </c>
      <c r="L1098" s="25">
        <v>-3.48279263292358</v>
      </c>
      <c r="M1098" s="28">
        <v>1</v>
      </c>
      <c r="N1098" s="28">
        <v>1</v>
      </c>
    </row>
    <row r="1099" spans="7:14">
      <c r="G1099" s="24">
        <v>1098</v>
      </c>
      <c r="H1099" s="25">
        <f>S0_</f>
        <v>100</v>
      </c>
      <c r="I1099" s="25">
        <f ca="1">S0_*EXP((mu_-sigma_^2/2)*Dt_+sigma_*SQRT(Dt_)*_xlfn.NORM.INV(RAND(),0,1))</f>
        <v>97.9234795550062</v>
      </c>
      <c r="J1099" s="25">
        <f ca="1">MAX(k_-I1099,0)*EXP(-rs_*T_)</f>
        <v>0</v>
      </c>
      <c r="K1099" s="25">
        <v>-2.01615781809768</v>
      </c>
      <c r="L1099" s="25">
        <v>-2.58615781809768</v>
      </c>
      <c r="M1099" s="28">
        <v>1</v>
      </c>
      <c r="N1099" s="28">
        <v>1</v>
      </c>
    </row>
    <row r="1100" spans="7:14">
      <c r="G1100" s="24">
        <v>1099</v>
      </c>
      <c r="H1100" s="25">
        <f>S0_</f>
        <v>100</v>
      </c>
      <c r="I1100" s="25">
        <f ca="1">S0_*EXP((mu_-sigma_^2/2)*Dt_+sigma_*SQRT(Dt_)*_xlfn.NORM.INV(RAND(),0,1))</f>
        <v>89.1660462944211</v>
      </c>
      <c r="J1100" s="25">
        <f ca="1">MAX(k_-I1100,0)*EXP(-rs_*T_)</f>
        <v>7.60622754675819</v>
      </c>
      <c r="K1100" s="25">
        <v>-10.5190201796818</v>
      </c>
      <c r="L1100" s="25">
        <v>-3.48279263292358</v>
      </c>
      <c r="M1100" s="28">
        <v>1</v>
      </c>
      <c r="N1100" s="28">
        <v>1</v>
      </c>
    </row>
    <row r="1101" spans="7:14">
      <c r="G1101" s="24">
        <v>1100</v>
      </c>
      <c r="H1101" s="25">
        <f>S0_</f>
        <v>100</v>
      </c>
      <c r="I1101" s="25">
        <f ca="1">S0_*EXP((mu_-sigma_^2/2)*Dt_+sigma_*SQRT(Dt_)*_xlfn.NORM.INV(RAND(),0,1))</f>
        <v>99.9512447818284</v>
      </c>
      <c r="J1101" s="25">
        <f ca="1">MAX(k_-I1101,0)*EXP(-rs_*T_)</f>
        <v>0</v>
      </c>
      <c r="K1101" s="25">
        <v>-0.0473379467689324</v>
      </c>
      <c r="L1101" s="25">
        <v>-0.617337946768932</v>
      </c>
      <c r="M1101" s="28">
        <v>1</v>
      </c>
      <c r="N1101" s="28">
        <v>1</v>
      </c>
    </row>
    <row r="1102" spans="7:14">
      <c r="G1102" s="24">
        <v>1101</v>
      </c>
      <c r="H1102" s="25">
        <f>S0_</f>
        <v>100</v>
      </c>
      <c r="I1102" s="25">
        <f ca="1">S0_*EXP((mu_-sigma_^2/2)*Dt_+sigma_*SQRT(Dt_)*_xlfn.NORM.INV(RAND(),0,1))</f>
        <v>90.0490289049569</v>
      </c>
      <c r="J1102" s="25">
        <f ca="1">MAX(k_-I1102,0)*EXP(-rs_*T_)</f>
        <v>6.7489124657688</v>
      </c>
      <c r="K1102" s="25">
        <v>-9.66170509869238</v>
      </c>
      <c r="L1102" s="25">
        <v>-3.48279263292358</v>
      </c>
      <c r="M1102" s="28">
        <v>1</v>
      </c>
      <c r="N1102" s="28">
        <v>1</v>
      </c>
    </row>
    <row r="1103" spans="7:14">
      <c r="G1103" s="24">
        <v>1102</v>
      </c>
      <c r="H1103" s="25">
        <f>S0_</f>
        <v>100</v>
      </c>
      <c r="I1103" s="25">
        <f ca="1">S0_*EXP((mu_-sigma_^2/2)*Dt_+sigma_*SQRT(Dt_)*_xlfn.NORM.INV(RAND(),0,1))</f>
        <v>97.9814871680897</v>
      </c>
      <c r="J1103" s="25">
        <f ca="1">MAX(k_-I1103,0)*EXP(-rs_*T_)</f>
        <v>0</v>
      </c>
      <c r="K1103" s="25">
        <v>-1.95983643541664</v>
      </c>
      <c r="L1103" s="25">
        <v>-2.52983643541664</v>
      </c>
      <c r="M1103" s="28">
        <v>1</v>
      </c>
      <c r="N1103" s="28">
        <v>1</v>
      </c>
    </row>
    <row r="1104" spans="7:14">
      <c r="G1104" s="24">
        <v>1103</v>
      </c>
      <c r="H1104" s="25">
        <f>S0_</f>
        <v>100</v>
      </c>
      <c r="I1104" s="25">
        <f ca="1">S0_*EXP((mu_-sigma_^2/2)*Dt_+sigma_*SQRT(Dt_)*_xlfn.NORM.INV(RAND(),0,1))</f>
        <v>118.501391409226</v>
      </c>
      <c r="J1104" s="25">
        <f ca="1">MAX(k_-I1104,0)*EXP(-rs_*T_)</f>
        <v>0</v>
      </c>
      <c r="K1104" s="25">
        <v>17.9635721985428</v>
      </c>
      <c r="L1104" s="25">
        <v>17.3935721985428</v>
      </c>
      <c r="M1104" s="28">
        <v>0</v>
      </c>
      <c r="N1104" s="28">
        <v>0</v>
      </c>
    </row>
    <row r="1105" spans="7:14">
      <c r="G1105" s="24">
        <v>1104</v>
      </c>
      <c r="H1105" s="25">
        <f>S0_</f>
        <v>100</v>
      </c>
      <c r="I1105" s="25">
        <f ca="1">S0_*EXP((mu_-sigma_^2/2)*Dt_+sigma_*SQRT(Dt_)*_xlfn.NORM.INV(RAND(),0,1))</f>
        <v>98.4028842736514</v>
      </c>
      <c r="J1105" s="25">
        <f ca="1">MAX(k_-I1105,0)*EXP(-rs_*T_)</f>
        <v>0</v>
      </c>
      <c r="K1105" s="25">
        <v>-1.55068897387823</v>
      </c>
      <c r="L1105" s="25">
        <v>-2.12068897387823</v>
      </c>
      <c r="M1105" s="28">
        <v>1</v>
      </c>
      <c r="N1105" s="28">
        <v>1</v>
      </c>
    </row>
    <row r="1106" spans="7:14">
      <c r="G1106" s="24">
        <v>1105</v>
      </c>
      <c r="H1106" s="25">
        <f>S0_</f>
        <v>100</v>
      </c>
      <c r="I1106" s="25">
        <f ca="1">S0_*EXP((mu_-sigma_^2/2)*Dt_+sigma_*SQRT(Dt_)*_xlfn.NORM.INV(RAND(),0,1))</f>
        <v>91.4353473577988</v>
      </c>
      <c r="J1106" s="25">
        <f ca="1">MAX(k_-I1106,0)*EXP(-rs_*T_)</f>
        <v>5.4028930736608</v>
      </c>
      <c r="K1106" s="25">
        <v>-8.31568570658438</v>
      </c>
      <c r="L1106" s="25">
        <v>-3.48279263292358</v>
      </c>
      <c r="M1106" s="28">
        <v>1</v>
      </c>
      <c r="N1106" s="28">
        <v>1</v>
      </c>
    </row>
    <row r="1107" spans="7:14">
      <c r="G1107" s="24">
        <v>1106</v>
      </c>
      <c r="H1107" s="25">
        <f>S0_</f>
        <v>100</v>
      </c>
      <c r="I1107" s="25">
        <f ca="1">S0_*EXP((mu_-sigma_^2/2)*Dt_+sigma_*SQRT(Dt_)*_xlfn.NORM.INV(RAND(),0,1))</f>
        <v>111.565446772489</v>
      </c>
      <c r="J1107" s="25">
        <f ca="1">MAX(k_-I1107,0)*EXP(-rs_*T_)</f>
        <v>0</v>
      </c>
      <c r="K1107" s="25">
        <v>11.2292493851257</v>
      </c>
      <c r="L1107" s="25">
        <v>10.6592493851257</v>
      </c>
      <c r="M1107" s="28">
        <v>0</v>
      </c>
      <c r="N1107" s="28">
        <v>0</v>
      </c>
    </row>
    <row r="1108" spans="7:14">
      <c r="G1108" s="24">
        <v>1107</v>
      </c>
      <c r="H1108" s="25">
        <f>S0_</f>
        <v>100</v>
      </c>
      <c r="I1108" s="25">
        <f ca="1">S0_*EXP((mu_-sigma_^2/2)*Dt_+sigma_*SQRT(Dt_)*_xlfn.NORM.INV(RAND(),0,1))</f>
        <v>94.05172377808</v>
      </c>
      <c r="J1108" s="25">
        <f ca="1">MAX(k_-I1108,0)*EXP(-rs_*T_)</f>
        <v>2.86257241967743</v>
      </c>
      <c r="K1108" s="25">
        <v>-5.77536505260102</v>
      </c>
      <c r="L1108" s="25">
        <v>-3.48279263292358</v>
      </c>
      <c r="M1108" s="28">
        <v>1</v>
      </c>
      <c r="N1108" s="28">
        <v>1</v>
      </c>
    </row>
    <row r="1109" spans="7:14">
      <c r="G1109" s="24">
        <v>1108</v>
      </c>
      <c r="H1109" s="25">
        <f>S0_</f>
        <v>100</v>
      </c>
      <c r="I1109" s="25">
        <f ca="1">S0_*EXP((mu_-sigma_^2/2)*Dt_+sigma_*SQRT(Dt_)*_xlfn.NORM.INV(RAND(),0,1))</f>
        <v>100.450644835852</v>
      </c>
      <c r="J1109" s="25">
        <f ca="1">MAX(k_-I1109,0)*EXP(-rs_*T_)</f>
        <v>0</v>
      </c>
      <c r="K1109" s="25">
        <v>0.437544985977954</v>
      </c>
      <c r="L1109" s="25">
        <v>-0.132455014022046</v>
      </c>
      <c r="M1109" s="28">
        <v>0</v>
      </c>
      <c r="N1109" s="28">
        <v>1</v>
      </c>
    </row>
    <row r="1110" spans="7:14">
      <c r="G1110" s="24">
        <v>1109</v>
      </c>
      <c r="H1110" s="25">
        <f>S0_</f>
        <v>100</v>
      </c>
      <c r="I1110" s="25">
        <f ca="1">S0_*EXP((mu_-sigma_^2/2)*Dt_+sigma_*SQRT(Dt_)*_xlfn.NORM.INV(RAND(),0,1))</f>
        <v>98.8092371275578</v>
      </c>
      <c r="J1110" s="25">
        <f ca="1">MAX(k_-I1110,0)*EXP(-rs_*T_)</f>
        <v>0</v>
      </c>
      <c r="K1110" s="25">
        <v>-1.15614844080289</v>
      </c>
      <c r="L1110" s="25">
        <v>-1.72614844080289</v>
      </c>
      <c r="M1110" s="28">
        <v>1</v>
      </c>
      <c r="N1110" s="28">
        <v>1</v>
      </c>
    </row>
    <row r="1111" spans="7:14">
      <c r="G1111" s="24">
        <v>1110</v>
      </c>
      <c r="H1111" s="25">
        <f>S0_</f>
        <v>100</v>
      </c>
      <c r="I1111" s="25">
        <f ca="1">S0_*EXP((mu_-sigma_^2/2)*Dt_+sigma_*SQRT(Dt_)*_xlfn.NORM.INV(RAND(),0,1))</f>
        <v>101.720683562475</v>
      </c>
      <c r="J1111" s="25">
        <f ca="1">MAX(k_-I1111,0)*EXP(-rs_*T_)</f>
        <v>0</v>
      </c>
      <c r="K1111" s="25">
        <v>1.6706648014567</v>
      </c>
      <c r="L1111" s="25">
        <v>1.1006648014567</v>
      </c>
      <c r="M1111" s="28">
        <v>0</v>
      </c>
      <c r="N1111" s="28">
        <v>0</v>
      </c>
    </row>
    <row r="1112" spans="7:14">
      <c r="G1112" s="24">
        <v>1111</v>
      </c>
      <c r="H1112" s="25">
        <f>S0_</f>
        <v>100</v>
      </c>
      <c r="I1112" s="25">
        <f ca="1">S0_*EXP((mu_-sigma_^2/2)*Dt_+sigma_*SQRT(Dt_)*_xlfn.NORM.INV(RAND(),0,1))</f>
        <v>125.761400182876</v>
      </c>
      <c r="J1112" s="25">
        <f ca="1">MAX(k_-I1112,0)*EXP(-rs_*T_)</f>
        <v>0</v>
      </c>
      <c r="K1112" s="25">
        <v>25.0125388888259</v>
      </c>
      <c r="L1112" s="25">
        <v>24.4425388888259</v>
      </c>
      <c r="M1112" s="28">
        <v>0</v>
      </c>
      <c r="N1112" s="28">
        <v>0</v>
      </c>
    </row>
    <row r="1113" spans="7:14">
      <c r="G1113" s="24">
        <v>1112</v>
      </c>
      <c r="H1113" s="25">
        <f>S0_</f>
        <v>100</v>
      </c>
      <c r="I1113" s="25">
        <f ca="1">S0_*EXP((mu_-sigma_^2/2)*Dt_+sigma_*SQRT(Dt_)*_xlfn.NORM.INV(RAND(),0,1))</f>
        <v>101.099400508607</v>
      </c>
      <c r="J1113" s="25">
        <f ca="1">MAX(k_-I1113,0)*EXP(-rs_*T_)</f>
        <v>0</v>
      </c>
      <c r="K1113" s="25">
        <v>1.06744190070122</v>
      </c>
      <c r="L1113" s="25">
        <v>0.497441900701223</v>
      </c>
      <c r="M1113" s="28">
        <v>0</v>
      </c>
      <c r="N1113" s="28">
        <v>0</v>
      </c>
    </row>
    <row r="1114" spans="7:14">
      <c r="G1114" s="24">
        <v>1113</v>
      </c>
      <c r="H1114" s="25">
        <f>S0_</f>
        <v>100</v>
      </c>
      <c r="I1114" s="25">
        <f ca="1">S0_*EXP((mu_-sigma_^2/2)*Dt_+sigma_*SQRT(Dt_)*_xlfn.NORM.INV(RAND(),0,1))</f>
        <v>113.607353247644</v>
      </c>
      <c r="J1114" s="25">
        <f ca="1">MAX(k_-I1114,0)*EXP(-rs_*T_)</f>
        <v>0</v>
      </c>
      <c r="K1114" s="25">
        <v>13.2117994311088</v>
      </c>
      <c r="L1114" s="25">
        <v>12.6417994311088</v>
      </c>
      <c r="M1114" s="28">
        <v>0</v>
      </c>
      <c r="N1114" s="28">
        <v>0</v>
      </c>
    </row>
    <row r="1115" spans="7:14">
      <c r="G1115" s="24">
        <v>1114</v>
      </c>
      <c r="H1115" s="25">
        <f>S0_</f>
        <v>100</v>
      </c>
      <c r="I1115" s="25">
        <f ca="1">S0_*EXP((mu_-sigma_^2/2)*Dt_+sigma_*SQRT(Dt_)*_xlfn.NORM.INV(RAND(),0,1))</f>
        <v>114.179214494212</v>
      </c>
      <c r="J1115" s="25">
        <f ca="1">MAX(k_-I1115,0)*EXP(-rs_*T_)</f>
        <v>0</v>
      </c>
      <c r="K1115" s="25">
        <v>13.7670371731281</v>
      </c>
      <c r="L1115" s="25">
        <v>13.1970371731281</v>
      </c>
      <c r="M1115" s="28">
        <v>0</v>
      </c>
      <c r="N1115" s="28">
        <v>0</v>
      </c>
    </row>
    <row r="1116" spans="7:14">
      <c r="G1116" s="24">
        <v>1115</v>
      </c>
      <c r="H1116" s="25">
        <f>S0_</f>
        <v>100</v>
      </c>
      <c r="I1116" s="25">
        <f ca="1">S0_*EXP((mu_-sigma_^2/2)*Dt_+sigma_*SQRT(Dt_)*_xlfn.NORM.INV(RAND(),0,1))</f>
        <v>95.4112062906263</v>
      </c>
      <c r="J1116" s="25">
        <f ca="1">MAX(k_-I1116,0)*EXP(-rs_*T_)</f>
        <v>1.54260887063298</v>
      </c>
      <c r="K1116" s="25">
        <v>-4.45540150355656</v>
      </c>
      <c r="L1116" s="25">
        <v>-3.48279263292358</v>
      </c>
      <c r="M1116" s="28">
        <v>1</v>
      </c>
      <c r="N1116" s="28">
        <v>1</v>
      </c>
    </row>
    <row r="1117" spans="7:14">
      <c r="G1117" s="24">
        <v>1116</v>
      </c>
      <c r="H1117" s="25">
        <f>S0_</f>
        <v>100</v>
      </c>
      <c r="I1117" s="25">
        <f ca="1">S0_*EXP((mu_-sigma_^2/2)*Dt_+sigma_*SQRT(Dt_)*_xlfn.NORM.INV(RAND(),0,1))</f>
        <v>101.816353614746</v>
      </c>
      <c r="J1117" s="25">
        <f ca="1">MAX(k_-I1117,0)*EXP(-rs_*T_)</f>
        <v>0</v>
      </c>
      <c r="K1117" s="25">
        <v>1.76355380927221</v>
      </c>
      <c r="L1117" s="25">
        <v>1.19355380927221</v>
      </c>
      <c r="M1117" s="28">
        <v>0</v>
      </c>
      <c r="N1117" s="28">
        <v>0</v>
      </c>
    </row>
    <row r="1118" spans="7:14">
      <c r="G1118" s="24">
        <v>1117</v>
      </c>
      <c r="H1118" s="25">
        <f>S0_</f>
        <v>100</v>
      </c>
      <c r="I1118" s="25">
        <f ca="1">S0_*EXP((mu_-sigma_^2/2)*Dt_+sigma_*SQRT(Dt_)*_xlfn.NORM.INV(RAND(),0,1))</f>
        <v>102.129055206915</v>
      </c>
      <c r="J1118" s="25">
        <f ca="1">MAX(k_-I1118,0)*EXP(-rs_*T_)</f>
        <v>0</v>
      </c>
      <c r="K1118" s="25">
        <v>2.06716544059649</v>
      </c>
      <c r="L1118" s="25">
        <v>1.49716544059649</v>
      </c>
      <c r="M1118" s="28">
        <v>0</v>
      </c>
      <c r="N1118" s="28">
        <v>0</v>
      </c>
    </row>
    <row r="1119" spans="7:14">
      <c r="G1119" s="24">
        <v>1118</v>
      </c>
      <c r="H1119" s="25">
        <f>S0_</f>
        <v>100</v>
      </c>
      <c r="I1119" s="25">
        <f ca="1">S0_*EXP((mu_-sigma_^2/2)*Dt_+sigma_*SQRT(Dt_)*_xlfn.NORM.INV(RAND(),0,1))</f>
        <v>106.354278900769</v>
      </c>
      <c r="J1119" s="25">
        <f ca="1">MAX(k_-I1119,0)*EXP(-rs_*T_)</f>
        <v>0</v>
      </c>
      <c r="K1119" s="25">
        <v>6.16956558990016</v>
      </c>
      <c r="L1119" s="25">
        <v>5.59956558990016</v>
      </c>
      <c r="M1119" s="28">
        <v>0</v>
      </c>
      <c r="N1119" s="28">
        <v>0</v>
      </c>
    </row>
    <row r="1120" spans="7:14">
      <c r="G1120" s="24">
        <v>1119</v>
      </c>
      <c r="H1120" s="25">
        <f>S0_</f>
        <v>100</v>
      </c>
      <c r="I1120" s="25">
        <f ca="1">S0_*EXP((mu_-sigma_^2/2)*Dt_+sigma_*SQRT(Dt_)*_xlfn.NORM.INV(RAND(),0,1))</f>
        <v>117.461024760309</v>
      </c>
      <c r="J1120" s="25">
        <f ca="1">MAX(k_-I1120,0)*EXP(-rs_*T_)</f>
        <v>0</v>
      </c>
      <c r="K1120" s="25">
        <v>16.9534480950415</v>
      </c>
      <c r="L1120" s="25">
        <v>16.3834480950415</v>
      </c>
      <c r="M1120" s="28">
        <v>0</v>
      </c>
      <c r="N1120" s="28">
        <v>0</v>
      </c>
    </row>
    <row r="1121" spans="7:14">
      <c r="G1121" s="24">
        <v>1120</v>
      </c>
      <c r="H1121" s="25">
        <f>S0_</f>
        <v>100</v>
      </c>
      <c r="I1121" s="25">
        <f ca="1">S0_*EXP((mu_-sigma_^2/2)*Dt_+sigma_*SQRT(Dt_)*_xlfn.NORM.INV(RAND(),0,1))</f>
        <v>89.7575740386026</v>
      </c>
      <c r="J1121" s="25">
        <f ca="1">MAX(k_-I1121,0)*EXP(-rs_*T_)</f>
        <v>7.03189499495094</v>
      </c>
      <c r="K1121" s="25">
        <v>-9.94468762787452</v>
      </c>
      <c r="L1121" s="25">
        <v>-3.48279263292358</v>
      </c>
      <c r="M1121" s="28">
        <v>1</v>
      </c>
      <c r="N1121" s="28">
        <v>1</v>
      </c>
    </row>
    <row r="1122" spans="7:14">
      <c r="G1122" s="24">
        <v>1121</v>
      </c>
      <c r="H1122" s="25">
        <f>S0_</f>
        <v>100</v>
      </c>
      <c r="I1122" s="25">
        <f ca="1">S0_*EXP((mu_-sigma_^2/2)*Dt_+sigma_*SQRT(Dt_)*_xlfn.NORM.INV(RAND(),0,1))</f>
        <v>106.450258600658</v>
      </c>
      <c r="J1122" s="25">
        <f ca="1">MAX(k_-I1122,0)*EXP(-rs_*T_)</f>
        <v>0</v>
      </c>
      <c r="K1122" s="25">
        <v>6.26275524414992</v>
      </c>
      <c r="L1122" s="25">
        <v>5.69275524414992</v>
      </c>
      <c r="M1122" s="28">
        <v>0</v>
      </c>
      <c r="N1122" s="28">
        <v>0</v>
      </c>
    </row>
    <row r="1123" spans="7:14">
      <c r="G1123" s="24">
        <v>1122</v>
      </c>
      <c r="H1123" s="25">
        <f>S0_</f>
        <v>100</v>
      </c>
      <c r="I1123" s="25">
        <f ca="1">S0_*EXP((mu_-sigma_^2/2)*Dt_+sigma_*SQRT(Dt_)*_xlfn.NORM.INV(RAND(),0,1))</f>
        <v>116.543540818523</v>
      </c>
      <c r="J1123" s="25">
        <f ca="1">MAX(k_-I1123,0)*EXP(-rs_*T_)</f>
        <v>0</v>
      </c>
      <c r="K1123" s="25">
        <v>16.0626346062217</v>
      </c>
      <c r="L1123" s="25">
        <v>15.4926346062217</v>
      </c>
      <c r="M1123" s="28">
        <v>0</v>
      </c>
      <c r="N1123" s="28">
        <v>0</v>
      </c>
    </row>
    <row r="1124" spans="7:14">
      <c r="G1124" s="24">
        <v>1123</v>
      </c>
      <c r="H1124" s="25">
        <f>S0_</f>
        <v>100</v>
      </c>
      <c r="I1124" s="25">
        <f ca="1">S0_*EXP((mu_-sigma_^2/2)*Dt_+sigma_*SQRT(Dt_)*_xlfn.NORM.INV(RAND(),0,1))</f>
        <v>87.8640911790491</v>
      </c>
      <c r="J1124" s="25">
        <f ca="1">MAX(k_-I1124,0)*EXP(-rs_*T_)</f>
        <v>8.87033596957583</v>
      </c>
      <c r="K1124" s="25">
        <v>-11.7831286024994</v>
      </c>
      <c r="L1124" s="25">
        <v>-3.48279263292358</v>
      </c>
      <c r="M1124" s="28">
        <v>1</v>
      </c>
      <c r="N1124" s="28">
        <v>1</v>
      </c>
    </row>
    <row r="1125" spans="7:14">
      <c r="G1125" s="24">
        <v>1124</v>
      </c>
      <c r="H1125" s="25">
        <f>S0_</f>
        <v>100</v>
      </c>
      <c r="I1125" s="25">
        <f ca="1">S0_*EXP((mu_-sigma_^2/2)*Dt_+sigma_*SQRT(Dt_)*_xlfn.NORM.INV(RAND(),0,1))</f>
        <v>112.356793859851</v>
      </c>
      <c r="J1125" s="25">
        <f ca="1">MAX(k_-I1125,0)*EXP(-rs_*T_)</f>
        <v>0</v>
      </c>
      <c r="K1125" s="25">
        <v>11.9975927071767</v>
      </c>
      <c r="L1125" s="25">
        <v>11.4275927071767</v>
      </c>
      <c r="M1125" s="28">
        <v>0</v>
      </c>
      <c r="N1125" s="28">
        <v>0</v>
      </c>
    </row>
    <row r="1126" spans="7:14">
      <c r="G1126" s="24">
        <v>1125</v>
      </c>
      <c r="H1126" s="25">
        <f>S0_</f>
        <v>100</v>
      </c>
      <c r="I1126" s="25">
        <f ca="1">S0_*EXP((mu_-sigma_^2/2)*Dt_+sigma_*SQRT(Dt_)*_xlfn.NORM.INV(RAND(),0,1))</f>
        <v>106.174896259465</v>
      </c>
      <c r="J1126" s="25">
        <f ca="1">MAX(k_-I1126,0)*EXP(-rs_*T_)</f>
        <v>0</v>
      </c>
      <c r="K1126" s="25">
        <v>5.99539744454593</v>
      </c>
      <c r="L1126" s="25">
        <v>5.42539744454593</v>
      </c>
      <c r="M1126" s="28">
        <v>0</v>
      </c>
      <c r="N1126" s="28">
        <v>0</v>
      </c>
    </row>
    <row r="1127" spans="7:14">
      <c r="G1127" s="24">
        <v>1126</v>
      </c>
      <c r="H1127" s="25">
        <f>S0_</f>
        <v>100</v>
      </c>
      <c r="I1127" s="25">
        <f ca="1">S0_*EXP((mu_-sigma_^2/2)*Dt_+sigma_*SQRT(Dt_)*_xlfn.NORM.INV(RAND(),0,1))</f>
        <v>103.251713751106</v>
      </c>
      <c r="J1127" s="25">
        <f ca="1">MAX(k_-I1127,0)*EXP(-rs_*T_)</f>
        <v>0</v>
      </c>
      <c r="K1127" s="25">
        <v>3.15718928619938</v>
      </c>
      <c r="L1127" s="25">
        <v>2.58718928619938</v>
      </c>
      <c r="M1127" s="28">
        <v>0</v>
      </c>
      <c r="N1127" s="28">
        <v>0</v>
      </c>
    </row>
    <row r="1128" spans="7:14">
      <c r="G1128" s="24">
        <v>1127</v>
      </c>
      <c r="H1128" s="25">
        <f>S0_</f>
        <v>100</v>
      </c>
      <c r="I1128" s="25">
        <f ca="1">S0_*EXP((mu_-sigma_^2/2)*Dt_+sigma_*SQRT(Dt_)*_xlfn.NORM.INV(RAND(),0,1))</f>
        <v>99.8331901622925</v>
      </c>
      <c r="J1128" s="25">
        <f ca="1">MAX(k_-I1128,0)*EXP(-rs_*T_)</f>
        <v>0</v>
      </c>
      <c r="K1128" s="25">
        <v>-0.161960822124504</v>
      </c>
      <c r="L1128" s="25">
        <v>-0.731960822124504</v>
      </c>
      <c r="M1128" s="28">
        <v>1</v>
      </c>
      <c r="N1128" s="28">
        <v>1</v>
      </c>
    </row>
    <row r="1129" spans="7:14">
      <c r="G1129" s="24">
        <v>1128</v>
      </c>
      <c r="H1129" s="25">
        <f>S0_</f>
        <v>100</v>
      </c>
      <c r="I1129" s="25">
        <f ca="1">S0_*EXP((mu_-sigma_^2/2)*Dt_+sigma_*SQRT(Dt_)*_xlfn.NORM.INV(RAND(),0,1))</f>
        <v>107.35743909237</v>
      </c>
      <c r="J1129" s="25">
        <f ca="1">MAX(k_-I1129,0)*EXP(-rs_*T_)</f>
        <v>0</v>
      </c>
      <c r="K1129" s="25">
        <v>7.14356479514642</v>
      </c>
      <c r="L1129" s="25">
        <v>6.57356479514642</v>
      </c>
      <c r="M1129" s="28">
        <v>0</v>
      </c>
      <c r="N1129" s="28">
        <v>0</v>
      </c>
    </row>
    <row r="1130" spans="7:14">
      <c r="G1130" s="24">
        <v>1129</v>
      </c>
      <c r="H1130" s="25">
        <f>S0_</f>
        <v>100</v>
      </c>
      <c r="I1130" s="25">
        <f ca="1">S0_*EXP((mu_-sigma_^2/2)*Dt_+sigma_*SQRT(Dt_)*_xlfn.NORM.INV(RAND(),0,1))</f>
        <v>99.677214258594</v>
      </c>
      <c r="J1130" s="25">
        <f ca="1">MAX(k_-I1130,0)*EXP(-rs_*T_)</f>
        <v>0</v>
      </c>
      <c r="K1130" s="25">
        <v>-0.313402643193344</v>
      </c>
      <c r="L1130" s="25">
        <v>-0.883402643193344</v>
      </c>
      <c r="M1130" s="28">
        <v>1</v>
      </c>
      <c r="N1130" s="28">
        <v>1</v>
      </c>
    </row>
    <row r="1131" spans="7:14">
      <c r="G1131" s="24">
        <v>1130</v>
      </c>
      <c r="H1131" s="25">
        <f>S0_</f>
        <v>100</v>
      </c>
      <c r="I1131" s="25">
        <f ca="1">S0_*EXP((mu_-sigma_^2/2)*Dt_+sigma_*SQRT(Dt_)*_xlfn.NORM.INV(RAND(),0,1))</f>
        <v>102.154459204391</v>
      </c>
      <c r="J1131" s="25">
        <f ca="1">MAX(k_-I1131,0)*EXP(-rs_*T_)</f>
        <v>0</v>
      </c>
      <c r="K1131" s="25">
        <v>2.09183096616162</v>
      </c>
      <c r="L1131" s="25">
        <v>1.52183096616162</v>
      </c>
      <c r="M1131" s="28">
        <v>0</v>
      </c>
      <c r="N1131" s="28">
        <v>0</v>
      </c>
    </row>
    <row r="1132" spans="7:14">
      <c r="G1132" s="24">
        <v>1131</v>
      </c>
      <c r="H1132" s="25">
        <f>S0_</f>
        <v>100</v>
      </c>
      <c r="I1132" s="25">
        <f ca="1">S0_*EXP((mu_-sigma_^2/2)*Dt_+sigma_*SQRT(Dt_)*_xlfn.NORM.INV(RAND(),0,1))</f>
        <v>98.1500265062832</v>
      </c>
      <c r="J1132" s="25">
        <f ca="1">MAX(k_-I1132,0)*EXP(-rs_*T_)</f>
        <v>0</v>
      </c>
      <c r="K1132" s="25">
        <v>-1.7961963878674</v>
      </c>
      <c r="L1132" s="25">
        <v>-2.3661963878674</v>
      </c>
      <c r="M1132" s="28">
        <v>1</v>
      </c>
      <c r="N1132" s="28">
        <v>1</v>
      </c>
    </row>
    <row r="1133" spans="7:14">
      <c r="G1133" s="24">
        <v>1132</v>
      </c>
      <c r="H1133" s="25">
        <f>S0_</f>
        <v>100</v>
      </c>
      <c r="I1133" s="25">
        <f ca="1">S0_*EXP((mu_-sigma_^2/2)*Dt_+sigma_*SQRT(Dt_)*_xlfn.NORM.INV(RAND(),0,1))</f>
        <v>103.692691461669</v>
      </c>
      <c r="J1133" s="25">
        <f ca="1">MAX(k_-I1133,0)*EXP(-rs_*T_)</f>
        <v>0</v>
      </c>
      <c r="K1133" s="25">
        <v>3.58534816173643</v>
      </c>
      <c r="L1133" s="25">
        <v>3.01534816173643</v>
      </c>
      <c r="M1133" s="28">
        <v>0</v>
      </c>
      <c r="N1133" s="28">
        <v>0</v>
      </c>
    </row>
    <row r="1134" spans="7:14">
      <c r="G1134" s="24">
        <v>1133</v>
      </c>
      <c r="H1134" s="25">
        <f>S0_</f>
        <v>100</v>
      </c>
      <c r="I1134" s="25">
        <f ca="1">S0_*EXP((mu_-sigma_^2/2)*Dt_+sigma_*SQRT(Dt_)*_xlfn.NORM.INV(RAND(),0,1))</f>
        <v>100.848596614667</v>
      </c>
      <c r="J1134" s="25">
        <f ca="1">MAX(k_-I1134,0)*EXP(-rs_*T_)</f>
        <v>0</v>
      </c>
      <c r="K1134" s="25">
        <v>0.823928655842462</v>
      </c>
      <c r="L1134" s="25">
        <v>0.253928655842462</v>
      </c>
      <c r="M1134" s="28">
        <v>0</v>
      </c>
      <c r="N1134" s="28">
        <v>0</v>
      </c>
    </row>
    <row r="1135" spans="7:14">
      <c r="G1135" s="24">
        <v>1134</v>
      </c>
      <c r="H1135" s="25">
        <f>S0_</f>
        <v>100</v>
      </c>
      <c r="I1135" s="25">
        <f ca="1">S0_*EXP((mu_-sigma_^2/2)*Dt_+sigma_*SQRT(Dt_)*_xlfn.NORM.INV(RAND(),0,1))</f>
        <v>107.414335531093</v>
      </c>
      <c r="J1135" s="25">
        <f ca="1">MAX(k_-I1135,0)*EXP(-rs_*T_)</f>
        <v>0</v>
      </c>
      <c r="K1135" s="25">
        <v>7.19880730433061</v>
      </c>
      <c r="L1135" s="25">
        <v>6.62880730433061</v>
      </c>
      <c r="M1135" s="28">
        <v>0</v>
      </c>
      <c r="N1135" s="28">
        <v>0</v>
      </c>
    </row>
    <row r="1136" spans="7:14">
      <c r="G1136" s="24">
        <v>1135</v>
      </c>
      <c r="H1136" s="25">
        <f>S0_</f>
        <v>100</v>
      </c>
      <c r="I1136" s="25">
        <f ca="1">S0_*EXP((mu_-sigma_^2/2)*Dt_+sigma_*SQRT(Dt_)*_xlfn.NORM.INV(RAND(),0,1))</f>
        <v>108.26047838962</v>
      </c>
      <c r="J1136" s="25">
        <f ca="1">MAX(k_-I1136,0)*EXP(-rs_*T_)</f>
        <v>0</v>
      </c>
      <c r="K1136" s="25">
        <v>8.02035353257022</v>
      </c>
      <c r="L1136" s="25">
        <v>7.45035353257022</v>
      </c>
      <c r="M1136" s="28">
        <v>0</v>
      </c>
      <c r="N1136" s="28">
        <v>0</v>
      </c>
    </row>
    <row r="1137" spans="7:14">
      <c r="G1137" s="24">
        <v>1136</v>
      </c>
      <c r="H1137" s="25">
        <f>S0_</f>
        <v>100</v>
      </c>
      <c r="I1137" s="25">
        <f ca="1">S0_*EXP((mu_-sigma_^2/2)*Dt_+sigma_*SQRT(Dt_)*_xlfn.NORM.INV(RAND(),0,1))</f>
        <v>105.517618017772</v>
      </c>
      <c r="J1137" s="25">
        <f ca="1">MAX(k_-I1137,0)*EXP(-rs_*T_)</f>
        <v>0</v>
      </c>
      <c r="K1137" s="25">
        <v>5.35722570448446</v>
      </c>
      <c r="L1137" s="25">
        <v>4.78722570448446</v>
      </c>
      <c r="M1137" s="28">
        <v>0</v>
      </c>
      <c r="N1137" s="28">
        <v>0</v>
      </c>
    </row>
    <row r="1138" spans="7:14">
      <c r="G1138" s="24">
        <v>1137</v>
      </c>
      <c r="H1138" s="25">
        <f>S0_</f>
        <v>100</v>
      </c>
      <c r="I1138" s="25">
        <f ca="1">S0_*EXP((mu_-sigma_^2/2)*Dt_+sigma_*SQRT(Dt_)*_xlfn.NORM.INV(RAND(),0,1))</f>
        <v>92.6438594431672</v>
      </c>
      <c r="J1138" s="25">
        <f ca="1">MAX(k_-I1138,0)*EXP(-rs_*T_)</f>
        <v>4.22951137397411</v>
      </c>
      <c r="K1138" s="25">
        <v>-7.14230400689769</v>
      </c>
      <c r="L1138" s="25">
        <v>-3.48279263292358</v>
      </c>
      <c r="M1138" s="28">
        <v>1</v>
      </c>
      <c r="N1138" s="28">
        <v>1</v>
      </c>
    </row>
    <row r="1139" spans="7:14">
      <c r="G1139" s="24">
        <v>1138</v>
      </c>
      <c r="H1139" s="25">
        <f>S0_</f>
        <v>100</v>
      </c>
      <c r="I1139" s="25">
        <f ca="1">S0_*EXP((mu_-sigma_^2/2)*Dt_+sigma_*SQRT(Dt_)*_xlfn.NORM.INV(RAND(),0,1))</f>
        <v>104.289147234554</v>
      </c>
      <c r="J1139" s="25">
        <f ca="1">MAX(k_-I1139,0)*EXP(-rs_*T_)</f>
        <v>0</v>
      </c>
      <c r="K1139" s="25">
        <v>4.16446548877749</v>
      </c>
      <c r="L1139" s="25">
        <v>3.59446548877749</v>
      </c>
      <c r="M1139" s="28">
        <v>0</v>
      </c>
      <c r="N1139" s="28">
        <v>0</v>
      </c>
    </row>
    <row r="1140" spans="7:14">
      <c r="G1140" s="24">
        <v>1139</v>
      </c>
      <c r="H1140" s="25">
        <f>S0_</f>
        <v>100</v>
      </c>
      <c r="I1140" s="25">
        <f ca="1">S0_*EXP((mu_-sigma_^2/2)*Dt_+sigma_*SQRT(Dt_)*_xlfn.NORM.INV(RAND(),0,1))</f>
        <v>91.2477558873535</v>
      </c>
      <c r="J1140" s="25">
        <f ca="1">MAX(k_-I1140,0)*EXP(-rs_*T_)</f>
        <v>5.58503142469823</v>
      </c>
      <c r="K1140" s="25">
        <v>-8.49782405762181</v>
      </c>
      <c r="L1140" s="25">
        <v>-3.48279263292358</v>
      </c>
      <c r="M1140" s="28">
        <v>1</v>
      </c>
      <c r="N1140" s="28">
        <v>1</v>
      </c>
    </row>
    <row r="1141" spans="7:14">
      <c r="G1141" s="24">
        <v>1140</v>
      </c>
      <c r="H1141" s="25">
        <f>S0_</f>
        <v>100</v>
      </c>
      <c r="I1141" s="25">
        <f ca="1">S0_*EXP((mu_-sigma_^2/2)*Dt_+sigma_*SQRT(Dt_)*_xlfn.NORM.INV(RAND(),0,1))</f>
        <v>102.177707125429</v>
      </c>
      <c r="J1141" s="25">
        <f ca="1">MAX(k_-I1141,0)*EXP(-rs_*T_)</f>
        <v>0</v>
      </c>
      <c r="K1141" s="25">
        <v>2.11440309053795</v>
      </c>
      <c r="L1141" s="25">
        <v>1.54440309053795</v>
      </c>
      <c r="M1141" s="28">
        <v>0</v>
      </c>
      <c r="N1141" s="28">
        <v>0</v>
      </c>
    </row>
    <row r="1142" spans="7:14">
      <c r="G1142" s="24">
        <v>1141</v>
      </c>
      <c r="H1142" s="25">
        <f>S0_</f>
        <v>100</v>
      </c>
      <c r="I1142" s="25">
        <f ca="1">S0_*EXP((mu_-sigma_^2/2)*Dt_+sigma_*SQRT(Dt_)*_xlfn.NORM.INV(RAND(),0,1))</f>
        <v>93.0154974974403</v>
      </c>
      <c r="J1142" s="25">
        <f ca="1">MAX(k_-I1142,0)*EXP(-rs_*T_)</f>
        <v>3.86867651177382</v>
      </c>
      <c r="K1142" s="25">
        <v>-6.7814691446974</v>
      </c>
      <c r="L1142" s="25">
        <v>-3.48279263292358</v>
      </c>
      <c r="M1142" s="28">
        <v>1</v>
      </c>
      <c r="N1142" s="28">
        <v>1</v>
      </c>
    </row>
    <row r="1143" spans="7:14">
      <c r="G1143" s="24">
        <v>1142</v>
      </c>
      <c r="H1143" s="25">
        <f>S0_</f>
        <v>100</v>
      </c>
      <c r="I1143" s="25">
        <f ca="1">S0_*EXP((mu_-sigma_^2/2)*Dt_+sigma_*SQRT(Dt_)*_xlfn.NORM.INV(RAND(),0,1))</f>
        <v>116.667617900897</v>
      </c>
      <c r="J1143" s="25">
        <f ca="1">MAX(k_-I1143,0)*EXP(-rs_*T_)</f>
        <v>0</v>
      </c>
      <c r="K1143" s="25">
        <v>16.1831048767057</v>
      </c>
      <c r="L1143" s="25">
        <v>15.6131048767057</v>
      </c>
      <c r="M1143" s="28">
        <v>0</v>
      </c>
      <c r="N1143" s="28">
        <v>0</v>
      </c>
    </row>
    <row r="1144" spans="7:14">
      <c r="G1144" s="24">
        <v>1143</v>
      </c>
      <c r="H1144" s="25">
        <f>S0_</f>
        <v>100</v>
      </c>
      <c r="I1144" s="25">
        <f ca="1">S0_*EXP((mu_-sigma_^2/2)*Dt_+sigma_*SQRT(Dt_)*_xlfn.NORM.INV(RAND(),0,1))</f>
        <v>107.901808303254</v>
      </c>
      <c r="J1144" s="25">
        <f ca="1">MAX(k_-I1144,0)*EXP(-rs_*T_)</f>
        <v>0</v>
      </c>
      <c r="K1144" s="25">
        <v>7.67210967083099</v>
      </c>
      <c r="L1144" s="25">
        <v>7.10210967083099</v>
      </c>
      <c r="M1144" s="28">
        <v>0</v>
      </c>
      <c r="N1144" s="28">
        <v>0</v>
      </c>
    </row>
    <row r="1145" spans="7:14">
      <c r="G1145" s="24">
        <v>1144</v>
      </c>
      <c r="H1145" s="25">
        <f>S0_</f>
        <v>100</v>
      </c>
      <c r="I1145" s="25">
        <f ca="1">S0_*EXP((mu_-sigma_^2/2)*Dt_+sigma_*SQRT(Dt_)*_xlfn.NORM.INV(RAND(),0,1))</f>
        <v>98.2464905551728</v>
      </c>
      <c r="J1145" s="25">
        <f ca="1">MAX(k_-I1145,0)*EXP(-rs_*T_)</f>
        <v>0</v>
      </c>
      <c r="K1145" s="25">
        <v>-1.70253646421818</v>
      </c>
      <c r="L1145" s="25">
        <v>-2.27253646421818</v>
      </c>
      <c r="M1145" s="28">
        <v>1</v>
      </c>
      <c r="N1145" s="28">
        <v>1</v>
      </c>
    </row>
    <row r="1146" spans="7:14">
      <c r="G1146" s="24">
        <v>1145</v>
      </c>
      <c r="H1146" s="25">
        <f>S0_</f>
        <v>100</v>
      </c>
      <c r="I1146" s="25">
        <f ca="1">S0_*EXP((mu_-sigma_^2/2)*Dt_+sigma_*SQRT(Dt_)*_xlfn.NORM.INV(RAND(),0,1))</f>
        <v>121.594346922139</v>
      </c>
      <c r="J1146" s="25">
        <f ca="1">MAX(k_-I1146,0)*EXP(-rs_*T_)</f>
        <v>0</v>
      </c>
      <c r="K1146" s="25">
        <v>20.9666182092004</v>
      </c>
      <c r="L1146" s="25">
        <v>20.3966182092004</v>
      </c>
      <c r="M1146" s="28">
        <v>0</v>
      </c>
      <c r="N1146" s="28">
        <v>0</v>
      </c>
    </row>
    <row r="1147" spans="7:14">
      <c r="G1147" s="24">
        <v>1146</v>
      </c>
      <c r="H1147" s="25">
        <f>S0_</f>
        <v>100</v>
      </c>
      <c r="I1147" s="25">
        <f ca="1">S0_*EXP((mu_-sigma_^2/2)*Dt_+sigma_*SQRT(Dt_)*_xlfn.NORM.INV(RAND(),0,1))</f>
        <v>102.1667119604</v>
      </c>
      <c r="J1147" s="25">
        <f ca="1">MAX(k_-I1147,0)*EXP(-rs_*T_)</f>
        <v>0</v>
      </c>
      <c r="K1147" s="25">
        <v>2.1037275453071</v>
      </c>
      <c r="L1147" s="25">
        <v>1.5337275453071</v>
      </c>
      <c r="M1147" s="28">
        <v>0</v>
      </c>
      <c r="N1147" s="28">
        <v>0</v>
      </c>
    </row>
    <row r="1148" spans="7:14">
      <c r="G1148" s="24">
        <v>1147</v>
      </c>
      <c r="H1148" s="25">
        <f>S0_</f>
        <v>100</v>
      </c>
      <c r="I1148" s="25">
        <f ca="1">S0_*EXP((mu_-sigma_^2/2)*Dt_+sigma_*SQRT(Dt_)*_xlfn.NORM.INV(RAND(),0,1))</f>
        <v>107.678597454691</v>
      </c>
      <c r="J1148" s="25">
        <f ca="1">MAX(k_-I1148,0)*EXP(-rs_*T_)</f>
        <v>0</v>
      </c>
      <c r="K1148" s="25">
        <v>7.45538736573624</v>
      </c>
      <c r="L1148" s="25">
        <v>6.88538736573624</v>
      </c>
      <c r="M1148" s="28">
        <v>0</v>
      </c>
      <c r="N1148" s="28">
        <v>0</v>
      </c>
    </row>
    <row r="1149" spans="7:14">
      <c r="G1149" s="24">
        <v>1148</v>
      </c>
      <c r="H1149" s="25">
        <f>S0_</f>
        <v>100</v>
      </c>
      <c r="I1149" s="25">
        <f ca="1">S0_*EXP((mu_-sigma_^2/2)*Dt_+sigma_*SQRT(Dt_)*_xlfn.NORM.INV(RAND(),0,1))</f>
        <v>108.765291357103</v>
      </c>
      <c r="J1149" s="25">
        <f ca="1">MAX(k_-I1149,0)*EXP(-rs_*T_)</f>
        <v>0</v>
      </c>
      <c r="K1149" s="25">
        <v>8.51049203013251</v>
      </c>
      <c r="L1149" s="25">
        <v>7.94049203013251</v>
      </c>
      <c r="M1149" s="28">
        <v>0</v>
      </c>
      <c r="N1149" s="28">
        <v>0</v>
      </c>
    </row>
    <row r="1150" spans="7:14">
      <c r="G1150" s="24">
        <v>1149</v>
      </c>
      <c r="H1150" s="25">
        <f>S0_</f>
        <v>100</v>
      </c>
      <c r="I1150" s="25">
        <f ca="1">S0_*EXP((mu_-sigma_^2/2)*Dt_+sigma_*SQRT(Dt_)*_xlfn.NORM.INV(RAND(),0,1))</f>
        <v>101.777802923952</v>
      </c>
      <c r="J1150" s="25">
        <f ca="1">MAX(k_-I1150,0)*EXP(-rs_*T_)</f>
        <v>0</v>
      </c>
      <c r="K1150" s="25">
        <v>1.7261237532259</v>
      </c>
      <c r="L1150" s="25">
        <v>1.1561237532259</v>
      </c>
      <c r="M1150" s="28">
        <v>0</v>
      </c>
      <c r="N1150" s="28">
        <v>0</v>
      </c>
    </row>
    <row r="1151" spans="7:14">
      <c r="G1151" s="24">
        <v>1150</v>
      </c>
      <c r="H1151" s="25">
        <f>S0_</f>
        <v>100</v>
      </c>
      <c r="I1151" s="25">
        <f ca="1">S0_*EXP((mu_-sigma_^2/2)*Dt_+sigma_*SQRT(Dt_)*_xlfn.NORM.INV(RAND(),0,1))</f>
        <v>96.2504448281724</v>
      </c>
      <c r="J1151" s="25">
        <f ca="1">MAX(k_-I1151,0)*EXP(-rs_*T_)</f>
        <v>0.727766260823063</v>
      </c>
      <c r="K1151" s="25">
        <v>-3.64055889374665</v>
      </c>
      <c r="L1151" s="25">
        <v>-3.48279263292358</v>
      </c>
      <c r="M1151" s="28">
        <v>1</v>
      </c>
      <c r="N1151" s="28">
        <v>1</v>
      </c>
    </row>
    <row r="1152" spans="7:14">
      <c r="G1152" s="24">
        <v>1151</v>
      </c>
      <c r="H1152" s="25">
        <f>S0_</f>
        <v>100</v>
      </c>
      <c r="I1152" s="25">
        <f ca="1">S0_*EXP((mu_-sigma_^2/2)*Dt_+sigma_*SQRT(Dt_)*_xlfn.NORM.INV(RAND(),0,1))</f>
        <v>101.354080288747</v>
      </c>
      <c r="J1152" s="25">
        <f ca="1">MAX(k_-I1152,0)*EXP(-rs_*T_)</f>
        <v>0</v>
      </c>
      <c r="K1152" s="25">
        <v>1.31471836314942</v>
      </c>
      <c r="L1152" s="25">
        <v>0.744718363149421</v>
      </c>
      <c r="M1152" s="28">
        <v>0</v>
      </c>
      <c r="N1152" s="28">
        <v>0</v>
      </c>
    </row>
    <row r="1153" spans="7:14">
      <c r="G1153" s="24">
        <v>1152</v>
      </c>
      <c r="H1153" s="25">
        <f>S0_</f>
        <v>100</v>
      </c>
      <c r="I1153" s="25">
        <f ca="1">S0_*EXP((mu_-sigma_^2/2)*Dt_+sigma_*SQRT(Dt_)*_xlfn.NORM.INV(RAND(),0,1))</f>
        <v>88.4325901698276</v>
      </c>
      <c r="J1153" s="25">
        <f ca="1">MAX(k_-I1153,0)*EXP(-rs_*T_)</f>
        <v>8.31836274552104</v>
      </c>
      <c r="K1153" s="25">
        <v>-11.2311553784446</v>
      </c>
      <c r="L1153" s="25">
        <v>-3.48279263292358</v>
      </c>
      <c r="M1153" s="28">
        <v>1</v>
      </c>
      <c r="N1153" s="28">
        <v>1</v>
      </c>
    </row>
    <row r="1154" spans="7:14">
      <c r="G1154" s="24">
        <v>1153</v>
      </c>
      <c r="H1154" s="25">
        <f>S0_</f>
        <v>100</v>
      </c>
      <c r="I1154" s="25">
        <f ca="1">S0_*EXP((mu_-sigma_^2/2)*Dt_+sigma_*SQRT(Dt_)*_xlfn.NORM.INV(RAND(),0,1))</f>
        <v>111.532954667074</v>
      </c>
      <c r="J1154" s="25">
        <f ca="1">MAX(k_-I1154,0)*EXP(-rs_*T_)</f>
        <v>0</v>
      </c>
      <c r="K1154" s="25">
        <v>11.197701796698</v>
      </c>
      <c r="L1154" s="25">
        <v>10.627701796698</v>
      </c>
      <c r="M1154" s="28">
        <v>0</v>
      </c>
      <c r="N1154" s="28">
        <v>0</v>
      </c>
    </row>
    <row r="1155" spans="7:14">
      <c r="G1155" s="24">
        <v>1154</v>
      </c>
      <c r="H1155" s="25">
        <f>S0_</f>
        <v>100</v>
      </c>
      <c r="I1155" s="25">
        <f ca="1">S0_*EXP((mu_-sigma_^2/2)*Dt_+sigma_*SQRT(Dt_)*_xlfn.NORM.INV(RAND(),0,1))</f>
        <v>105.568910209632</v>
      </c>
      <c r="J1155" s="25">
        <f ca="1">MAX(k_-I1155,0)*EXP(-rs_*T_)</f>
        <v>0</v>
      </c>
      <c r="K1155" s="25">
        <v>5.40702687734257</v>
      </c>
      <c r="L1155" s="25">
        <v>4.83702687734257</v>
      </c>
      <c r="M1155" s="28">
        <v>0</v>
      </c>
      <c r="N1155" s="28">
        <v>0</v>
      </c>
    </row>
    <row r="1156" spans="7:14">
      <c r="G1156" s="24">
        <v>1155</v>
      </c>
      <c r="H1156" s="25">
        <f>S0_</f>
        <v>100</v>
      </c>
      <c r="I1156" s="25">
        <f ca="1">S0_*EXP((mu_-sigma_^2/2)*Dt_+sigma_*SQRT(Dt_)*_xlfn.NORM.INV(RAND(),0,1))</f>
        <v>95.1733767632942</v>
      </c>
      <c r="J1156" s="25">
        <f ca="1">MAX(k_-I1156,0)*EXP(-rs_*T_)</f>
        <v>1.77352490233452</v>
      </c>
      <c r="K1156" s="25">
        <v>-4.6863175352581</v>
      </c>
      <c r="L1156" s="25">
        <v>-3.48279263292358</v>
      </c>
      <c r="M1156" s="28">
        <v>1</v>
      </c>
      <c r="N1156" s="28">
        <v>1</v>
      </c>
    </row>
    <row r="1157" spans="7:14">
      <c r="G1157" s="24">
        <v>1156</v>
      </c>
      <c r="H1157" s="25">
        <f>S0_</f>
        <v>100</v>
      </c>
      <c r="I1157" s="25">
        <f ca="1">S0_*EXP((mu_-sigma_^2/2)*Dt_+sigma_*SQRT(Dt_)*_xlfn.NORM.INV(RAND(),0,1))</f>
        <v>106.802838662934</v>
      </c>
      <c r="J1157" s="25">
        <f ca="1">MAX(k_-I1157,0)*EXP(-rs_*T_)</f>
        <v>0</v>
      </c>
      <c r="K1157" s="25">
        <v>6.60508611345407</v>
      </c>
      <c r="L1157" s="25">
        <v>6.03508611345407</v>
      </c>
      <c r="M1157" s="28">
        <v>0</v>
      </c>
      <c r="N1157" s="28">
        <v>0</v>
      </c>
    </row>
    <row r="1158" spans="7:14">
      <c r="G1158" s="24">
        <v>1157</v>
      </c>
      <c r="H1158" s="25">
        <f>S0_</f>
        <v>100</v>
      </c>
      <c r="I1158" s="25">
        <f ca="1">S0_*EXP((mu_-sigma_^2/2)*Dt_+sigma_*SQRT(Dt_)*_xlfn.NORM.INV(RAND(),0,1))</f>
        <v>105.887551086631</v>
      </c>
      <c r="J1158" s="25">
        <f ca="1">MAX(k_-I1158,0)*EXP(-rs_*T_)</f>
        <v>0</v>
      </c>
      <c r="K1158" s="25">
        <v>5.71640514369987</v>
      </c>
      <c r="L1158" s="25">
        <v>5.14640514369987</v>
      </c>
      <c r="M1158" s="28">
        <v>0</v>
      </c>
      <c r="N1158" s="28">
        <v>0</v>
      </c>
    </row>
    <row r="1159" spans="7:14">
      <c r="G1159" s="24">
        <v>1158</v>
      </c>
      <c r="H1159" s="25">
        <f>S0_</f>
        <v>100</v>
      </c>
      <c r="I1159" s="25">
        <f ca="1">S0_*EXP((mu_-sigma_^2/2)*Dt_+sigma_*SQRT(Dt_)*_xlfn.NORM.INV(RAND(),0,1))</f>
        <v>109.675280130549</v>
      </c>
      <c r="J1159" s="25">
        <f ca="1">MAX(k_-I1159,0)*EXP(-rs_*T_)</f>
        <v>0</v>
      </c>
      <c r="K1159" s="25">
        <v>9.39402822857835</v>
      </c>
      <c r="L1159" s="25">
        <v>8.82402822857835</v>
      </c>
      <c r="M1159" s="28">
        <v>0</v>
      </c>
      <c r="N1159" s="28">
        <v>0</v>
      </c>
    </row>
    <row r="1160" spans="7:14">
      <c r="G1160" s="24">
        <v>1159</v>
      </c>
      <c r="H1160" s="25">
        <f>S0_</f>
        <v>100</v>
      </c>
      <c r="I1160" s="25">
        <f ca="1">S0_*EXP((mu_-sigma_^2/2)*Dt_+sigma_*SQRT(Dt_)*_xlfn.NORM.INV(RAND(),0,1))</f>
        <v>109.011982545251</v>
      </c>
      <c r="J1160" s="25">
        <f ca="1">MAX(k_-I1160,0)*EXP(-rs_*T_)</f>
        <v>0</v>
      </c>
      <c r="K1160" s="25">
        <v>8.75001212194728</v>
      </c>
      <c r="L1160" s="25">
        <v>8.18001212194728</v>
      </c>
      <c r="M1160" s="28">
        <v>0</v>
      </c>
      <c r="N1160" s="28">
        <v>0</v>
      </c>
    </row>
    <row r="1161" spans="7:14">
      <c r="G1161" s="24">
        <v>1160</v>
      </c>
      <c r="H1161" s="25">
        <f>S0_</f>
        <v>100</v>
      </c>
      <c r="I1161" s="25">
        <f ca="1">S0_*EXP((mu_-sigma_^2/2)*Dt_+sigma_*SQRT(Dt_)*_xlfn.NORM.INV(RAND(),0,1))</f>
        <v>106.611590212459</v>
      </c>
      <c r="J1161" s="25">
        <f ca="1">MAX(k_-I1161,0)*EXP(-rs_*T_)</f>
        <v>0</v>
      </c>
      <c r="K1161" s="25">
        <v>6.41939708758722</v>
      </c>
      <c r="L1161" s="25">
        <v>5.84939708758722</v>
      </c>
      <c r="M1161" s="28">
        <v>0</v>
      </c>
      <c r="N1161" s="28">
        <v>0</v>
      </c>
    </row>
    <row r="1162" spans="7:14">
      <c r="G1162" s="24">
        <v>1161</v>
      </c>
      <c r="H1162" s="25">
        <f>S0_</f>
        <v>100</v>
      </c>
      <c r="I1162" s="25">
        <f ca="1">S0_*EXP((mu_-sigma_^2/2)*Dt_+sigma_*SQRT(Dt_)*_xlfn.NORM.INV(RAND(),0,1))</f>
        <v>104.723744353634</v>
      </c>
      <c r="J1162" s="25">
        <f ca="1">MAX(k_-I1162,0)*EXP(-rs_*T_)</f>
        <v>0</v>
      </c>
      <c r="K1162" s="25">
        <v>4.58642925102653</v>
      </c>
      <c r="L1162" s="25">
        <v>4.01642925102653</v>
      </c>
      <c r="M1162" s="28">
        <v>0</v>
      </c>
      <c r="N1162" s="28">
        <v>0</v>
      </c>
    </row>
    <row r="1163" spans="7:14">
      <c r="G1163" s="24">
        <v>1162</v>
      </c>
      <c r="H1163" s="25">
        <f>S0_</f>
        <v>100</v>
      </c>
      <c r="I1163" s="25">
        <f ca="1">S0_*EXP((mu_-sigma_^2/2)*Dt_+sigma_*SQRT(Dt_)*_xlfn.NORM.INV(RAND(),0,1))</f>
        <v>124.397712887598</v>
      </c>
      <c r="J1163" s="25">
        <f ca="1">MAX(k_-I1163,0)*EXP(-rs_*T_)</f>
        <v>0</v>
      </c>
      <c r="K1163" s="25">
        <v>23.6884927863932</v>
      </c>
      <c r="L1163" s="25">
        <v>23.1184927863932</v>
      </c>
      <c r="M1163" s="28">
        <v>0</v>
      </c>
      <c r="N1163" s="28">
        <v>0</v>
      </c>
    </row>
    <row r="1164" spans="7:14">
      <c r="G1164" s="24">
        <v>1163</v>
      </c>
      <c r="H1164" s="25">
        <f>S0_</f>
        <v>100</v>
      </c>
      <c r="I1164" s="25">
        <f ca="1">S0_*EXP((mu_-sigma_^2/2)*Dt_+sigma_*SQRT(Dt_)*_xlfn.NORM.INV(RAND(),0,1))</f>
        <v>105.246772190367</v>
      </c>
      <c r="J1164" s="25">
        <f ca="1">MAX(k_-I1164,0)*EXP(-rs_*T_)</f>
        <v>0</v>
      </c>
      <c r="K1164" s="25">
        <v>5.0942531275762</v>
      </c>
      <c r="L1164" s="25">
        <v>4.5242531275762</v>
      </c>
      <c r="M1164" s="28">
        <v>0</v>
      </c>
      <c r="N1164" s="28">
        <v>0</v>
      </c>
    </row>
    <row r="1165" spans="7:14">
      <c r="G1165" s="24">
        <v>1164</v>
      </c>
      <c r="H1165" s="25">
        <f>S0_</f>
        <v>100</v>
      </c>
      <c r="I1165" s="25">
        <f ca="1">S0_*EXP((mu_-sigma_^2/2)*Dt_+sigma_*SQRT(Dt_)*_xlfn.NORM.INV(RAND(),0,1))</f>
        <v>101.671711072639</v>
      </c>
      <c r="J1165" s="25">
        <f ca="1">MAX(k_-I1165,0)*EXP(-rs_*T_)</f>
        <v>0</v>
      </c>
      <c r="K1165" s="25">
        <v>1.6231158989202</v>
      </c>
      <c r="L1165" s="25">
        <v>1.0531158989202</v>
      </c>
      <c r="M1165" s="28">
        <v>0</v>
      </c>
      <c r="N1165" s="28">
        <v>0</v>
      </c>
    </row>
    <row r="1166" spans="7:14">
      <c r="G1166" s="24">
        <v>1165</v>
      </c>
      <c r="H1166" s="25">
        <f>S0_</f>
        <v>100</v>
      </c>
      <c r="I1166" s="25">
        <f ca="1">S0_*EXP((mu_-sigma_^2/2)*Dt_+sigma_*SQRT(Dt_)*_xlfn.NORM.INV(RAND(),0,1))</f>
        <v>111.963548344001</v>
      </c>
      <c r="J1166" s="25">
        <f ca="1">MAX(k_-I1166,0)*EXP(-rs_*T_)</f>
        <v>0</v>
      </c>
      <c r="K1166" s="25">
        <v>11.6157784933441</v>
      </c>
      <c r="L1166" s="25">
        <v>11.0457784933441</v>
      </c>
      <c r="M1166" s="28">
        <v>0</v>
      </c>
      <c r="N1166" s="28">
        <v>0</v>
      </c>
    </row>
    <row r="1167" spans="7:14">
      <c r="G1167" s="24">
        <v>1166</v>
      </c>
      <c r="H1167" s="25">
        <f>S0_</f>
        <v>100</v>
      </c>
      <c r="I1167" s="25">
        <f ca="1">S0_*EXP((mu_-sigma_^2/2)*Dt_+sigma_*SQRT(Dt_)*_xlfn.NORM.INV(RAND(),0,1))</f>
        <v>106.425440423583</v>
      </c>
      <c r="J1167" s="25">
        <f ca="1">MAX(k_-I1167,0)*EXP(-rs_*T_)</f>
        <v>0</v>
      </c>
      <c r="K1167" s="25">
        <v>6.23865850970058</v>
      </c>
      <c r="L1167" s="25">
        <v>5.66865850970058</v>
      </c>
      <c r="M1167" s="28">
        <v>0</v>
      </c>
      <c r="N1167" s="28">
        <v>0</v>
      </c>
    </row>
    <row r="1168" spans="7:14">
      <c r="G1168" s="24">
        <v>1167</v>
      </c>
      <c r="H1168" s="25">
        <f>S0_</f>
        <v>100</v>
      </c>
      <c r="I1168" s="25">
        <f ca="1">S0_*EXP((mu_-sigma_^2/2)*Dt_+sigma_*SQRT(Dt_)*_xlfn.NORM.INV(RAND(),0,1))</f>
        <v>102.99772513478</v>
      </c>
      <c r="J1168" s="25">
        <f ca="1">MAX(k_-I1168,0)*EXP(-rs_*T_)</f>
        <v>0</v>
      </c>
      <c r="K1168" s="25">
        <v>2.91058389603936</v>
      </c>
      <c r="L1168" s="25">
        <v>2.34058389603936</v>
      </c>
      <c r="M1168" s="28">
        <v>0</v>
      </c>
      <c r="N1168" s="28">
        <v>0</v>
      </c>
    </row>
    <row r="1169" spans="7:14">
      <c r="G1169" s="24">
        <v>1168</v>
      </c>
      <c r="H1169" s="25">
        <f>S0_</f>
        <v>100</v>
      </c>
      <c r="I1169" s="25">
        <f ca="1">S0_*EXP((mu_-sigma_^2/2)*Dt_+sigma_*SQRT(Dt_)*_xlfn.NORM.INV(RAND(),0,1))</f>
        <v>102.025107304969</v>
      </c>
      <c r="J1169" s="25">
        <f ca="1">MAX(k_-I1169,0)*EXP(-rs_*T_)</f>
        <v>0</v>
      </c>
      <c r="K1169" s="25">
        <v>1.96623921293096</v>
      </c>
      <c r="L1169" s="25">
        <v>1.39623921293096</v>
      </c>
      <c r="M1169" s="28">
        <v>0</v>
      </c>
      <c r="N1169" s="28">
        <v>0</v>
      </c>
    </row>
    <row r="1170" spans="7:14">
      <c r="G1170" s="24">
        <v>1169</v>
      </c>
      <c r="H1170" s="25">
        <f>S0_</f>
        <v>100</v>
      </c>
      <c r="I1170" s="25">
        <f ca="1">S0_*EXP((mu_-sigma_^2/2)*Dt_+sigma_*SQRT(Dt_)*_xlfn.NORM.INV(RAND(),0,1))</f>
        <v>124.716153566203</v>
      </c>
      <c r="J1170" s="25">
        <f ca="1">MAX(k_-I1170,0)*EXP(-rs_*T_)</f>
        <v>0</v>
      </c>
      <c r="K1170" s="25">
        <v>23.9976766739479</v>
      </c>
      <c r="L1170" s="25">
        <v>23.4276766739479</v>
      </c>
      <c r="M1170" s="28">
        <v>0</v>
      </c>
      <c r="N1170" s="28">
        <v>0</v>
      </c>
    </row>
    <row r="1171" spans="7:14">
      <c r="G1171" s="24">
        <v>1170</v>
      </c>
      <c r="H1171" s="25">
        <f>S0_</f>
        <v>100</v>
      </c>
      <c r="I1171" s="25">
        <f ca="1">S0_*EXP((mu_-sigma_^2/2)*Dt_+sigma_*SQRT(Dt_)*_xlfn.NORM.INV(RAND(),0,1))</f>
        <v>104.295171282922</v>
      </c>
      <c r="J1171" s="25">
        <f ca="1">MAX(k_-I1171,0)*EXP(-rs_*T_)</f>
        <v>0</v>
      </c>
      <c r="K1171" s="25">
        <v>4.17031442334681</v>
      </c>
      <c r="L1171" s="25">
        <v>3.60031442334681</v>
      </c>
      <c r="M1171" s="28">
        <v>0</v>
      </c>
      <c r="N1171" s="28">
        <v>0</v>
      </c>
    </row>
    <row r="1172" spans="7:14">
      <c r="G1172" s="24">
        <v>1171</v>
      </c>
      <c r="H1172" s="25">
        <f>S0_</f>
        <v>100</v>
      </c>
      <c r="I1172" s="25">
        <f ca="1">S0_*EXP((mu_-sigma_^2/2)*Dt_+sigma_*SQRT(Dt_)*_xlfn.NORM.INV(RAND(),0,1))</f>
        <v>115.059940114276</v>
      </c>
      <c r="J1172" s="25">
        <f ca="1">MAX(k_-I1172,0)*EXP(-rs_*T_)</f>
        <v>0</v>
      </c>
      <c r="K1172" s="25">
        <v>14.6221608723781</v>
      </c>
      <c r="L1172" s="25">
        <v>14.0521608723781</v>
      </c>
      <c r="M1172" s="28">
        <v>0</v>
      </c>
      <c r="N1172" s="28">
        <v>0</v>
      </c>
    </row>
    <row r="1173" spans="7:14">
      <c r="G1173" s="24">
        <v>1172</v>
      </c>
      <c r="H1173" s="25">
        <f>S0_</f>
        <v>100</v>
      </c>
      <c r="I1173" s="25">
        <f ca="1">S0_*EXP((mu_-sigma_^2/2)*Dt_+sigma_*SQRT(Dt_)*_xlfn.NORM.INV(RAND(),0,1))</f>
        <v>105.557248786537</v>
      </c>
      <c r="J1173" s="25">
        <f ca="1">MAX(k_-I1173,0)*EXP(-rs_*T_)</f>
        <v>0</v>
      </c>
      <c r="K1173" s="25">
        <v>5.39570444158325</v>
      </c>
      <c r="L1173" s="25">
        <v>4.82570444158325</v>
      </c>
      <c r="M1173" s="28">
        <v>0</v>
      </c>
      <c r="N1173" s="28">
        <v>0</v>
      </c>
    </row>
    <row r="1174" spans="7:14">
      <c r="G1174" s="24">
        <v>1173</v>
      </c>
      <c r="H1174" s="25">
        <f>S0_</f>
        <v>100</v>
      </c>
      <c r="I1174" s="25">
        <f ca="1">S0_*EXP((mu_-sigma_^2/2)*Dt_+sigma_*SQRT(Dt_)*_xlfn.NORM.INV(RAND(),0,1))</f>
        <v>97.7494317849228</v>
      </c>
      <c r="J1174" s="25">
        <f ca="1">MAX(k_-I1174,0)*EXP(-rs_*T_)</f>
        <v>0</v>
      </c>
      <c r="K1174" s="25">
        <v>-2.18514617225626</v>
      </c>
      <c r="L1174" s="25">
        <v>-2.75514617225626</v>
      </c>
      <c r="M1174" s="28">
        <v>1</v>
      </c>
      <c r="N1174" s="28">
        <v>1</v>
      </c>
    </row>
    <row r="1175" spans="7:14">
      <c r="G1175" s="24">
        <v>1174</v>
      </c>
      <c r="H1175" s="25">
        <f>S0_</f>
        <v>100</v>
      </c>
      <c r="I1175" s="25">
        <f ca="1">S0_*EXP((mu_-sigma_^2/2)*Dt_+sigma_*SQRT(Dt_)*_xlfn.NORM.INV(RAND(),0,1))</f>
        <v>111.666705027754</v>
      </c>
      <c r="J1175" s="25">
        <f ca="1">MAX(k_-I1175,0)*EXP(-rs_*T_)</f>
        <v>0</v>
      </c>
      <c r="K1175" s="25">
        <v>11.3275641517784</v>
      </c>
      <c r="L1175" s="25">
        <v>10.7575641517784</v>
      </c>
      <c r="M1175" s="28">
        <v>0</v>
      </c>
      <c r="N1175" s="28">
        <v>0</v>
      </c>
    </row>
    <row r="1176" spans="7:14">
      <c r="G1176" s="24">
        <v>1175</v>
      </c>
      <c r="H1176" s="25">
        <f>S0_</f>
        <v>100</v>
      </c>
      <c r="I1176" s="25">
        <f ca="1">S0_*EXP((mu_-sigma_^2/2)*Dt_+sigma_*SQRT(Dt_)*_xlfn.NORM.INV(RAND(),0,1))</f>
        <v>93.2572269170288</v>
      </c>
      <c r="J1176" s="25">
        <f ca="1">MAX(k_-I1176,0)*EXP(-rs_*T_)</f>
        <v>3.63397395426104</v>
      </c>
      <c r="K1176" s="25">
        <v>-6.54676658718462</v>
      </c>
      <c r="L1176" s="25">
        <v>-3.48279263292358</v>
      </c>
      <c r="M1176" s="28">
        <v>1</v>
      </c>
      <c r="N1176" s="28">
        <v>1</v>
      </c>
    </row>
    <row r="1177" spans="7:14">
      <c r="G1177" s="24">
        <v>1176</v>
      </c>
      <c r="H1177" s="25">
        <f>S0_</f>
        <v>100</v>
      </c>
      <c r="I1177" s="25">
        <f ca="1">S0_*EXP((mu_-sigma_^2/2)*Dt_+sigma_*SQRT(Dt_)*_xlfn.NORM.INV(RAND(),0,1))</f>
        <v>90.9750719919967</v>
      </c>
      <c r="J1177" s="25">
        <f ca="1">MAX(k_-I1177,0)*EXP(-rs_*T_)</f>
        <v>5.84978863853564</v>
      </c>
      <c r="K1177" s="25">
        <v>-8.76258127145923</v>
      </c>
      <c r="L1177" s="25">
        <v>-3.48279263292358</v>
      </c>
      <c r="M1177" s="28">
        <v>1</v>
      </c>
      <c r="N1177" s="28">
        <v>1</v>
      </c>
    </row>
    <row r="1178" spans="7:14">
      <c r="G1178" s="24">
        <v>1177</v>
      </c>
      <c r="H1178" s="25">
        <f>S0_</f>
        <v>100</v>
      </c>
      <c r="I1178" s="25">
        <f ca="1">S0_*EXP((mu_-sigma_^2/2)*Dt_+sigma_*SQRT(Dt_)*_xlfn.NORM.INV(RAND(),0,1))</f>
        <v>117.078959841556</v>
      </c>
      <c r="J1178" s="25">
        <f ca="1">MAX(k_-I1178,0)*EXP(-rs_*T_)</f>
        <v>0</v>
      </c>
      <c r="K1178" s="25">
        <v>16.5824894681603</v>
      </c>
      <c r="L1178" s="25">
        <v>16.0124894681603</v>
      </c>
      <c r="M1178" s="28">
        <v>0</v>
      </c>
      <c r="N1178" s="28">
        <v>0</v>
      </c>
    </row>
    <row r="1179" spans="7:14">
      <c r="G1179" s="24">
        <v>1178</v>
      </c>
      <c r="H1179" s="25">
        <f>S0_</f>
        <v>100</v>
      </c>
      <c r="I1179" s="25">
        <f ca="1">S0_*EXP((mu_-sigma_^2/2)*Dt_+sigma_*SQRT(Dt_)*_xlfn.NORM.INV(RAND(),0,1))</f>
        <v>137.821213639658</v>
      </c>
      <c r="J1179" s="25">
        <f ca="1">MAX(k_-I1179,0)*EXP(-rs_*T_)</f>
        <v>0</v>
      </c>
      <c r="K1179" s="25">
        <v>36.7217841526084</v>
      </c>
      <c r="L1179" s="25">
        <v>36.1517841526084</v>
      </c>
      <c r="M1179" s="28">
        <v>0</v>
      </c>
      <c r="N1179" s="28">
        <v>0</v>
      </c>
    </row>
    <row r="1180" spans="7:14">
      <c r="G1180" s="24">
        <v>1179</v>
      </c>
      <c r="H1180" s="25">
        <f>S0_</f>
        <v>100</v>
      </c>
      <c r="I1180" s="25">
        <f ca="1">S0_*EXP((mu_-sigma_^2/2)*Dt_+sigma_*SQRT(Dt_)*_xlfn.NORM.INV(RAND(),0,1))</f>
        <v>91.4115910941866</v>
      </c>
      <c r="J1180" s="25">
        <f ca="1">MAX(k_-I1180,0)*EXP(-rs_*T_)</f>
        <v>5.42595876353929</v>
      </c>
      <c r="K1180" s="25">
        <v>-8.33875139646288</v>
      </c>
      <c r="L1180" s="25">
        <v>-3.48279263292358</v>
      </c>
      <c r="M1180" s="28">
        <v>1</v>
      </c>
      <c r="N1180" s="28">
        <v>1</v>
      </c>
    </row>
    <row r="1181" spans="7:14">
      <c r="G1181" s="24">
        <v>1180</v>
      </c>
      <c r="H1181" s="25">
        <f>S0_</f>
        <v>100</v>
      </c>
      <c r="I1181" s="25">
        <f ca="1">S0_*EXP((mu_-sigma_^2/2)*Dt_+sigma_*SQRT(Dt_)*_xlfn.NORM.INV(RAND(),0,1))</f>
        <v>96.9389746174476</v>
      </c>
      <c r="J1181" s="25">
        <f ca="1">MAX(k_-I1181,0)*EXP(-rs_*T_)</f>
        <v>0.0592514282400063</v>
      </c>
      <c r="K1181" s="25">
        <v>-2.97204406116359</v>
      </c>
      <c r="L1181" s="25">
        <v>-3.48279263292358</v>
      </c>
      <c r="M1181" s="28">
        <v>1</v>
      </c>
      <c r="N1181" s="28">
        <v>1</v>
      </c>
    </row>
    <row r="1182" spans="7:14">
      <c r="G1182" s="24">
        <v>1181</v>
      </c>
      <c r="H1182" s="25">
        <f>S0_</f>
        <v>100</v>
      </c>
      <c r="I1182" s="25">
        <f ca="1">S0_*EXP((mu_-sigma_^2/2)*Dt_+sigma_*SQRT(Dt_)*_xlfn.NORM.INV(RAND(),0,1))</f>
        <v>108.272647252971</v>
      </c>
      <c r="J1182" s="25">
        <f ca="1">MAX(k_-I1182,0)*EXP(-rs_*T_)</f>
        <v>0</v>
      </c>
      <c r="K1182" s="25">
        <v>8.03216865774283</v>
      </c>
      <c r="L1182" s="25">
        <v>7.46216865774283</v>
      </c>
      <c r="M1182" s="28">
        <v>0</v>
      </c>
      <c r="N1182" s="28">
        <v>0</v>
      </c>
    </row>
    <row r="1183" spans="7:14">
      <c r="G1183" s="24">
        <v>1182</v>
      </c>
      <c r="H1183" s="25">
        <f>S0_</f>
        <v>100</v>
      </c>
      <c r="I1183" s="25">
        <f ca="1">S0_*EXP((mu_-sigma_^2/2)*Dt_+sigma_*SQRT(Dt_)*_xlfn.NORM.INV(RAND(),0,1))</f>
        <v>116.214612265652</v>
      </c>
      <c r="J1183" s="25">
        <f ca="1">MAX(k_-I1183,0)*EXP(-rs_*T_)</f>
        <v>0</v>
      </c>
      <c r="K1183" s="25">
        <v>15.7432677177011</v>
      </c>
      <c r="L1183" s="25">
        <v>15.1732677177011</v>
      </c>
      <c r="M1183" s="28">
        <v>0</v>
      </c>
      <c r="N1183" s="28">
        <v>0</v>
      </c>
    </row>
    <row r="1184" spans="7:14">
      <c r="G1184" s="24">
        <v>1183</v>
      </c>
      <c r="H1184" s="25">
        <f>S0_</f>
        <v>100</v>
      </c>
      <c r="I1184" s="25">
        <f ca="1">S0_*EXP((mu_-sigma_^2/2)*Dt_+sigma_*SQRT(Dt_)*_xlfn.NORM.INV(RAND(),0,1))</f>
        <v>103.461698511647</v>
      </c>
      <c r="J1184" s="25">
        <f ca="1">MAX(k_-I1184,0)*EXP(-rs_*T_)</f>
        <v>0</v>
      </c>
      <c r="K1184" s="25">
        <v>3.36106997404246</v>
      </c>
      <c r="L1184" s="25">
        <v>2.79106997404246</v>
      </c>
      <c r="M1184" s="28">
        <v>0</v>
      </c>
      <c r="N1184" s="28">
        <v>0</v>
      </c>
    </row>
    <row r="1185" spans="7:14">
      <c r="G1185" s="24">
        <v>1184</v>
      </c>
      <c r="H1185" s="25">
        <f>S0_</f>
        <v>100</v>
      </c>
      <c r="I1185" s="25">
        <f ca="1">S0_*EXP((mu_-sigma_^2/2)*Dt_+sigma_*SQRT(Dt_)*_xlfn.NORM.INV(RAND(),0,1))</f>
        <v>116.584470900946</v>
      </c>
      <c r="J1185" s="25">
        <f ca="1">MAX(k_-I1185,0)*EXP(-rs_*T_)</f>
        <v>0</v>
      </c>
      <c r="K1185" s="25">
        <v>16.1023748870703</v>
      </c>
      <c r="L1185" s="25">
        <v>15.5323748870703</v>
      </c>
      <c r="M1185" s="28">
        <v>0</v>
      </c>
      <c r="N1185" s="28">
        <v>0</v>
      </c>
    </row>
    <row r="1186" spans="7:14">
      <c r="G1186" s="24">
        <v>1185</v>
      </c>
      <c r="H1186" s="25">
        <f>S0_</f>
        <v>100</v>
      </c>
      <c r="I1186" s="25">
        <f ca="1">S0_*EXP((mu_-sigma_^2/2)*Dt_+sigma_*SQRT(Dt_)*_xlfn.NORM.INV(RAND(),0,1))</f>
        <v>99.4078115389534</v>
      </c>
      <c r="J1186" s="25">
        <f ca="1">MAX(k_-I1186,0)*EXP(-rs_*T_)</f>
        <v>0</v>
      </c>
      <c r="K1186" s="25">
        <v>-0.574974062213009</v>
      </c>
      <c r="L1186" s="25">
        <v>-1.14497406221301</v>
      </c>
      <c r="M1186" s="28">
        <v>1</v>
      </c>
      <c r="N1186" s="28">
        <v>1</v>
      </c>
    </row>
    <row r="1187" spans="7:14">
      <c r="G1187" s="24">
        <v>1186</v>
      </c>
      <c r="H1187" s="25">
        <f>S0_</f>
        <v>100</v>
      </c>
      <c r="I1187" s="25">
        <f ca="1">S0_*EXP((mu_-sigma_^2/2)*Dt_+sigma_*SQRT(Dt_)*_xlfn.NORM.INV(RAND(),0,1))</f>
        <v>98.9813100297866</v>
      </c>
      <c r="J1187" s="25">
        <f ca="1">MAX(k_-I1187,0)*EXP(-rs_*T_)</f>
        <v>0</v>
      </c>
      <c r="K1187" s="25">
        <v>-0.989077546823566</v>
      </c>
      <c r="L1187" s="25">
        <v>-1.55907754682357</v>
      </c>
      <c r="M1187" s="28">
        <v>1</v>
      </c>
      <c r="N1187" s="28">
        <v>1</v>
      </c>
    </row>
    <row r="1188" spans="7:14">
      <c r="G1188" s="24">
        <v>1187</v>
      </c>
      <c r="H1188" s="25">
        <f>S0_</f>
        <v>100</v>
      </c>
      <c r="I1188" s="25">
        <f ca="1">S0_*EXP((mu_-sigma_^2/2)*Dt_+sigma_*SQRT(Dt_)*_xlfn.NORM.INV(RAND(),0,1))</f>
        <v>92.8551628114626</v>
      </c>
      <c r="J1188" s="25">
        <f ca="1">MAX(k_-I1188,0)*EXP(-rs_*T_)</f>
        <v>4.02435040914649</v>
      </c>
      <c r="K1188" s="25">
        <v>-6.93714304207007</v>
      </c>
      <c r="L1188" s="25">
        <v>-3.48279263292358</v>
      </c>
      <c r="M1188" s="28">
        <v>1</v>
      </c>
      <c r="N1188" s="28">
        <v>1</v>
      </c>
    </row>
    <row r="1189" spans="7:14">
      <c r="G1189" s="24">
        <v>1188</v>
      </c>
      <c r="H1189" s="25">
        <f>S0_</f>
        <v>100</v>
      </c>
      <c r="I1189" s="25">
        <f ca="1">S0_*EXP((mu_-sigma_^2/2)*Dt_+sigma_*SQRT(Dt_)*_xlfn.NORM.INV(RAND(),0,1))</f>
        <v>105.592106393436</v>
      </c>
      <c r="J1189" s="25">
        <f ca="1">MAX(k_-I1189,0)*EXP(-rs_*T_)</f>
        <v>0</v>
      </c>
      <c r="K1189" s="25">
        <v>5.42954876844184</v>
      </c>
      <c r="L1189" s="25">
        <v>4.85954876844184</v>
      </c>
      <c r="M1189" s="28">
        <v>0</v>
      </c>
      <c r="N1189" s="28">
        <v>0</v>
      </c>
    </row>
    <row r="1190" spans="7:14">
      <c r="G1190" s="24">
        <v>1189</v>
      </c>
      <c r="H1190" s="25">
        <f>S0_</f>
        <v>100</v>
      </c>
      <c r="I1190" s="25">
        <f ca="1">S0_*EXP((mu_-sigma_^2/2)*Dt_+sigma_*SQRT(Dt_)*_xlfn.NORM.INV(RAND(),0,1))</f>
        <v>94.6931520057446</v>
      </c>
      <c r="J1190" s="25">
        <f ca="1">MAX(k_-I1190,0)*EXP(-rs_*T_)</f>
        <v>2.23978994764724</v>
      </c>
      <c r="K1190" s="25">
        <v>-5.15258258057083</v>
      </c>
      <c r="L1190" s="25">
        <v>-3.48279263292358</v>
      </c>
      <c r="M1190" s="28">
        <v>1</v>
      </c>
      <c r="N1190" s="28">
        <v>1</v>
      </c>
    </row>
    <row r="1191" spans="7:14">
      <c r="G1191" s="24">
        <v>1190</v>
      </c>
      <c r="H1191" s="25">
        <f>S0_</f>
        <v>100</v>
      </c>
      <c r="I1191" s="25">
        <f ca="1">S0_*EXP((mu_-sigma_^2/2)*Dt_+sigma_*SQRT(Dt_)*_xlfn.NORM.INV(RAND(),0,1))</f>
        <v>95.453488377629</v>
      </c>
      <c r="J1191" s="25">
        <f ca="1">MAX(k_-I1191,0)*EXP(-rs_*T_)</f>
        <v>1.50155588679098</v>
      </c>
      <c r="K1191" s="25">
        <v>-4.41434851971457</v>
      </c>
      <c r="L1191" s="25">
        <v>-3.48279263292358</v>
      </c>
      <c r="M1191" s="28">
        <v>1</v>
      </c>
      <c r="N1191" s="28">
        <v>1</v>
      </c>
    </row>
    <row r="1192" spans="7:14">
      <c r="G1192" s="24">
        <v>1191</v>
      </c>
      <c r="H1192" s="25">
        <f>S0_</f>
        <v>100</v>
      </c>
      <c r="I1192" s="25">
        <f ca="1">S0_*EXP((mu_-sigma_^2/2)*Dt_+sigma_*SQRT(Dt_)*_xlfn.NORM.INV(RAND(),0,1))</f>
        <v>102.94225368047</v>
      </c>
      <c r="J1192" s="25">
        <f ca="1">MAX(k_-I1192,0)*EXP(-rs_*T_)</f>
        <v>0</v>
      </c>
      <c r="K1192" s="25">
        <v>2.8567249482213</v>
      </c>
      <c r="L1192" s="25">
        <v>2.2867249482213</v>
      </c>
      <c r="M1192" s="28">
        <v>0</v>
      </c>
      <c r="N1192" s="28">
        <v>0</v>
      </c>
    </row>
    <row r="1193" spans="7:14">
      <c r="G1193" s="24">
        <v>1192</v>
      </c>
      <c r="H1193" s="25">
        <f>S0_</f>
        <v>100</v>
      </c>
      <c r="I1193" s="25">
        <f ca="1">S0_*EXP((mu_-sigma_^2/2)*Dt_+sigma_*SQRT(Dt_)*_xlfn.NORM.INV(RAND(),0,1))</f>
        <v>114.743999199775</v>
      </c>
      <c r="J1193" s="25">
        <f ca="1">MAX(k_-I1193,0)*EXP(-rs_*T_)</f>
        <v>0</v>
      </c>
      <c r="K1193" s="25">
        <v>14.3154040829787</v>
      </c>
      <c r="L1193" s="25">
        <v>13.7454040829787</v>
      </c>
      <c r="M1193" s="28">
        <v>0</v>
      </c>
      <c r="N1193" s="28">
        <v>0</v>
      </c>
    </row>
    <row r="1194" spans="7:14">
      <c r="G1194" s="24">
        <v>1193</v>
      </c>
      <c r="H1194" s="25">
        <f>S0_</f>
        <v>100</v>
      </c>
      <c r="I1194" s="25">
        <f ca="1">S0_*EXP((mu_-sigma_^2/2)*Dt_+sigma_*SQRT(Dt_)*_xlfn.NORM.INV(RAND(),0,1))</f>
        <v>110.535113937015</v>
      </c>
      <c r="J1194" s="25">
        <f ca="1">MAX(k_-I1194,0)*EXP(-rs_*T_)</f>
        <v>0</v>
      </c>
      <c r="K1194" s="25">
        <v>10.2288674209155</v>
      </c>
      <c r="L1194" s="25">
        <v>9.65886742091551</v>
      </c>
      <c r="M1194" s="28">
        <v>0</v>
      </c>
      <c r="N1194" s="28">
        <v>0</v>
      </c>
    </row>
    <row r="1195" spans="7:14">
      <c r="G1195" s="24">
        <v>1194</v>
      </c>
      <c r="H1195" s="25">
        <f>S0_</f>
        <v>100</v>
      </c>
      <c r="I1195" s="25">
        <f ca="1">S0_*EXP((mu_-sigma_^2/2)*Dt_+sigma_*SQRT(Dt_)*_xlfn.NORM.INV(RAND(),0,1))</f>
        <v>104.507029921643</v>
      </c>
      <c r="J1195" s="25">
        <f ca="1">MAX(k_-I1195,0)*EXP(-rs_*T_)</f>
        <v>0</v>
      </c>
      <c r="K1195" s="25">
        <v>4.37601451737641</v>
      </c>
      <c r="L1195" s="25">
        <v>3.80601451737641</v>
      </c>
      <c r="M1195" s="28">
        <v>0</v>
      </c>
      <c r="N1195" s="28">
        <v>0</v>
      </c>
    </row>
    <row r="1196" spans="7:14">
      <c r="G1196" s="24">
        <v>1195</v>
      </c>
      <c r="H1196" s="25">
        <f>S0_</f>
        <v>100</v>
      </c>
      <c r="I1196" s="25">
        <f ca="1">S0_*EXP((mu_-sigma_^2/2)*Dt_+sigma_*SQRT(Dt_)*_xlfn.NORM.INV(RAND(),0,1))</f>
        <v>135.072825264957</v>
      </c>
      <c r="J1196" s="25">
        <f ca="1">MAX(k_-I1196,0)*EXP(-rs_*T_)</f>
        <v>0</v>
      </c>
      <c r="K1196" s="25">
        <v>34.0532890158614</v>
      </c>
      <c r="L1196" s="25">
        <v>33.4832890158614</v>
      </c>
      <c r="M1196" s="28">
        <v>0</v>
      </c>
      <c r="N1196" s="28">
        <v>0</v>
      </c>
    </row>
    <row r="1197" spans="7:14">
      <c r="G1197" s="24">
        <v>1196</v>
      </c>
      <c r="H1197" s="25">
        <f>S0_</f>
        <v>100</v>
      </c>
      <c r="I1197" s="25">
        <f ca="1">S0_*EXP((mu_-sigma_^2/2)*Dt_+sigma_*SQRT(Dt_)*_xlfn.NORM.INV(RAND(),0,1))</f>
        <v>101.863425920145</v>
      </c>
      <c r="J1197" s="25">
        <f ca="1">MAX(k_-I1197,0)*EXP(-rs_*T_)</f>
        <v>0</v>
      </c>
      <c r="K1197" s="25">
        <v>1.80925776406549</v>
      </c>
      <c r="L1197" s="25">
        <v>1.23925776406549</v>
      </c>
      <c r="M1197" s="28">
        <v>0</v>
      </c>
      <c r="N1197" s="28">
        <v>0</v>
      </c>
    </row>
    <row r="1198" spans="7:14">
      <c r="G1198" s="24">
        <v>1197</v>
      </c>
      <c r="H1198" s="25">
        <f>S0_</f>
        <v>100</v>
      </c>
      <c r="I1198" s="25">
        <f ca="1">S0_*EXP((mu_-sigma_^2/2)*Dt_+sigma_*SQRT(Dt_)*_xlfn.NORM.INV(RAND(),0,1))</f>
        <v>103.603758512019</v>
      </c>
      <c r="J1198" s="25">
        <f ca="1">MAX(k_-I1198,0)*EXP(-rs_*T_)</f>
        <v>0</v>
      </c>
      <c r="K1198" s="25">
        <v>3.49900041488161</v>
      </c>
      <c r="L1198" s="25">
        <v>2.92900041488161</v>
      </c>
      <c r="M1198" s="28">
        <v>0</v>
      </c>
      <c r="N1198" s="28">
        <v>0</v>
      </c>
    </row>
    <row r="1199" spans="7:14">
      <c r="G1199" s="24">
        <v>1198</v>
      </c>
      <c r="H1199" s="25">
        <f>S0_</f>
        <v>100</v>
      </c>
      <c r="I1199" s="25">
        <f ca="1">S0_*EXP((mu_-sigma_^2/2)*Dt_+sigma_*SQRT(Dt_)*_xlfn.NORM.INV(RAND(),0,1))</f>
        <v>101.158255699932</v>
      </c>
      <c r="J1199" s="25">
        <f ca="1">MAX(k_-I1199,0)*EXP(-rs_*T_)</f>
        <v>0</v>
      </c>
      <c r="K1199" s="25">
        <v>1.12458622326762</v>
      </c>
      <c r="L1199" s="25">
        <v>0.554586223267616</v>
      </c>
      <c r="M1199" s="28">
        <v>0</v>
      </c>
      <c r="N1199" s="28">
        <v>0</v>
      </c>
    </row>
    <row r="1200" spans="7:14">
      <c r="G1200" s="24">
        <v>1199</v>
      </c>
      <c r="H1200" s="25">
        <f>S0_</f>
        <v>100</v>
      </c>
      <c r="I1200" s="25">
        <f ca="1">S0_*EXP((mu_-sigma_^2/2)*Dt_+sigma_*SQRT(Dt_)*_xlfn.NORM.INV(RAND(),0,1))</f>
        <v>96.5350857166534</v>
      </c>
      <c r="J1200" s="25">
        <f ca="1">MAX(k_-I1200,0)*EXP(-rs_*T_)</f>
        <v>0.451399633157657</v>
      </c>
      <c r="K1200" s="25">
        <v>-3.36419226608124</v>
      </c>
      <c r="L1200" s="25">
        <v>-3.48279263292358</v>
      </c>
      <c r="M1200" s="28">
        <v>1</v>
      </c>
      <c r="N1200" s="28">
        <v>1</v>
      </c>
    </row>
    <row r="1201" spans="7:14">
      <c r="G1201" s="24">
        <v>1200</v>
      </c>
      <c r="H1201" s="25">
        <f>S0_</f>
        <v>100</v>
      </c>
      <c r="I1201" s="25">
        <f ca="1">S0_*EXP((mu_-sigma_^2/2)*Dt_+sigma_*SQRT(Dt_)*_xlfn.NORM.INV(RAND(),0,1))</f>
        <v>98.7267510087962</v>
      </c>
      <c r="J1201" s="25">
        <f ca="1">MAX(k_-I1201,0)*EXP(-rs_*T_)</f>
        <v>0</v>
      </c>
      <c r="K1201" s="25">
        <v>-1.23623676048529</v>
      </c>
      <c r="L1201" s="25">
        <v>-1.80623676048529</v>
      </c>
      <c r="M1201" s="28">
        <v>1</v>
      </c>
      <c r="N1201" s="28">
        <v>1</v>
      </c>
    </row>
    <row r="1202" spans="7:14">
      <c r="G1202" s="24">
        <v>1201</v>
      </c>
      <c r="H1202" s="25">
        <f>S0_</f>
        <v>100</v>
      </c>
      <c r="I1202" s="25">
        <f ca="1">S0_*EXP((mu_-sigma_^2/2)*Dt_+sigma_*SQRT(Dt_)*_xlfn.NORM.INV(RAND(),0,1))</f>
        <v>89.3056018684074</v>
      </c>
      <c r="J1202" s="25">
        <f ca="1">MAX(k_-I1202,0)*EXP(-rs_*T_)</f>
        <v>7.47072873082796</v>
      </c>
      <c r="K1202" s="25">
        <v>-10.3835213637515</v>
      </c>
      <c r="L1202" s="25">
        <v>-3.48279263292358</v>
      </c>
      <c r="M1202" s="28">
        <v>1</v>
      </c>
      <c r="N1202" s="28">
        <v>1</v>
      </c>
    </row>
    <row r="1203" spans="7:14">
      <c r="G1203" s="24">
        <v>1202</v>
      </c>
      <c r="H1203" s="25">
        <f>S0_</f>
        <v>100</v>
      </c>
      <c r="I1203" s="25">
        <f ca="1">S0_*EXP((mu_-sigma_^2/2)*Dt_+sigma_*SQRT(Dt_)*_xlfn.NORM.INV(RAND(),0,1))</f>
        <v>118.949457392199</v>
      </c>
      <c r="J1203" s="25">
        <f ca="1">MAX(k_-I1203,0)*EXP(-rs_*T_)</f>
        <v>0</v>
      </c>
      <c r="K1203" s="25">
        <v>18.3986132966323</v>
      </c>
      <c r="L1203" s="25">
        <v>17.8286132966323</v>
      </c>
      <c r="M1203" s="28">
        <v>0</v>
      </c>
      <c r="N1203" s="28">
        <v>0</v>
      </c>
    </row>
    <row r="1204" spans="7:14">
      <c r="G1204" s="24">
        <v>1203</v>
      </c>
      <c r="H1204" s="25">
        <f>S0_</f>
        <v>100</v>
      </c>
      <c r="I1204" s="25">
        <f ca="1">S0_*EXP((mu_-sigma_^2/2)*Dt_+sigma_*SQRT(Dt_)*_xlfn.NORM.INV(RAND(),0,1))</f>
        <v>103.22319517507</v>
      </c>
      <c r="J1204" s="25">
        <f ca="1">MAX(k_-I1204,0)*EXP(-rs_*T_)</f>
        <v>0</v>
      </c>
      <c r="K1204" s="25">
        <v>3.12949972013933</v>
      </c>
      <c r="L1204" s="25">
        <v>2.55949972013933</v>
      </c>
      <c r="M1204" s="28">
        <v>0</v>
      </c>
      <c r="N1204" s="28">
        <v>0</v>
      </c>
    </row>
    <row r="1205" spans="7:14">
      <c r="G1205" s="24">
        <v>1204</v>
      </c>
      <c r="H1205" s="25">
        <f>S0_</f>
        <v>100</v>
      </c>
      <c r="I1205" s="25">
        <f ca="1">S0_*EXP((mu_-sigma_^2/2)*Dt_+sigma_*SQRT(Dt_)*_xlfn.NORM.INV(RAND(),0,1))</f>
        <v>105.751294755043</v>
      </c>
      <c r="J1205" s="25">
        <f ca="1">MAX(k_-I1205,0)*EXP(-rs_*T_)</f>
        <v>0</v>
      </c>
      <c r="K1205" s="25">
        <v>5.58410966408662</v>
      </c>
      <c r="L1205" s="25">
        <v>5.01410966408662</v>
      </c>
      <c r="M1205" s="28">
        <v>0</v>
      </c>
      <c r="N1205" s="28">
        <v>0</v>
      </c>
    </row>
    <row r="1206" spans="7:14">
      <c r="G1206" s="24">
        <v>1205</v>
      </c>
      <c r="H1206" s="25">
        <f>S0_</f>
        <v>100</v>
      </c>
      <c r="I1206" s="25">
        <f ca="1">S0_*EXP((mu_-sigma_^2/2)*Dt_+sigma_*SQRT(Dt_)*_xlfn.NORM.INV(RAND(),0,1))</f>
        <v>94.6259619013421</v>
      </c>
      <c r="J1206" s="25">
        <f ca="1">MAX(k_-I1206,0)*EXP(-rs_*T_)</f>
        <v>2.30502689468358</v>
      </c>
      <c r="K1206" s="25">
        <v>-5.21781952760716</v>
      </c>
      <c r="L1206" s="25">
        <v>-3.48279263292358</v>
      </c>
      <c r="M1206" s="28">
        <v>1</v>
      </c>
      <c r="N1206" s="28">
        <v>1</v>
      </c>
    </row>
    <row r="1207" spans="7:14">
      <c r="G1207" s="24">
        <v>1206</v>
      </c>
      <c r="H1207" s="25">
        <f>S0_</f>
        <v>100</v>
      </c>
      <c r="I1207" s="25">
        <f ca="1">S0_*EXP((mu_-sigma_^2/2)*Dt_+sigma_*SQRT(Dt_)*_xlfn.NORM.INV(RAND(),0,1))</f>
        <v>95.7270650920504</v>
      </c>
      <c r="J1207" s="25">
        <f ca="1">MAX(k_-I1207,0)*EXP(-rs_*T_)</f>
        <v>1.23593180735565</v>
      </c>
      <c r="K1207" s="25">
        <v>-4.14872444027923</v>
      </c>
      <c r="L1207" s="25">
        <v>-3.48279263292358</v>
      </c>
      <c r="M1207" s="28">
        <v>1</v>
      </c>
      <c r="N1207" s="28">
        <v>1</v>
      </c>
    </row>
    <row r="1208" spans="7:14">
      <c r="G1208" s="24">
        <v>1207</v>
      </c>
      <c r="H1208" s="25">
        <f>S0_</f>
        <v>100</v>
      </c>
      <c r="I1208" s="25">
        <f ca="1">S0_*EXP((mu_-sigma_^2/2)*Dt_+sigma_*SQRT(Dt_)*_xlfn.NORM.INV(RAND(),0,1))</f>
        <v>102.503450103431</v>
      </c>
      <c r="J1208" s="25">
        <f ca="1">MAX(k_-I1208,0)*EXP(-rs_*T_)</f>
        <v>0</v>
      </c>
      <c r="K1208" s="25">
        <v>2.4306770060549</v>
      </c>
      <c r="L1208" s="25">
        <v>1.8606770060549</v>
      </c>
      <c r="M1208" s="28">
        <v>0</v>
      </c>
      <c r="N1208" s="28">
        <v>0</v>
      </c>
    </row>
    <row r="1209" spans="7:14">
      <c r="G1209" s="24">
        <v>1208</v>
      </c>
      <c r="H1209" s="25">
        <f>S0_</f>
        <v>100</v>
      </c>
      <c r="I1209" s="25">
        <f ca="1">S0_*EXP((mu_-sigma_^2/2)*Dt_+sigma_*SQRT(Dt_)*_xlfn.NORM.INV(RAND(),0,1))</f>
        <v>94.4577894756342</v>
      </c>
      <c r="J1209" s="25">
        <f ca="1">MAX(k_-I1209,0)*EXP(-rs_*T_)</f>
        <v>2.46831069557118</v>
      </c>
      <c r="K1209" s="25">
        <v>-5.38110332849476</v>
      </c>
      <c r="L1209" s="25">
        <v>-3.48279263292358</v>
      </c>
      <c r="M1209" s="28">
        <v>1</v>
      </c>
      <c r="N1209" s="28">
        <v>1</v>
      </c>
    </row>
    <row r="1210" spans="7:14">
      <c r="G1210" s="24">
        <v>1209</v>
      </c>
      <c r="H1210" s="25">
        <f>S0_</f>
        <v>100</v>
      </c>
      <c r="I1210" s="25">
        <f ca="1">S0_*EXP((mu_-sigma_^2/2)*Dt_+sigma_*SQRT(Dt_)*_xlfn.NORM.INV(RAND(),0,1))</f>
        <v>104.350514280093</v>
      </c>
      <c r="J1210" s="25">
        <f ca="1">MAX(k_-I1210,0)*EXP(-rs_*T_)</f>
        <v>0</v>
      </c>
      <c r="K1210" s="25">
        <v>4.22404864816124</v>
      </c>
      <c r="L1210" s="25">
        <v>3.65404864816124</v>
      </c>
      <c r="M1210" s="28">
        <v>0</v>
      </c>
      <c r="N1210" s="28">
        <v>0</v>
      </c>
    </row>
    <row r="1211" spans="7:14">
      <c r="G1211" s="24">
        <v>1210</v>
      </c>
      <c r="H1211" s="25">
        <f>S0_</f>
        <v>100</v>
      </c>
      <c r="I1211" s="25">
        <f ca="1">S0_*EXP((mu_-sigma_^2/2)*Dt_+sigma_*SQRT(Dt_)*_xlfn.NORM.INV(RAND(),0,1))</f>
        <v>97.5625083993046</v>
      </c>
      <c r="J1211" s="25">
        <f ca="1">MAX(k_-I1211,0)*EXP(-rs_*T_)</f>
        <v>0</v>
      </c>
      <c r="K1211" s="25">
        <v>-2.36663585910625</v>
      </c>
      <c r="L1211" s="25">
        <v>-2.93663585910625</v>
      </c>
      <c r="M1211" s="28">
        <v>1</v>
      </c>
      <c r="N1211" s="28">
        <v>1</v>
      </c>
    </row>
    <row r="1212" spans="7:14">
      <c r="G1212" s="24">
        <v>1211</v>
      </c>
      <c r="H1212" s="25">
        <f>S0_</f>
        <v>100</v>
      </c>
      <c r="I1212" s="25">
        <f ca="1">S0_*EXP((mu_-sigma_^2/2)*Dt_+sigma_*SQRT(Dt_)*_xlfn.NORM.INV(RAND(),0,1))</f>
        <v>90.4321025932095</v>
      </c>
      <c r="J1212" s="25">
        <f ca="1">MAX(k_-I1212,0)*EXP(-rs_*T_)</f>
        <v>6.3769743934324</v>
      </c>
      <c r="K1212" s="25">
        <v>-9.28976702635599</v>
      </c>
      <c r="L1212" s="25">
        <v>-3.48279263292358</v>
      </c>
      <c r="M1212" s="28">
        <v>1</v>
      </c>
      <c r="N1212" s="28">
        <v>1</v>
      </c>
    </row>
    <row r="1213" spans="7:14">
      <c r="G1213" s="24">
        <v>1212</v>
      </c>
      <c r="H1213" s="25">
        <f>S0_</f>
        <v>100</v>
      </c>
      <c r="I1213" s="25">
        <f ca="1">S0_*EXP((mu_-sigma_^2/2)*Dt_+sigma_*SQRT(Dt_)*_xlfn.NORM.INV(RAND(),0,1))</f>
        <v>100.976845730953</v>
      </c>
      <c r="J1213" s="25">
        <f ca="1">MAX(k_-I1213,0)*EXP(-rs_*T_)</f>
        <v>0</v>
      </c>
      <c r="K1213" s="25">
        <v>0.948449682874031</v>
      </c>
      <c r="L1213" s="25">
        <v>0.378449682874031</v>
      </c>
      <c r="M1213" s="28">
        <v>0</v>
      </c>
      <c r="N1213" s="28">
        <v>0</v>
      </c>
    </row>
    <row r="1214" spans="7:14">
      <c r="G1214" s="24">
        <v>1213</v>
      </c>
      <c r="H1214" s="25">
        <f>S0_</f>
        <v>100</v>
      </c>
      <c r="I1214" s="25">
        <f ca="1">S0_*EXP((mu_-sigma_^2/2)*Dt_+sigma_*SQRT(Dt_)*_xlfn.NORM.INV(RAND(),0,1))</f>
        <v>108.018633634077</v>
      </c>
      <c r="J1214" s="25">
        <f ca="1">MAX(k_-I1214,0)*EXP(-rs_*T_)</f>
        <v>0</v>
      </c>
      <c r="K1214" s="25">
        <v>7.78553899181801</v>
      </c>
      <c r="L1214" s="25">
        <v>7.21553899181801</v>
      </c>
      <c r="M1214" s="28">
        <v>0</v>
      </c>
      <c r="N1214" s="28">
        <v>0</v>
      </c>
    </row>
    <row r="1215" spans="7:14">
      <c r="G1215" s="24">
        <v>1214</v>
      </c>
      <c r="H1215" s="25">
        <f>S0_</f>
        <v>100</v>
      </c>
      <c r="I1215" s="25">
        <f ca="1">S0_*EXP((mu_-sigma_^2/2)*Dt_+sigma_*SQRT(Dt_)*_xlfn.NORM.INV(RAND(),0,1))</f>
        <v>112.062083674543</v>
      </c>
      <c r="J1215" s="25">
        <f ca="1">MAX(k_-I1215,0)*EXP(-rs_*T_)</f>
        <v>0</v>
      </c>
      <c r="K1215" s="25">
        <v>11.7114494883059</v>
      </c>
      <c r="L1215" s="25">
        <v>11.1414494883059</v>
      </c>
      <c r="M1215" s="28">
        <v>0</v>
      </c>
      <c r="N1215" s="28">
        <v>0</v>
      </c>
    </row>
    <row r="1216" spans="7:14">
      <c r="G1216" s="24">
        <v>1215</v>
      </c>
      <c r="H1216" s="25">
        <f>S0_</f>
        <v>100</v>
      </c>
      <c r="I1216" s="25">
        <f ca="1">S0_*EXP((mu_-sigma_^2/2)*Dt_+sigma_*SQRT(Dt_)*_xlfn.NORM.INV(RAND(),0,1))</f>
        <v>95.3449993881063</v>
      </c>
      <c r="J1216" s="25">
        <f ca="1">MAX(k_-I1216,0)*EXP(-rs_*T_)</f>
        <v>1.60689119660269</v>
      </c>
      <c r="K1216" s="25">
        <v>-4.51968382952627</v>
      </c>
      <c r="L1216" s="25">
        <v>-3.48279263292358</v>
      </c>
      <c r="M1216" s="28">
        <v>1</v>
      </c>
      <c r="N1216" s="28">
        <v>1</v>
      </c>
    </row>
    <row r="1217" spans="7:14">
      <c r="G1217" s="24">
        <v>1216</v>
      </c>
      <c r="H1217" s="25">
        <f>S0_</f>
        <v>100</v>
      </c>
      <c r="I1217" s="25">
        <f ca="1">S0_*EXP((mu_-sigma_^2/2)*Dt_+sigma_*SQRT(Dt_)*_xlfn.NORM.INV(RAND(),0,1))</f>
        <v>116.783517670463</v>
      </c>
      <c r="J1217" s="25">
        <f ca="1">MAX(k_-I1217,0)*EXP(-rs_*T_)</f>
        <v>0</v>
      </c>
      <c r="K1217" s="25">
        <v>16.2956355416895</v>
      </c>
      <c r="L1217" s="25">
        <v>15.7256355416895</v>
      </c>
      <c r="M1217" s="28">
        <v>0</v>
      </c>
      <c r="N1217" s="28">
        <v>0</v>
      </c>
    </row>
    <row r="1218" spans="7:14">
      <c r="G1218" s="24">
        <v>1217</v>
      </c>
      <c r="H1218" s="25">
        <f>S0_</f>
        <v>100</v>
      </c>
      <c r="I1218" s="25">
        <f ca="1">S0_*EXP((mu_-sigma_^2/2)*Dt_+sigma_*SQRT(Dt_)*_xlfn.NORM.INV(RAND(),0,1))</f>
        <v>103.31541132051</v>
      </c>
      <c r="J1218" s="25">
        <f ca="1">MAX(k_-I1218,0)*EXP(-rs_*T_)</f>
        <v>0</v>
      </c>
      <c r="K1218" s="25">
        <v>3.21903522316422</v>
      </c>
      <c r="L1218" s="25">
        <v>2.64903522316422</v>
      </c>
      <c r="M1218" s="28">
        <v>0</v>
      </c>
      <c r="N1218" s="28">
        <v>0</v>
      </c>
    </row>
    <row r="1219" spans="7:14">
      <c r="G1219" s="24">
        <v>1218</v>
      </c>
      <c r="H1219" s="25">
        <f>S0_</f>
        <v>100</v>
      </c>
      <c r="I1219" s="25">
        <f ca="1">S0_*EXP((mu_-sigma_^2/2)*Dt_+sigma_*SQRT(Dt_)*_xlfn.NORM.INV(RAND(),0,1))</f>
        <v>86.034538553023</v>
      </c>
      <c r="J1219" s="25">
        <f ca="1">MAX(k_-I1219,0)*EXP(-rs_*T_)</f>
        <v>10.646705106454</v>
      </c>
      <c r="K1219" s="25">
        <v>-13.5594977393776</v>
      </c>
      <c r="L1219" s="25">
        <v>-3.48279263292358</v>
      </c>
      <c r="M1219" s="28">
        <v>1</v>
      </c>
      <c r="N1219" s="28">
        <v>1</v>
      </c>
    </row>
    <row r="1220" spans="7:14">
      <c r="G1220" s="24">
        <v>1219</v>
      </c>
      <c r="H1220" s="25">
        <f>S0_</f>
        <v>100</v>
      </c>
      <c r="I1220" s="25">
        <f ca="1">S0_*EXP((mu_-sigma_^2/2)*Dt_+sigma_*SQRT(Dt_)*_xlfn.NORM.INV(RAND(),0,1))</f>
        <v>93.0672614056583</v>
      </c>
      <c r="J1220" s="25">
        <f ca="1">MAX(k_-I1220,0)*EXP(-rs_*T_)</f>
        <v>3.81841733493757</v>
      </c>
      <c r="K1220" s="25">
        <v>-6.73120996786115</v>
      </c>
      <c r="L1220" s="25">
        <v>-3.48279263292358</v>
      </c>
      <c r="M1220" s="28">
        <v>1</v>
      </c>
      <c r="N1220" s="28">
        <v>1</v>
      </c>
    </row>
    <row r="1221" spans="7:14">
      <c r="G1221" s="24">
        <v>1220</v>
      </c>
      <c r="H1221" s="25">
        <f>S0_</f>
        <v>100</v>
      </c>
      <c r="I1221" s="25">
        <f ca="1">S0_*EXP((mu_-sigma_^2/2)*Dt_+sigma_*SQRT(Dt_)*_xlfn.NORM.INV(RAND(),0,1))</f>
        <v>99.007841264245</v>
      </c>
      <c r="J1221" s="25">
        <f ca="1">MAX(k_-I1221,0)*EXP(-rs_*T_)</f>
        <v>0</v>
      </c>
      <c r="K1221" s="25">
        <v>-0.963317552065992</v>
      </c>
      <c r="L1221" s="25">
        <v>-1.53331755206599</v>
      </c>
      <c r="M1221" s="28">
        <v>1</v>
      </c>
      <c r="N1221" s="28">
        <v>1</v>
      </c>
    </row>
    <row r="1222" spans="7:14">
      <c r="G1222" s="24">
        <v>1221</v>
      </c>
      <c r="H1222" s="25">
        <f>S0_</f>
        <v>100</v>
      </c>
      <c r="I1222" s="25">
        <f ca="1">S0_*EXP((mu_-sigma_^2/2)*Dt_+sigma_*SQRT(Dt_)*_xlfn.NORM.INV(RAND(),0,1))</f>
        <v>107.478736247916</v>
      </c>
      <c r="J1222" s="25">
        <f ca="1">MAX(k_-I1222,0)*EXP(-rs_*T_)</f>
        <v>0</v>
      </c>
      <c r="K1222" s="25">
        <v>7.26133594883629</v>
      </c>
      <c r="L1222" s="25">
        <v>6.69133594883629</v>
      </c>
      <c r="M1222" s="28">
        <v>0</v>
      </c>
      <c r="N1222" s="28">
        <v>0</v>
      </c>
    </row>
    <row r="1223" spans="7:14">
      <c r="G1223" s="24">
        <v>1222</v>
      </c>
      <c r="H1223" s="25">
        <f>S0_</f>
        <v>100</v>
      </c>
      <c r="I1223" s="25">
        <f ca="1">S0_*EXP((mu_-sigma_^2/2)*Dt_+sigma_*SQRT(Dt_)*_xlfn.NORM.INV(RAND(),0,1))</f>
        <v>89.1680334029882</v>
      </c>
      <c r="J1223" s="25">
        <f ca="1">MAX(k_-I1223,0)*EXP(-rs_*T_)</f>
        <v>7.60429820169318</v>
      </c>
      <c r="K1223" s="25">
        <v>-10.5170908346168</v>
      </c>
      <c r="L1223" s="25">
        <v>-3.48279263292358</v>
      </c>
      <c r="M1223" s="28">
        <v>1</v>
      </c>
      <c r="N1223" s="28">
        <v>1</v>
      </c>
    </row>
    <row r="1224" spans="7:14">
      <c r="G1224" s="24">
        <v>1223</v>
      </c>
      <c r="H1224" s="25">
        <f>S0_</f>
        <v>100</v>
      </c>
      <c r="I1224" s="25">
        <f ca="1">S0_*EXP((mu_-sigma_^2/2)*Dt_+sigma_*SQRT(Dt_)*_xlfn.NORM.INV(RAND(),0,1))</f>
        <v>102.51766032666</v>
      </c>
      <c r="J1224" s="25">
        <f ca="1">MAX(k_-I1224,0)*EXP(-rs_*T_)</f>
        <v>0</v>
      </c>
      <c r="K1224" s="25">
        <v>2.4444741505666</v>
      </c>
      <c r="L1224" s="25">
        <v>1.8744741505666</v>
      </c>
      <c r="M1224" s="28">
        <v>0</v>
      </c>
      <c r="N1224" s="28">
        <v>0</v>
      </c>
    </row>
    <row r="1225" spans="7:14">
      <c r="G1225" s="24">
        <v>1224</v>
      </c>
      <c r="H1225" s="25">
        <f>S0_</f>
        <v>100</v>
      </c>
      <c r="I1225" s="25">
        <f ca="1">S0_*EXP((mu_-sigma_^2/2)*Dt_+sigma_*SQRT(Dt_)*_xlfn.NORM.INV(RAND(),0,1))</f>
        <v>94.9606248118854</v>
      </c>
      <c r="J1225" s="25">
        <f ca="1">MAX(k_-I1225,0)*EXP(-rs_*T_)</f>
        <v>1.98009234123579</v>
      </c>
      <c r="K1225" s="25">
        <v>-4.89288497415937</v>
      </c>
      <c r="L1225" s="25">
        <v>-3.48279263292358</v>
      </c>
      <c r="M1225" s="28">
        <v>1</v>
      </c>
      <c r="N1225" s="28">
        <v>1</v>
      </c>
    </row>
    <row r="1226" spans="7:14">
      <c r="G1226" s="24">
        <v>1225</v>
      </c>
      <c r="H1226" s="25">
        <f>S0_</f>
        <v>100</v>
      </c>
      <c r="I1226" s="25">
        <f ca="1">S0_*EXP((mu_-sigma_^2/2)*Dt_+sigma_*SQRT(Dt_)*_xlfn.NORM.INV(RAND(),0,1))</f>
        <v>119.213165599144</v>
      </c>
      <c r="J1226" s="25">
        <f ca="1">MAX(k_-I1226,0)*EXP(-rs_*T_)</f>
        <v>0</v>
      </c>
      <c r="K1226" s="25">
        <v>18.6546557374423</v>
      </c>
      <c r="L1226" s="25">
        <v>18.0846557374423</v>
      </c>
      <c r="M1226" s="28">
        <v>0</v>
      </c>
      <c r="N1226" s="28">
        <v>0</v>
      </c>
    </row>
    <row r="1227" spans="7:14">
      <c r="G1227" s="24">
        <v>1226</v>
      </c>
      <c r="H1227" s="25">
        <f>S0_</f>
        <v>100</v>
      </c>
      <c r="I1227" s="25">
        <f ca="1">S0_*EXP((mu_-sigma_^2/2)*Dt_+sigma_*SQRT(Dt_)*_xlfn.NORM.INV(RAND(),0,1))</f>
        <v>105.915273023136</v>
      </c>
      <c r="J1227" s="25">
        <f ca="1">MAX(k_-I1227,0)*EXP(-rs_*T_)</f>
        <v>0</v>
      </c>
      <c r="K1227" s="25">
        <v>5.74332122784095</v>
      </c>
      <c r="L1227" s="25">
        <v>5.17332122784095</v>
      </c>
      <c r="M1227" s="28">
        <v>0</v>
      </c>
      <c r="N1227" s="28">
        <v>0</v>
      </c>
    </row>
    <row r="1228" spans="7:14">
      <c r="G1228" s="24">
        <v>1227</v>
      </c>
      <c r="H1228" s="25">
        <f>S0_</f>
        <v>100</v>
      </c>
      <c r="I1228" s="25">
        <f ca="1">S0_*EXP((mu_-sigma_^2/2)*Dt_+sigma_*SQRT(Dt_)*_xlfn.NORM.INV(RAND(),0,1))</f>
        <v>95.7327986621717</v>
      </c>
      <c r="J1228" s="25">
        <f ca="1">MAX(k_-I1228,0)*EXP(-rs_*T_)</f>
        <v>1.23036490708572</v>
      </c>
      <c r="K1228" s="25">
        <v>-4.14315754000931</v>
      </c>
      <c r="L1228" s="25">
        <v>-3.48279263292358</v>
      </c>
      <c r="M1228" s="28">
        <v>1</v>
      </c>
      <c r="N1228" s="28">
        <v>1</v>
      </c>
    </row>
    <row r="1229" spans="7:14">
      <c r="G1229" s="24">
        <v>1228</v>
      </c>
      <c r="H1229" s="25">
        <f>S0_</f>
        <v>100</v>
      </c>
      <c r="I1229" s="25">
        <f ca="1">S0_*EXP((mu_-sigma_^2/2)*Dt_+sigma_*SQRT(Dt_)*_xlfn.NORM.INV(RAND(),0,1))</f>
        <v>111.200924919814</v>
      </c>
      <c r="J1229" s="25">
        <f ca="1">MAX(k_-I1229,0)*EXP(-rs_*T_)</f>
        <v>0</v>
      </c>
      <c r="K1229" s="25">
        <v>10.8753238627884</v>
      </c>
      <c r="L1229" s="25">
        <v>10.3053238627884</v>
      </c>
      <c r="M1229" s="28">
        <v>0</v>
      </c>
      <c r="N1229" s="28">
        <v>0</v>
      </c>
    </row>
    <row r="1230" spans="7:14">
      <c r="G1230" s="24">
        <v>1229</v>
      </c>
      <c r="H1230" s="25">
        <f>S0_</f>
        <v>100</v>
      </c>
      <c r="I1230" s="25">
        <f ca="1">S0_*EXP((mu_-sigma_^2/2)*Dt_+sigma_*SQRT(Dt_)*_xlfn.NORM.INV(RAND(),0,1))</f>
        <v>96.5034560293433</v>
      </c>
      <c r="J1230" s="25">
        <f ca="1">MAX(k_-I1230,0)*EXP(-rs_*T_)</f>
        <v>0.482109873217183</v>
      </c>
      <c r="K1230" s="25">
        <v>-3.39490250614077</v>
      </c>
      <c r="L1230" s="25">
        <v>-3.48279263292358</v>
      </c>
      <c r="M1230" s="28">
        <v>1</v>
      </c>
      <c r="N1230" s="28">
        <v>1</v>
      </c>
    </row>
    <row r="1231" spans="7:14">
      <c r="G1231" s="24">
        <v>1230</v>
      </c>
      <c r="H1231" s="25">
        <f>S0_</f>
        <v>100</v>
      </c>
      <c r="I1231" s="25">
        <f ca="1">S0_*EXP((mu_-sigma_^2/2)*Dt_+sigma_*SQRT(Dt_)*_xlfn.NORM.INV(RAND(),0,1))</f>
        <v>109.43545998604</v>
      </c>
      <c r="J1231" s="25">
        <f ca="1">MAX(k_-I1231,0)*EXP(-rs_*T_)</f>
        <v>0</v>
      </c>
      <c r="K1231" s="25">
        <v>9.16117944519384</v>
      </c>
      <c r="L1231" s="25">
        <v>8.59117944519384</v>
      </c>
      <c r="M1231" s="28">
        <v>0</v>
      </c>
      <c r="N1231" s="28">
        <v>0</v>
      </c>
    </row>
    <row r="1232" spans="7:14">
      <c r="G1232" s="24">
        <v>1231</v>
      </c>
      <c r="H1232" s="25">
        <f>S0_</f>
        <v>100</v>
      </c>
      <c r="I1232" s="25">
        <f ca="1">S0_*EXP((mu_-sigma_^2/2)*Dt_+sigma_*SQRT(Dt_)*_xlfn.NORM.INV(RAND(),0,1))</f>
        <v>92.6067904673105</v>
      </c>
      <c r="J1232" s="25">
        <f ca="1">MAX(k_-I1232,0)*EXP(-rs_*T_)</f>
        <v>4.26550278723585</v>
      </c>
      <c r="K1232" s="25">
        <v>-7.17829542015943</v>
      </c>
      <c r="L1232" s="25">
        <v>-3.48279263292358</v>
      </c>
      <c r="M1232" s="28">
        <v>1</v>
      </c>
      <c r="N1232" s="28">
        <v>1</v>
      </c>
    </row>
    <row r="1233" spans="7:14">
      <c r="G1233" s="24">
        <v>1232</v>
      </c>
      <c r="H1233" s="25">
        <f>S0_</f>
        <v>100</v>
      </c>
      <c r="I1233" s="25">
        <f ca="1">S0_*EXP((mu_-sigma_^2/2)*Dt_+sigma_*SQRT(Dt_)*_xlfn.NORM.INV(RAND(),0,1))</f>
        <v>106.70890725361</v>
      </c>
      <c r="J1233" s="25">
        <f ca="1">MAX(k_-I1233,0)*EXP(-rs_*T_)</f>
        <v>0</v>
      </c>
      <c r="K1233" s="25">
        <v>6.5138852077608</v>
      </c>
      <c r="L1233" s="25">
        <v>5.9438852077608</v>
      </c>
      <c r="M1233" s="28">
        <v>0</v>
      </c>
      <c r="N1233" s="28">
        <v>0</v>
      </c>
    </row>
    <row r="1234" spans="7:14">
      <c r="G1234" s="24">
        <v>1233</v>
      </c>
      <c r="H1234" s="25">
        <f>S0_</f>
        <v>100</v>
      </c>
      <c r="I1234" s="25">
        <f ca="1">S0_*EXP((mu_-sigma_^2/2)*Dt_+sigma_*SQRT(Dt_)*_xlfn.NORM.INV(RAND(),0,1))</f>
        <v>93.6960437355657</v>
      </c>
      <c r="J1234" s="25">
        <f ca="1">MAX(k_-I1234,0)*EXP(-rs_*T_)</f>
        <v>3.20791315551534</v>
      </c>
      <c r="K1234" s="25">
        <v>-6.12070578843892</v>
      </c>
      <c r="L1234" s="25">
        <v>-3.48279263292358</v>
      </c>
      <c r="M1234" s="28">
        <v>1</v>
      </c>
      <c r="N1234" s="28">
        <v>1</v>
      </c>
    </row>
    <row r="1235" spans="7:14">
      <c r="G1235" s="24">
        <v>1234</v>
      </c>
      <c r="H1235" s="25">
        <f>S0_</f>
        <v>100</v>
      </c>
      <c r="I1235" s="25">
        <f ca="1">S0_*EXP((mu_-sigma_^2/2)*Dt_+sigma_*SQRT(Dt_)*_xlfn.NORM.INV(RAND(),0,1))</f>
        <v>98.6805160363581</v>
      </c>
      <c r="J1235" s="25">
        <f ca="1">MAX(k_-I1235,0)*EXP(-rs_*T_)</f>
        <v>0</v>
      </c>
      <c r="K1235" s="25">
        <v>-1.28112772285233</v>
      </c>
      <c r="L1235" s="25">
        <v>-1.85112772285233</v>
      </c>
      <c r="M1235" s="28">
        <v>1</v>
      </c>
      <c r="N1235" s="28">
        <v>1</v>
      </c>
    </row>
    <row r="1236" spans="7:14">
      <c r="G1236" s="24">
        <v>1235</v>
      </c>
      <c r="H1236" s="25">
        <f>S0_</f>
        <v>100</v>
      </c>
      <c r="I1236" s="25">
        <f ca="1">S0_*EXP((mu_-sigma_^2/2)*Dt_+sigma_*SQRT(Dt_)*_xlfn.NORM.INV(RAND(),0,1))</f>
        <v>110.250796172977</v>
      </c>
      <c r="J1236" s="25">
        <f ca="1">MAX(k_-I1236,0)*EXP(-rs_*T_)</f>
        <v>0</v>
      </c>
      <c r="K1236" s="25">
        <v>9.95281452474989</v>
      </c>
      <c r="L1236" s="25">
        <v>9.38281452474989</v>
      </c>
      <c r="M1236" s="28">
        <v>0</v>
      </c>
      <c r="N1236" s="28">
        <v>0</v>
      </c>
    </row>
    <row r="1237" spans="7:14">
      <c r="G1237" s="24">
        <v>1236</v>
      </c>
      <c r="H1237" s="25">
        <f>S0_</f>
        <v>100</v>
      </c>
      <c r="I1237" s="25">
        <f ca="1">S0_*EXP((mu_-sigma_^2/2)*Dt_+sigma_*SQRT(Dt_)*_xlfn.NORM.INV(RAND(),0,1))</f>
        <v>92.9747716575253</v>
      </c>
      <c r="J1237" s="25">
        <f ca="1">MAX(k_-I1237,0)*EXP(-rs_*T_)</f>
        <v>3.90821848726517</v>
      </c>
      <c r="K1237" s="25">
        <v>-6.82101112018876</v>
      </c>
      <c r="L1237" s="25">
        <v>-3.48279263292358</v>
      </c>
      <c r="M1237" s="28">
        <v>1</v>
      </c>
      <c r="N1237" s="28">
        <v>1</v>
      </c>
    </row>
    <row r="1238" spans="7:14">
      <c r="G1238" s="24">
        <v>1237</v>
      </c>
      <c r="H1238" s="25">
        <f>S0_</f>
        <v>100</v>
      </c>
      <c r="I1238" s="25">
        <f ca="1">S0_*EXP((mu_-sigma_^2/2)*Dt_+sigma_*SQRT(Dt_)*_xlfn.NORM.INV(RAND(),0,1))</f>
        <v>102.624838482071</v>
      </c>
      <c r="J1238" s="25">
        <f ca="1">MAX(k_-I1238,0)*EXP(-rs_*T_)</f>
        <v>0</v>
      </c>
      <c r="K1238" s="25">
        <v>2.54853673106399</v>
      </c>
      <c r="L1238" s="25">
        <v>1.97853673106399</v>
      </c>
      <c r="M1238" s="28">
        <v>0</v>
      </c>
      <c r="N1238" s="28">
        <v>0</v>
      </c>
    </row>
    <row r="1239" spans="7:14">
      <c r="G1239" s="24">
        <v>1238</v>
      </c>
      <c r="H1239" s="25">
        <f>S0_</f>
        <v>100</v>
      </c>
      <c r="I1239" s="25">
        <f ca="1">S0_*EXP((mu_-sigma_^2/2)*Dt_+sigma_*SQRT(Dt_)*_xlfn.NORM.INV(RAND(),0,1))</f>
        <v>97.7767080649445</v>
      </c>
      <c r="J1239" s="25">
        <f ca="1">MAX(k_-I1239,0)*EXP(-rs_*T_)</f>
        <v>0</v>
      </c>
      <c r="K1239" s="25">
        <v>-2.15866278975607</v>
      </c>
      <c r="L1239" s="25">
        <v>-2.72866278975607</v>
      </c>
      <c r="M1239" s="28">
        <v>1</v>
      </c>
      <c r="N1239" s="28">
        <v>1</v>
      </c>
    </row>
    <row r="1240" spans="7:14">
      <c r="G1240" s="24">
        <v>1239</v>
      </c>
      <c r="H1240" s="25">
        <f>S0_</f>
        <v>100</v>
      </c>
      <c r="I1240" s="25">
        <f ca="1">S0_*EXP((mu_-sigma_^2/2)*Dt_+sigma_*SQRT(Dt_)*_xlfn.NORM.INV(RAND(),0,1))</f>
        <v>118.193022158489</v>
      </c>
      <c r="J1240" s="25">
        <f ca="1">MAX(k_-I1240,0)*EXP(-rs_*T_)</f>
        <v>0</v>
      </c>
      <c r="K1240" s="25">
        <v>17.664166971287</v>
      </c>
      <c r="L1240" s="25">
        <v>17.094166971287</v>
      </c>
      <c r="M1240" s="28">
        <v>0</v>
      </c>
      <c r="N1240" s="28">
        <v>0</v>
      </c>
    </row>
    <row r="1241" spans="7:14">
      <c r="G1241" s="24">
        <v>1240</v>
      </c>
      <c r="H1241" s="25">
        <f>S0_</f>
        <v>100</v>
      </c>
      <c r="I1241" s="25">
        <f ca="1">S0_*EXP((mu_-sigma_^2/2)*Dt_+sigma_*SQRT(Dt_)*_xlfn.NORM.INV(RAND(),0,1))</f>
        <v>115.879880931315</v>
      </c>
      <c r="J1241" s="25">
        <f ca="1">MAX(k_-I1241,0)*EXP(-rs_*T_)</f>
        <v>0</v>
      </c>
      <c r="K1241" s="25">
        <v>15.4182667294796</v>
      </c>
      <c r="L1241" s="25">
        <v>14.8482667294796</v>
      </c>
      <c r="M1241" s="28">
        <v>0</v>
      </c>
      <c r="N1241" s="28">
        <v>0</v>
      </c>
    </row>
    <row r="1242" spans="7:14">
      <c r="G1242" s="24">
        <v>1241</v>
      </c>
      <c r="H1242" s="25">
        <f>S0_</f>
        <v>100</v>
      </c>
      <c r="I1242" s="25">
        <f ca="1">S0_*EXP((mu_-sigma_^2/2)*Dt_+sigma_*SQRT(Dt_)*_xlfn.NORM.INV(RAND(),0,1))</f>
        <v>105.469951068258</v>
      </c>
      <c r="J1242" s="25">
        <f ca="1">MAX(k_-I1242,0)*EXP(-rs_*T_)</f>
        <v>0</v>
      </c>
      <c r="K1242" s="25">
        <v>5.31094439135773</v>
      </c>
      <c r="L1242" s="25">
        <v>4.74094439135773</v>
      </c>
      <c r="M1242" s="28">
        <v>0</v>
      </c>
      <c r="N1242" s="28">
        <v>0</v>
      </c>
    </row>
    <row r="1243" spans="7:14">
      <c r="G1243" s="24">
        <v>1242</v>
      </c>
      <c r="H1243" s="25">
        <f>S0_</f>
        <v>100</v>
      </c>
      <c r="I1243" s="25">
        <f ca="1">S0_*EXP((mu_-sigma_^2/2)*Dt_+sigma_*SQRT(Dt_)*_xlfn.NORM.INV(RAND(),0,1))</f>
        <v>93.935336416822</v>
      </c>
      <c r="J1243" s="25">
        <f ca="1">MAX(k_-I1243,0)*EXP(-rs_*T_)</f>
        <v>2.97557650249001</v>
      </c>
      <c r="K1243" s="25">
        <v>-5.88836913541359</v>
      </c>
      <c r="L1243" s="25">
        <v>-3.48279263292358</v>
      </c>
      <c r="M1243" s="28">
        <v>1</v>
      </c>
      <c r="N1243" s="28">
        <v>1</v>
      </c>
    </row>
    <row r="1244" spans="7:14">
      <c r="G1244" s="24">
        <v>1243</v>
      </c>
      <c r="H1244" s="25">
        <f>S0_</f>
        <v>100</v>
      </c>
      <c r="I1244" s="25">
        <f ca="1">S0_*EXP((mu_-sigma_^2/2)*Dt_+sigma_*SQRT(Dt_)*_xlfn.NORM.INV(RAND(),0,1))</f>
        <v>100.603783432078</v>
      </c>
      <c r="J1244" s="25">
        <f ca="1">MAX(k_-I1244,0)*EXP(-rs_*T_)</f>
        <v>0</v>
      </c>
      <c r="K1244" s="25">
        <v>0.586231977612708</v>
      </c>
      <c r="L1244" s="25">
        <v>0.0162319776127084</v>
      </c>
      <c r="M1244" s="28">
        <v>0</v>
      </c>
      <c r="N1244" s="28">
        <v>0</v>
      </c>
    </row>
    <row r="1245" spans="7:14">
      <c r="G1245" s="24">
        <v>1244</v>
      </c>
      <c r="H1245" s="25">
        <f>S0_</f>
        <v>100</v>
      </c>
      <c r="I1245" s="25">
        <f ca="1">S0_*EXP((mu_-sigma_^2/2)*Dt_+sigma_*SQRT(Dt_)*_xlfn.NORM.INV(RAND(),0,1))</f>
        <v>102.453101750371</v>
      </c>
      <c r="J1245" s="25">
        <f ca="1">MAX(k_-I1245,0)*EXP(-rs_*T_)</f>
        <v>0</v>
      </c>
      <c r="K1245" s="25">
        <v>2.38179223543068</v>
      </c>
      <c r="L1245" s="25">
        <v>1.81179223543068</v>
      </c>
      <c r="M1245" s="28">
        <v>0</v>
      </c>
      <c r="N1245" s="28">
        <v>0</v>
      </c>
    </row>
    <row r="1246" spans="7:14">
      <c r="G1246" s="24">
        <v>1245</v>
      </c>
      <c r="H1246" s="25">
        <f>S0_</f>
        <v>100</v>
      </c>
      <c r="I1246" s="25">
        <f ca="1">S0_*EXP((mu_-sigma_^2/2)*Dt_+sigma_*SQRT(Dt_)*_xlfn.NORM.INV(RAND(),0,1))</f>
        <v>104.27682136087</v>
      </c>
      <c r="J1246" s="25">
        <f ca="1">MAX(k_-I1246,0)*EXP(-rs_*T_)</f>
        <v>0</v>
      </c>
      <c r="K1246" s="25">
        <v>4.15249791742448</v>
      </c>
      <c r="L1246" s="25">
        <v>3.58249791742448</v>
      </c>
      <c r="M1246" s="28">
        <v>0</v>
      </c>
      <c r="N1246" s="28">
        <v>0</v>
      </c>
    </row>
    <row r="1247" spans="7:14">
      <c r="G1247" s="24">
        <v>1246</v>
      </c>
      <c r="H1247" s="25">
        <f>S0_</f>
        <v>100</v>
      </c>
      <c r="I1247" s="25">
        <f ca="1">S0_*EXP((mu_-sigma_^2/2)*Dt_+sigma_*SQRT(Dt_)*_xlfn.NORM.INV(RAND(),0,1))</f>
        <v>97.9152163793836</v>
      </c>
      <c r="J1247" s="25">
        <f ca="1">MAX(k_-I1247,0)*EXP(-rs_*T_)</f>
        <v>0</v>
      </c>
      <c r="K1247" s="25">
        <v>-2.02418079045709</v>
      </c>
      <c r="L1247" s="25">
        <v>-2.59418079045709</v>
      </c>
      <c r="M1247" s="28">
        <v>1</v>
      </c>
      <c r="N1247" s="28">
        <v>1</v>
      </c>
    </row>
    <row r="1248" spans="7:14">
      <c r="G1248" s="24">
        <v>1247</v>
      </c>
      <c r="H1248" s="25">
        <f>S0_</f>
        <v>100</v>
      </c>
      <c r="I1248" s="25">
        <f ca="1">S0_*EXP((mu_-sigma_^2/2)*Dt_+sigma_*SQRT(Dt_)*_xlfn.NORM.INV(RAND(),0,1))</f>
        <v>123.318541934779</v>
      </c>
      <c r="J1248" s="25">
        <f ca="1">MAX(k_-I1248,0)*EXP(-rs_*T_)</f>
        <v>0</v>
      </c>
      <c r="K1248" s="25">
        <v>22.6406923860483</v>
      </c>
      <c r="L1248" s="25">
        <v>22.0706923860483</v>
      </c>
      <c r="M1248" s="28">
        <v>0</v>
      </c>
      <c r="N1248" s="28">
        <v>0</v>
      </c>
    </row>
    <row r="1249" spans="7:14">
      <c r="G1249" s="24">
        <v>1248</v>
      </c>
      <c r="H1249" s="25">
        <f>S0_</f>
        <v>100</v>
      </c>
      <c r="I1249" s="25">
        <f ca="1">S0_*EXP((mu_-sigma_^2/2)*Dt_+sigma_*SQRT(Dt_)*_xlfn.NORM.INV(RAND(),0,1))</f>
        <v>87.6119944557167</v>
      </c>
      <c r="J1249" s="25">
        <f ca="1">MAX(k_-I1249,0)*EXP(-rs_*T_)</f>
        <v>9.1151044624114</v>
      </c>
      <c r="K1249" s="25">
        <v>-12.027897095335</v>
      </c>
      <c r="L1249" s="25">
        <v>-3.48279263292358</v>
      </c>
      <c r="M1249" s="28">
        <v>1</v>
      </c>
      <c r="N1249" s="28">
        <v>1</v>
      </c>
    </row>
    <row r="1250" spans="7:14">
      <c r="G1250" s="24">
        <v>1249</v>
      </c>
      <c r="H1250" s="25">
        <f>S0_</f>
        <v>100</v>
      </c>
      <c r="I1250" s="25">
        <f ca="1">S0_*EXP((mu_-sigma_^2/2)*Dt_+sigma_*SQRT(Dt_)*_xlfn.NORM.INV(RAND(),0,1))</f>
        <v>95.3221275731992</v>
      </c>
      <c r="J1250" s="25">
        <f ca="1">MAX(k_-I1250,0)*EXP(-rs_*T_)</f>
        <v>1.62909814792368</v>
      </c>
      <c r="K1250" s="25">
        <v>-4.54189078084726</v>
      </c>
      <c r="L1250" s="25">
        <v>-3.48279263292358</v>
      </c>
      <c r="M1250" s="28">
        <v>1</v>
      </c>
      <c r="N1250" s="28">
        <v>1</v>
      </c>
    </row>
    <row r="1251" spans="7:14">
      <c r="G1251" s="24">
        <v>1250</v>
      </c>
      <c r="H1251" s="25">
        <f>S0_</f>
        <v>100</v>
      </c>
      <c r="I1251" s="25">
        <f ca="1">S0_*EXP((mu_-sigma_^2/2)*Dt_+sigma_*SQRT(Dt_)*_xlfn.NORM.INV(RAND(),0,1))</f>
        <v>102.985139208944</v>
      </c>
      <c r="J1251" s="25">
        <f ca="1">MAX(k_-I1251,0)*EXP(-rs_*T_)</f>
        <v>0</v>
      </c>
      <c r="K1251" s="25">
        <v>2.89836383202141</v>
      </c>
      <c r="L1251" s="25">
        <v>2.32836383202141</v>
      </c>
      <c r="M1251" s="28">
        <v>0</v>
      </c>
      <c r="N1251" s="28">
        <v>0</v>
      </c>
    </row>
    <row r="1252" spans="7:14">
      <c r="G1252" s="24">
        <v>1251</v>
      </c>
      <c r="H1252" s="25">
        <f>S0_</f>
        <v>100</v>
      </c>
      <c r="I1252" s="25">
        <f ca="1">S0_*EXP((mu_-sigma_^2/2)*Dt_+sigma_*SQRT(Dt_)*_xlfn.NORM.INV(RAND(),0,1))</f>
        <v>102.792324262384</v>
      </c>
      <c r="J1252" s="25">
        <f ca="1">MAX(k_-I1252,0)*EXP(-rs_*T_)</f>
        <v>0</v>
      </c>
      <c r="K1252" s="25">
        <v>2.71115384673517</v>
      </c>
      <c r="L1252" s="25">
        <v>2.14115384673517</v>
      </c>
      <c r="M1252" s="28">
        <v>0</v>
      </c>
      <c r="N1252" s="28">
        <v>0</v>
      </c>
    </row>
    <row r="1253" spans="7:14">
      <c r="G1253" s="24">
        <v>1252</v>
      </c>
      <c r="H1253" s="25">
        <f>S0_</f>
        <v>100</v>
      </c>
      <c r="I1253" s="25">
        <f ca="1">S0_*EXP((mu_-sigma_^2/2)*Dt_+sigma_*SQRT(Dt_)*_xlfn.NORM.INV(RAND(),0,1))</f>
        <v>101.342517147998</v>
      </c>
      <c r="J1253" s="25">
        <f ca="1">MAX(k_-I1253,0)*EXP(-rs_*T_)</f>
        <v>0</v>
      </c>
      <c r="K1253" s="25">
        <v>1.30349135275396</v>
      </c>
      <c r="L1253" s="25">
        <v>0.733491352753964</v>
      </c>
      <c r="M1253" s="28">
        <v>0</v>
      </c>
      <c r="N1253" s="28">
        <v>0</v>
      </c>
    </row>
    <row r="1254" spans="7:14">
      <c r="G1254" s="24">
        <v>1253</v>
      </c>
      <c r="H1254" s="25">
        <f>S0_</f>
        <v>100</v>
      </c>
      <c r="I1254" s="25">
        <f ca="1">S0_*EXP((mu_-sigma_^2/2)*Dt_+sigma_*SQRT(Dt_)*_xlfn.NORM.INV(RAND(),0,1))</f>
        <v>106.651990923087</v>
      </c>
      <c r="J1254" s="25">
        <f ca="1">MAX(k_-I1254,0)*EXP(-rs_*T_)</f>
        <v>0</v>
      </c>
      <c r="K1254" s="25">
        <v>6.45862338501374</v>
      </c>
      <c r="L1254" s="25">
        <v>5.88862338501374</v>
      </c>
      <c r="M1254" s="28">
        <v>0</v>
      </c>
      <c r="N1254" s="28">
        <v>0</v>
      </c>
    </row>
    <row r="1255" spans="7:14">
      <c r="G1255" s="24">
        <v>1254</v>
      </c>
      <c r="H1255" s="25">
        <f>S0_</f>
        <v>100</v>
      </c>
      <c r="I1255" s="25">
        <f ca="1">S0_*EXP((mu_-sigma_^2/2)*Dt_+sigma_*SQRT(Dt_)*_xlfn.NORM.INV(RAND(),0,1))</f>
        <v>103.965423804914</v>
      </c>
      <c r="J1255" s="25">
        <f ca="1">MAX(k_-I1255,0)*EXP(-rs_*T_)</f>
        <v>0</v>
      </c>
      <c r="K1255" s="25">
        <v>3.85015241512465</v>
      </c>
      <c r="L1255" s="25">
        <v>3.28015241512465</v>
      </c>
      <c r="M1255" s="28">
        <v>0</v>
      </c>
      <c r="N1255" s="28">
        <v>0</v>
      </c>
    </row>
    <row r="1256" spans="7:14">
      <c r="G1256" s="24">
        <v>1255</v>
      </c>
      <c r="H1256" s="25">
        <f>S0_</f>
        <v>100</v>
      </c>
      <c r="I1256" s="25">
        <f ca="1">S0_*EXP((mu_-sigma_^2/2)*Dt_+sigma_*SQRT(Dt_)*_xlfn.NORM.INV(RAND(),0,1))</f>
        <v>108.510588404952</v>
      </c>
      <c r="J1256" s="25">
        <f ca="1">MAX(k_-I1256,0)*EXP(-rs_*T_)</f>
        <v>0</v>
      </c>
      <c r="K1256" s="25">
        <v>8.26319306926276</v>
      </c>
      <c r="L1256" s="25">
        <v>7.69319306926276</v>
      </c>
      <c r="M1256" s="28">
        <v>0</v>
      </c>
      <c r="N1256" s="28">
        <v>0</v>
      </c>
    </row>
    <row r="1257" spans="7:14">
      <c r="G1257" s="24">
        <v>1256</v>
      </c>
      <c r="H1257" s="25">
        <f>S0_</f>
        <v>100</v>
      </c>
      <c r="I1257" s="25">
        <f ca="1">S0_*EXP((mu_-sigma_^2/2)*Dt_+sigma_*SQRT(Dt_)*_xlfn.NORM.INV(RAND(),0,1))</f>
        <v>88.6042197578841</v>
      </c>
      <c r="J1257" s="25">
        <f ca="1">MAX(k_-I1257,0)*EXP(-rs_*T_)</f>
        <v>8.15172227896022</v>
      </c>
      <c r="K1257" s="25">
        <v>-11.0645149118838</v>
      </c>
      <c r="L1257" s="25">
        <v>-3.48279263292358</v>
      </c>
      <c r="M1257" s="28">
        <v>1</v>
      </c>
      <c r="N1257" s="28">
        <v>1</v>
      </c>
    </row>
    <row r="1258" spans="7:14">
      <c r="G1258" s="24">
        <v>1257</v>
      </c>
      <c r="H1258" s="25">
        <f>S0_</f>
        <v>100</v>
      </c>
      <c r="I1258" s="25">
        <f ca="1">S0_*EXP((mu_-sigma_^2/2)*Dt_+sigma_*SQRT(Dt_)*_xlfn.NORM.INV(RAND(),0,1))</f>
        <v>113.300842782958</v>
      </c>
      <c r="J1258" s="25">
        <f ca="1">MAX(k_-I1258,0)*EXP(-rs_*T_)</f>
        <v>0</v>
      </c>
      <c r="K1258" s="25">
        <v>12.9141989566251</v>
      </c>
      <c r="L1258" s="25">
        <v>12.3441989566251</v>
      </c>
      <c r="M1258" s="28">
        <v>0</v>
      </c>
      <c r="N1258" s="28">
        <v>0</v>
      </c>
    </row>
    <row r="1259" spans="7:14">
      <c r="G1259" s="24">
        <v>1258</v>
      </c>
      <c r="H1259" s="25">
        <f>S0_</f>
        <v>100</v>
      </c>
      <c r="I1259" s="25">
        <f ca="1">S0_*EXP((mu_-sigma_^2/2)*Dt_+sigma_*SQRT(Dt_)*_xlfn.NORM.INV(RAND(),0,1))</f>
        <v>113.895987038077</v>
      </c>
      <c r="J1259" s="25">
        <f ca="1">MAX(k_-I1259,0)*EXP(-rs_*T_)</f>
        <v>0</v>
      </c>
      <c r="K1259" s="25">
        <v>13.4920428905705</v>
      </c>
      <c r="L1259" s="25">
        <v>12.9220428905705</v>
      </c>
      <c r="M1259" s="28">
        <v>0</v>
      </c>
      <c r="N1259" s="28">
        <v>0</v>
      </c>
    </row>
    <row r="1260" spans="7:14">
      <c r="G1260" s="24">
        <v>1259</v>
      </c>
      <c r="H1260" s="25">
        <f>S0_</f>
        <v>100</v>
      </c>
      <c r="I1260" s="25">
        <f ca="1">S0_*EXP((mu_-sigma_^2/2)*Dt_+sigma_*SQRT(Dt_)*_xlfn.NORM.INV(RAND(),0,1))</f>
        <v>104.023765413056</v>
      </c>
      <c r="J1260" s="25">
        <f ca="1">MAX(k_-I1260,0)*EXP(-rs_*T_)</f>
        <v>0</v>
      </c>
      <c r="K1260" s="25">
        <v>3.90679808392107</v>
      </c>
      <c r="L1260" s="25">
        <v>3.33679808392107</v>
      </c>
      <c r="M1260" s="28">
        <v>0</v>
      </c>
      <c r="N1260" s="28">
        <v>0</v>
      </c>
    </row>
    <row r="1261" spans="7:14">
      <c r="G1261" s="24">
        <v>1260</v>
      </c>
      <c r="H1261" s="25">
        <f>S0_</f>
        <v>100</v>
      </c>
      <c r="I1261" s="25">
        <f ca="1">S0_*EXP((mu_-sigma_^2/2)*Dt_+sigma_*SQRT(Dt_)*_xlfn.NORM.INV(RAND(),0,1))</f>
        <v>105.535996834124</v>
      </c>
      <c r="J1261" s="25">
        <f ca="1">MAX(k_-I1261,0)*EXP(-rs_*T_)</f>
        <v>0</v>
      </c>
      <c r="K1261" s="25">
        <v>5.3750702647752</v>
      </c>
      <c r="L1261" s="25">
        <v>4.8050702647752</v>
      </c>
      <c r="M1261" s="28">
        <v>0</v>
      </c>
      <c r="N1261" s="28">
        <v>0</v>
      </c>
    </row>
    <row r="1262" spans="7:14">
      <c r="G1262" s="24">
        <v>1261</v>
      </c>
      <c r="H1262" s="25">
        <f>S0_</f>
        <v>100</v>
      </c>
      <c r="I1262" s="25">
        <f ca="1">S0_*EXP((mu_-sigma_^2/2)*Dt_+sigma_*SQRT(Dt_)*_xlfn.NORM.INV(RAND(),0,1))</f>
        <v>111.622695529505</v>
      </c>
      <c r="J1262" s="25">
        <f ca="1">MAX(k_-I1262,0)*EXP(-rs_*T_)</f>
        <v>0</v>
      </c>
      <c r="K1262" s="25">
        <v>11.2848339710182</v>
      </c>
      <c r="L1262" s="25">
        <v>10.7148339710182</v>
      </c>
      <c r="M1262" s="28">
        <v>0</v>
      </c>
      <c r="N1262" s="28">
        <v>0</v>
      </c>
    </row>
    <row r="1263" spans="7:14">
      <c r="G1263" s="24">
        <v>1262</v>
      </c>
      <c r="H1263" s="25">
        <f>S0_</f>
        <v>100</v>
      </c>
      <c r="I1263" s="25">
        <f ca="1">S0_*EXP((mu_-sigma_^2/2)*Dt_+sigma_*SQRT(Dt_)*_xlfn.NORM.INV(RAND(),0,1))</f>
        <v>104.6395451683</v>
      </c>
      <c r="J1263" s="25">
        <f ca="1">MAX(k_-I1263,0)*EXP(-rs_*T_)</f>
        <v>0</v>
      </c>
      <c r="K1263" s="25">
        <v>4.50467766211343</v>
      </c>
      <c r="L1263" s="25">
        <v>3.93467766211343</v>
      </c>
      <c r="M1263" s="28">
        <v>0</v>
      </c>
      <c r="N1263" s="28">
        <v>0</v>
      </c>
    </row>
    <row r="1264" spans="7:14">
      <c r="G1264" s="24">
        <v>1263</v>
      </c>
      <c r="H1264" s="25">
        <f>S0_</f>
        <v>100</v>
      </c>
      <c r="I1264" s="25">
        <f ca="1">S0_*EXP((mu_-sigma_^2/2)*Dt_+sigma_*SQRT(Dt_)*_xlfn.NORM.INV(RAND(),0,1))</f>
        <v>91.562369522504</v>
      </c>
      <c r="J1264" s="25">
        <f ca="1">MAX(k_-I1264,0)*EXP(-rs_*T_)</f>
        <v>5.27956333180368</v>
      </c>
      <c r="K1264" s="25">
        <v>-8.19235596472727</v>
      </c>
      <c r="L1264" s="25">
        <v>-3.48279263292358</v>
      </c>
      <c r="M1264" s="28">
        <v>1</v>
      </c>
      <c r="N1264" s="28">
        <v>1</v>
      </c>
    </row>
    <row r="1265" spans="7:14">
      <c r="G1265" s="24">
        <v>1264</v>
      </c>
      <c r="H1265" s="25">
        <f>S0_</f>
        <v>100</v>
      </c>
      <c r="I1265" s="25">
        <f ca="1">S0_*EXP((mu_-sigma_^2/2)*Dt_+sigma_*SQRT(Dt_)*_xlfn.NORM.INV(RAND(),0,1))</f>
        <v>116.16276706912</v>
      </c>
      <c r="J1265" s="25">
        <f ca="1">MAX(k_-I1265,0)*EXP(-rs_*T_)</f>
        <v>0</v>
      </c>
      <c r="K1265" s="25">
        <v>15.6929296155307</v>
      </c>
      <c r="L1265" s="25">
        <v>15.1229296155307</v>
      </c>
      <c r="M1265" s="28">
        <v>0</v>
      </c>
      <c r="N1265" s="28">
        <v>0</v>
      </c>
    </row>
    <row r="1266" spans="7:14">
      <c r="G1266" s="24">
        <v>1265</v>
      </c>
      <c r="H1266" s="25">
        <f>S0_</f>
        <v>100</v>
      </c>
      <c r="I1266" s="25">
        <f ca="1">S0_*EXP((mu_-sigma_^2/2)*Dt_+sigma_*SQRT(Dt_)*_xlfn.NORM.INV(RAND(),0,1))</f>
        <v>110.790844868207</v>
      </c>
      <c r="J1266" s="25">
        <f ca="1">MAX(k_-I1266,0)*EXP(-rs_*T_)</f>
        <v>0</v>
      </c>
      <c r="K1266" s="25">
        <v>10.4771644783782</v>
      </c>
      <c r="L1266" s="25">
        <v>9.90716447837824</v>
      </c>
      <c r="M1266" s="28">
        <v>0</v>
      </c>
      <c r="N1266" s="28">
        <v>0</v>
      </c>
    </row>
    <row r="1267" spans="7:14">
      <c r="G1267" s="24">
        <v>1266</v>
      </c>
      <c r="H1267" s="25">
        <f>S0_</f>
        <v>100</v>
      </c>
      <c r="I1267" s="25">
        <f ca="1">S0_*EXP((mu_-sigma_^2/2)*Dt_+sigma_*SQRT(Dt_)*_xlfn.NORM.INV(RAND(),0,1))</f>
        <v>114.932261819908</v>
      </c>
      <c r="J1267" s="25">
        <f ca="1">MAX(k_-I1267,0)*EXP(-rs_*T_)</f>
        <v>0</v>
      </c>
      <c r="K1267" s="25">
        <v>14.4981940739711</v>
      </c>
      <c r="L1267" s="25">
        <v>13.9281940739711</v>
      </c>
      <c r="M1267" s="28">
        <v>0</v>
      </c>
      <c r="N1267" s="28">
        <v>0</v>
      </c>
    </row>
    <row r="1268" spans="7:14">
      <c r="G1268" s="24">
        <v>1267</v>
      </c>
      <c r="H1268" s="25">
        <f>S0_</f>
        <v>100</v>
      </c>
      <c r="I1268" s="25">
        <f ca="1">S0_*EXP((mu_-sigma_^2/2)*Dt_+sigma_*SQRT(Dt_)*_xlfn.NORM.INV(RAND(),0,1))</f>
        <v>106.524851283326</v>
      </c>
      <c r="J1268" s="25">
        <f ca="1">MAX(k_-I1268,0)*EXP(-rs_*T_)</f>
        <v>0</v>
      </c>
      <c r="K1268" s="25">
        <v>6.33517958299806</v>
      </c>
      <c r="L1268" s="25">
        <v>5.76517958299805</v>
      </c>
      <c r="M1268" s="28">
        <v>0</v>
      </c>
      <c r="N1268" s="28">
        <v>0</v>
      </c>
    </row>
    <row r="1269" spans="7:14">
      <c r="G1269" s="24">
        <v>1268</v>
      </c>
      <c r="H1269" s="25">
        <f>S0_</f>
        <v>100</v>
      </c>
      <c r="I1269" s="25">
        <f ca="1">S0_*EXP((mu_-sigma_^2/2)*Dt_+sigma_*SQRT(Dt_)*_xlfn.NORM.INV(RAND(),0,1))</f>
        <v>125.168468557299</v>
      </c>
      <c r="J1269" s="25">
        <f ca="1">MAX(k_-I1269,0)*EXP(-rs_*T_)</f>
        <v>0</v>
      </c>
      <c r="K1269" s="25">
        <v>24.4368432652231</v>
      </c>
      <c r="L1269" s="25">
        <v>23.8668432652231</v>
      </c>
      <c r="M1269" s="28">
        <v>0</v>
      </c>
      <c r="N1269" s="28">
        <v>0</v>
      </c>
    </row>
    <row r="1270" spans="7:14">
      <c r="G1270" s="24">
        <v>1269</v>
      </c>
      <c r="H1270" s="25">
        <f>S0_</f>
        <v>100</v>
      </c>
      <c r="I1270" s="25">
        <f ca="1">S0_*EXP((mu_-sigma_^2/2)*Dt_+sigma_*SQRT(Dt_)*_xlfn.NORM.INV(RAND(),0,1))</f>
        <v>126.55935381675</v>
      </c>
      <c r="J1270" s="25">
        <f ca="1">MAX(k_-I1270,0)*EXP(-rs_*T_)</f>
        <v>0</v>
      </c>
      <c r="K1270" s="25">
        <v>25.7872967108798</v>
      </c>
      <c r="L1270" s="25">
        <v>25.2172967108798</v>
      </c>
      <c r="M1270" s="28">
        <v>0</v>
      </c>
      <c r="N1270" s="28">
        <v>0</v>
      </c>
    </row>
    <row r="1271" spans="7:14">
      <c r="G1271" s="24">
        <v>1270</v>
      </c>
      <c r="H1271" s="25">
        <f>S0_</f>
        <v>100</v>
      </c>
      <c r="I1271" s="25">
        <f ca="1">S0_*EXP((mu_-sigma_^2/2)*Dt_+sigma_*SQRT(Dt_)*_xlfn.NORM.INV(RAND(),0,1))</f>
        <v>102.797120355681</v>
      </c>
      <c r="J1271" s="25">
        <f ca="1">MAX(k_-I1271,0)*EXP(-rs_*T_)</f>
        <v>0</v>
      </c>
      <c r="K1271" s="25">
        <v>2.71581052180932</v>
      </c>
      <c r="L1271" s="25">
        <v>2.14581052180932</v>
      </c>
      <c r="M1271" s="28">
        <v>0</v>
      </c>
      <c r="N1271" s="28">
        <v>0</v>
      </c>
    </row>
    <row r="1272" spans="7:14">
      <c r="G1272" s="24">
        <v>1271</v>
      </c>
      <c r="H1272" s="25">
        <f>S0_</f>
        <v>100</v>
      </c>
      <c r="I1272" s="25">
        <f ca="1">S0_*EXP((mu_-sigma_^2/2)*Dt_+sigma_*SQRT(Dt_)*_xlfn.NORM.INV(RAND(),0,1))</f>
        <v>109.635443205111</v>
      </c>
      <c r="J1272" s="25">
        <f ca="1">MAX(k_-I1272,0)*EXP(-rs_*T_)</f>
        <v>0</v>
      </c>
      <c r="K1272" s="25">
        <v>9.35534932760027</v>
      </c>
      <c r="L1272" s="25">
        <v>8.78534932760027</v>
      </c>
      <c r="M1272" s="28">
        <v>0</v>
      </c>
      <c r="N1272" s="28">
        <v>0</v>
      </c>
    </row>
    <row r="1273" spans="7:14">
      <c r="G1273" s="24">
        <v>1272</v>
      </c>
      <c r="H1273" s="25">
        <f>S0_</f>
        <v>100</v>
      </c>
      <c r="I1273" s="25">
        <f ca="1">S0_*EXP((mu_-sigma_^2/2)*Dt_+sigma_*SQRT(Dt_)*_xlfn.NORM.INV(RAND(),0,1))</f>
        <v>123.841089002086</v>
      </c>
      <c r="J1273" s="25">
        <f ca="1">MAX(k_-I1273,0)*EXP(-rs_*T_)</f>
        <v>0</v>
      </c>
      <c r="K1273" s="25">
        <v>23.1480494687174</v>
      </c>
      <c r="L1273" s="25">
        <v>22.5780494687174</v>
      </c>
      <c r="M1273" s="28">
        <v>0</v>
      </c>
      <c r="N1273" s="28">
        <v>0</v>
      </c>
    </row>
    <row r="1274" spans="7:14">
      <c r="G1274" s="24">
        <v>1273</v>
      </c>
      <c r="H1274" s="25">
        <f>S0_</f>
        <v>100</v>
      </c>
      <c r="I1274" s="25">
        <f ca="1">S0_*EXP((mu_-sigma_^2/2)*Dt_+sigma_*SQRT(Dt_)*_xlfn.NORM.INV(RAND(),0,1))</f>
        <v>101.847525246337</v>
      </c>
      <c r="J1274" s="25">
        <f ca="1">MAX(k_-I1274,0)*EXP(-rs_*T_)</f>
        <v>0</v>
      </c>
      <c r="K1274" s="25">
        <v>1.79381930889048</v>
      </c>
      <c r="L1274" s="25">
        <v>1.22381930889048</v>
      </c>
      <c r="M1274" s="28">
        <v>0</v>
      </c>
      <c r="N1274" s="28">
        <v>0</v>
      </c>
    </row>
    <row r="1275" spans="7:14">
      <c r="G1275" s="24">
        <v>1274</v>
      </c>
      <c r="H1275" s="25">
        <f>S0_</f>
        <v>100</v>
      </c>
      <c r="I1275" s="25">
        <f ca="1">S0_*EXP((mu_-sigma_^2/2)*Dt_+sigma_*SQRT(Dt_)*_xlfn.NORM.INV(RAND(),0,1))</f>
        <v>127.883303315264</v>
      </c>
      <c r="J1275" s="25">
        <f ca="1">MAX(k_-I1275,0)*EXP(-rs_*T_)</f>
        <v>0</v>
      </c>
      <c r="K1275" s="25">
        <v>27.0727601594252</v>
      </c>
      <c r="L1275" s="25">
        <v>26.5027601594252</v>
      </c>
      <c r="M1275" s="28">
        <v>0</v>
      </c>
      <c r="N1275" s="28">
        <v>0</v>
      </c>
    </row>
    <row r="1276" spans="7:14">
      <c r="G1276" s="24">
        <v>1275</v>
      </c>
      <c r="H1276" s="25">
        <f>S0_</f>
        <v>100</v>
      </c>
      <c r="I1276" s="25">
        <f ca="1">S0_*EXP((mu_-sigma_^2/2)*Dt_+sigma_*SQRT(Dt_)*_xlfn.NORM.INV(RAND(),0,1))</f>
        <v>90.3642203230495</v>
      </c>
      <c r="J1276" s="25">
        <f ca="1">MAX(k_-I1276,0)*EXP(-rs_*T_)</f>
        <v>6.44288338557513</v>
      </c>
      <c r="K1276" s="25">
        <v>-9.35567601849871</v>
      </c>
      <c r="L1276" s="25">
        <v>-3.48279263292358</v>
      </c>
      <c r="M1276" s="28">
        <v>1</v>
      </c>
      <c r="N1276" s="28">
        <v>1</v>
      </c>
    </row>
    <row r="1277" spans="7:14">
      <c r="G1277" s="24">
        <v>1276</v>
      </c>
      <c r="H1277" s="25">
        <f>S0_</f>
        <v>100</v>
      </c>
      <c r="I1277" s="25">
        <f ca="1">S0_*EXP((mu_-sigma_^2/2)*Dt_+sigma_*SQRT(Dt_)*_xlfn.NORM.INV(RAND(),0,1))</f>
        <v>96.844910792251</v>
      </c>
      <c r="J1277" s="25">
        <f ca="1">MAX(k_-I1277,0)*EXP(-rs_*T_)</f>
        <v>0.150580900592428</v>
      </c>
      <c r="K1277" s="25">
        <v>-3.06337353351601</v>
      </c>
      <c r="L1277" s="25">
        <v>-3.48279263292358</v>
      </c>
      <c r="M1277" s="28">
        <v>1</v>
      </c>
      <c r="N1277" s="28">
        <v>1</v>
      </c>
    </row>
    <row r="1278" spans="7:14">
      <c r="G1278" s="24">
        <v>1277</v>
      </c>
      <c r="H1278" s="25">
        <f>S0_</f>
        <v>100</v>
      </c>
      <c r="I1278" s="25">
        <f ca="1">S0_*EXP((mu_-sigma_^2/2)*Dt_+sigma_*SQRT(Dt_)*_xlfn.NORM.INV(RAND(),0,1))</f>
        <v>97.5562275178218</v>
      </c>
      <c r="J1278" s="25">
        <f ca="1">MAX(k_-I1278,0)*EXP(-rs_*T_)</f>
        <v>0</v>
      </c>
      <c r="K1278" s="25">
        <v>-2.37273416087672</v>
      </c>
      <c r="L1278" s="25">
        <v>-2.94273416087672</v>
      </c>
      <c r="M1278" s="28">
        <v>1</v>
      </c>
      <c r="N1278" s="28">
        <v>1</v>
      </c>
    </row>
    <row r="1279" spans="7:14">
      <c r="G1279" s="24">
        <v>1278</v>
      </c>
      <c r="H1279" s="25">
        <f>S0_</f>
        <v>100</v>
      </c>
      <c r="I1279" s="25">
        <f ca="1">S0_*EXP((mu_-sigma_^2/2)*Dt_+sigma_*SQRT(Dt_)*_xlfn.NORM.INV(RAND(),0,1))</f>
        <v>111.785187935475</v>
      </c>
      <c r="J1279" s="25">
        <f ca="1">MAX(k_-I1279,0)*EXP(-rs_*T_)</f>
        <v>0</v>
      </c>
      <c r="K1279" s="25">
        <v>11.4426028653574</v>
      </c>
      <c r="L1279" s="25">
        <v>10.8726028653574</v>
      </c>
      <c r="M1279" s="28">
        <v>0</v>
      </c>
      <c r="N1279" s="28">
        <v>0</v>
      </c>
    </row>
    <row r="1280" spans="7:14">
      <c r="G1280" s="24">
        <v>1279</v>
      </c>
      <c r="H1280" s="25">
        <f>S0_</f>
        <v>100</v>
      </c>
      <c r="I1280" s="25">
        <f ca="1">S0_*EXP((mu_-sigma_^2/2)*Dt_+sigma_*SQRT(Dt_)*_xlfn.NORM.INV(RAND(),0,1))</f>
        <v>94.4978185754139</v>
      </c>
      <c r="J1280" s="25">
        <f ca="1">MAX(k_-I1280,0)*EXP(-rs_*T_)</f>
        <v>2.42944520659085</v>
      </c>
      <c r="K1280" s="25">
        <v>-5.34223783951443</v>
      </c>
      <c r="L1280" s="25">
        <v>-3.48279263292358</v>
      </c>
      <c r="M1280" s="28">
        <v>1</v>
      </c>
      <c r="N1280" s="28">
        <v>1</v>
      </c>
    </row>
    <row r="1281" spans="7:14">
      <c r="G1281" s="24">
        <v>1280</v>
      </c>
      <c r="H1281" s="25">
        <f>S0_</f>
        <v>100</v>
      </c>
      <c r="I1281" s="25">
        <f ca="1">S0_*EXP((mu_-sigma_^2/2)*Dt_+sigma_*SQRT(Dt_)*_xlfn.NORM.INV(RAND(),0,1))</f>
        <v>107.33984307969</v>
      </c>
      <c r="J1281" s="25">
        <f ca="1">MAX(k_-I1281,0)*EXP(-rs_*T_)</f>
        <v>0</v>
      </c>
      <c r="K1281" s="25">
        <v>7.12648028311199</v>
      </c>
      <c r="L1281" s="25">
        <v>6.55648028311199</v>
      </c>
      <c r="M1281" s="28">
        <v>0</v>
      </c>
      <c r="N1281" s="28">
        <v>0</v>
      </c>
    </row>
    <row r="1282" spans="7:14">
      <c r="G1282" s="24">
        <v>1281</v>
      </c>
      <c r="H1282" s="25">
        <f>S0_</f>
        <v>100</v>
      </c>
      <c r="I1282" s="25">
        <f ca="1">S0_*EXP((mu_-sigma_^2/2)*Dt_+sigma_*SQRT(Dt_)*_xlfn.NORM.INV(RAND(),0,1))</f>
        <v>101.782532494402</v>
      </c>
      <c r="J1282" s="25">
        <f ca="1">MAX(k_-I1282,0)*EXP(-rs_*T_)</f>
        <v>0</v>
      </c>
      <c r="K1282" s="25">
        <v>1.73071583921334</v>
      </c>
      <c r="L1282" s="25">
        <v>1.16071583921334</v>
      </c>
      <c r="M1282" s="28">
        <v>0</v>
      </c>
      <c r="N1282" s="28">
        <v>0</v>
      </c>
    </row>
    <row r="1283" spans="7:14">
      <c r="G1283" s="24">
        <v>1282</v>
      </c>
      <c r="H1283" s="25">
        <f>S0_</f>
        <v>100</v>
      </c>
      <c r="I1283" s="25">
        <f ca="1">S0_*EXP((mu_-sigma_^2/2)*Dt_+sigma_*SQRT(Dt_)*_xlfn.NORM.INV(RAND(),0,1))</f>
        <v>105.535096304935</v>
      </c>
      <c r="J1283" s="25">
        <f ca="1">MAX(k_-I1283,0)*EXP(-rs_*T_)</f>
        <v>0</v>
      </c>
      <c r="K1283" s="25">
        <v>5.37419591317878</v>
      </c>
      <c r="L1283" s="25">
        <v>4.80419591317878</v>
      </c>
      <c r="M1283" s="28">
        <v>0</v>
      </c>
      <c r="N1283" s="28">
        <v>0</v>
      </c>
    </row>
    <row r="1284" spans="7:14">
      <c r="G1284" s="24">
        <v>1283</v>
      </c>
      <c r="H1284" s="25">
        <f>S0_</f>
        <v>100</v>
      </c>
      <c r="I1284" s="25">
        <f ca="1">S0_*EXP((mu_-sigma_^2/2)*Dt_+sigma_*SQRT(Dt_)*_xlfn.NORM.INV(RAND(),0,1))</f>
        <v>96.3706111475867</v>
      </c>
      <c r="J1284" s="25">
        <f ca="1">MAX(k_-I1284,0)*EXP(-rs_*T_)</f>
        <v>0.611093070851188</v>
      </c>
      <c r="K1284" s="25">
        <v>-3.52388570377477</v>
      </c>
      <c r="L1284" s="25">
        <v>-3.48279263292358</v>
      </c>
      <c r="M1284" s="28">
        <v>1</v>
      </c>
      <c r="N1284" s="28">
        <v>1</v>
      </c>
    </row>
    <row r="1285" spans="7:14">
      <c r="G1285" s="24">
        <v>1284</v>
      </c>
      <c r="H1285" s="25">
        <f>S0_</f>
        <v>100</v>
      </c>
      <c r="I1285" s="25">
        <f ca="1">S0_*EXP((mu_-sigma_^2/2)*Dt_+sigma_*SQRT(Dt_)*_xlfn.NORM.INV(RAND(),0,1))</f>
        <v>97.4632779315824</v>
      </c>
      <c r="J1285" s="25">
        <f ca="1">MAX(k_-I1285,0)*EXP(-rs_*T_)</f>
        <v>0</v>
      </c>
      <c r="K1285" s="25">
        <v>-2.46298178422045</v>
      </c>
      <c r="L1285" s="25">
        <v>-3.03298178422045</v>
      </c>
      <c r="M1285" s="28">
        <v>1</v>
      </c>
      <c r="N1285" s="28">
        <v>1</v>
      </c>
    </row>
    <row r="1286" spans="7:14">
      <c r="G1286" s="24">
        <v>1285</v>
      </c>
      <c r="H1286" s="25">
        <f>S0_</f>
        <v>100</v>
      </c>
      <c r="I1286" s="25">
        <f ca="1">S0_*EXP((mu_-sigma_^2/2)*Dt_+sigma_*SQRT(Dt_)*_xlfn.NORM.INV(RAND(),0,1))</f>
        <v>94.6991185225137</v>
      </c>
      <c r="J1286" s="25">
        <f ca="1">MAX(k_-I1286,0)*EXP(-rs_*T_)</f>
        <v>2.23399687228418</v>
      </c>
      <c r="K1286" s="25">
        <v>-5.14678950520776</v>
      </c>
      <c r="L1286" s="25">
        <v>-3.48279263292358</v>
      </c>
      <c r="M1286" s="28">
        <v>1</v>
      </c>
      <c r="N1286" s="28">
        <v>1</v>
      </c>
    </row>
    <row r="1287" spans="7:14">
      <c r="G1287" s="24">
        <v>1286</v>
      </c>
      <c r="H1287" s="25">
        <f>S0_</f>
        <v>100</v>
      </c>
      <c r="I1287" s="25">
        <f ca="1">S0_*EXP((mu_-sigma_^2/2)*Dt_+sigma_*SQRT(Dt_)*_xlfn.NORM.INV(RAND(),0,1))</f>
        <v>110.638172120316</v>
      </c>
      <c r="J1287" s="25">
        <f ca="1">MAX(k_-I1287,0)*EXP(-rs_*T_)</f>
        <v>0</v>
      </c>
      <c r="K1287" s="25">
        <v>10.328929793277</v>
      </c>
      <c r="L1287" s="25">
        <v>9.75892979327697</v>
      </c>
      <c r="M1287" s="28">
        <v>0</v>
      </c>
      <c r="N1287" s="28">
        <v>0</v>
      </c>
    </row>
    <row r="1288" spans="7:14">
      <c r="G1288" s="24">
        <v>1287</v>
      </c>
      <c r="H1288" s="25">
        <f>S0_</f>
        <v>100</v>
      </c>
      <c r="I1288" s="25">
        <f ca="1">S0_*EXP((mu_-sigma_^2/2)*Dt_+sigma_*SQRT(Dt_)*_xlfn.NORM.INV(RAND(),0,1))</f>
        <v>105.036772358396</v>
      </c>
      <c r="J1288" s="25">
        <f ca="1">MAX(k_-I1288,0)*EXP(-rs_*T_)</f>
        <v>0</v>
      </c>
      <c r="K1288" s="25">
        <v>4.8903578064163</v>
      </c>
      <c r="L1288" s="25">
        <v>4.3203578064163</v>
      </c>
      <c r="M1288" s="28">
        <v>0</v>
      </c>
      <c r="N1288" s="28">
        <v>0</v>
      </c>
    </row>
    <row r="1289" spans="7:14">
      <c r="G1289" s="24">
        <v>1288</v>
      </c>
      <c r="H1289" s="25">
        <f>S0_</f>
        <v>100</v>
      </c>
      <c r="I1289" s="25">
        <f ca="1">S0_*EXP((mu_-sigma_^2/2)*Dt_+sigma_*SQRT(Dt_)*_xlfn.NORM.INV(RAND(),0,1))</f>
        <v>117.757303407972</v>
      </c>
      <c r="J1289" s="25">
        <f ca="1">MAX(k_-I1289,0)*EXP(-rs_*T_)</f>
        <v>0</v>
      </c>
      <c r="K1289" s="25">
        <v>17.2411141824432</v>
      </c>
      <c r="L1289" s="25">
        <v>16.6711141824432</v>
      </c>
      <c r="M1289" s="28">
        <v>0</v>
      </c>
      <c r="N1289" s="28">
        <v>0</v>
      </c>
    </row>
    <row r="1290" spans="7:14">
      <c r="G1290" s="24">
        <v>1289</v>
      </c>
      <c r="H1290" s="25">
        <f>S0_</f>
        <v>100</v>
      </c>
      <c r="I1290" s="25">
        <f ca="1">S0_*EXP((mu_-sigma_^2/2)*Dt_+sigma_*SQRT(Dt_)*_xlfn.NORM.INV(RAND(),0,1))</f>
        <v>95.0529995457412</v>
      </c>
      <c r="J1290" s="25">
        <f ca="1">MAX(k_-I1290,0)*EXP(-rs_*T_)</f>
        <v>1.89040285982126</v>
      </c>
      <c r="K1290" s="25">
        <v>-4.80319549274484</v>
      </c>
      <c r="L1290" s="25">
        <v>-3.48279263292358</v>
      </c>
      <c r="M1290" s="28">
        <v>1</v>
      </c>
      <c r="N1290" s="28">
        <v>1</v>
      </c>
    </row>
    <row r="1291" spans="7:14">
      <c r="G1291" s="24">
        <v>1290</v>
      </c>
      <c r="H1291" s="25">
        <f>S0_</f>
        <v>100</v>
      </c>
      <c r="I1291" s="25">
        <f ca="1">S0_*EXP((mu_-sigma_^2/2)*Dt_+sigma_*SQRT(Dt_)*_xlfn.NORM.INV(RAND(),0,1))</f>
        <v>102.605524667728</v>
      </c>
      <c r="J1291" s="25">
        <f ca="1">MAX(k_-I1291,0)*EXP(-rs_*T_)</f>
        <v>0</v>
      </c>
      <c r="K1291" s="25">
        <v>2.52978435235315</v>
      </c>
      <c r="L1291" s="25">
        <v>1.95978435235315</v>
      </c>
      <c r="M1291" s="28">
        <v>0</v>
      </c>
      <c r="N1291" s="28">
        <v>0</v>
      </c>
    </row>
    <row r="1292" spans="7:14">
      <c r="G1292" s="24">
        <v>1291</v>
      </c>
      <c r="H1292" s="25">
        <f>S0_</f>
        <v>100</v>
      </c>
      <c r="I1292" s="25">
        <f ca="1">S0_*EXP((mu_-sigma_^2/2)*Dt_+sigma_*SQRT(Dt_)*_xlfn.NORM.INV(RAND(),0,1))</f>
        <v>123.63668663062</v>
      </c>
      <c r="J1292" s="25">
        <f ca="1">MAX(k_-I1292,0)*EXP(-rs_*T_)</f>
        <v>0</v>
      </c>
      <c r="K1292" s="25">
        <v>22.9495888947981</v>
      </c>
      <c r="L1292" s="25">
        <v>22.3795888947981</v>
      </c>
      <c r="M1292" s="28">
        <v>0</v>
      </c>
      <c r="N1292" s="28">
        <v>0</v>
      </c>
    </row>
    <row r="1293" spans="7:14">
      <c r="G1293" s="24">
        <v>1292</v>
      </c>
      <c r="H1293" s="25">
        <f>S0_</f>
        <v>100</v>
      </c>
      <c r="I1293" s="25">
        <f ca="1">S0_*EXP((mu_-sigma_^2/2)*Dt_+sigma_*SQRT(Dt_)*_xlfn.NORM.INV(RAND(),0,1))</f>
        <v>91.9080194105532</v>
      </c>
      <c r="J1293" s="25">
        <f ca="1">MAX(k_-I1293,0)*EXP(-rs_*T_)</f>
        <v>4.94396118264347</v>
      </c>
      <c r="K1293" s="25">
        <v>-7.85675381556705</v>
      </c>
      <c r="L1293" s="25">
        <v>-3.48279263292358</v>
      </c>
      <c r="M1293" s="28">
        <v>1</v>
      </c>
      <c r="N1293" s="28">
        <v>1</v>
      </c>
    </row>
    <row r="1294" spans="7:14">
      <c r="G1294" s="24">
        <v>1293</v>
      </c>
      <c r="H1294" s="25">
        <f>S0_</f>
        <v>100</v>
      </c>
      <c r="I1294" s="25">
        <f ca="1">S0_*EXP((mu_-sigma_^2/2)*Dt_+sigma_*SQRT(Dt_)*_xlfn.NORM.INV(RAND(),0,1))</f>
        <v>107.552878933547</v>
      </c>
      <c r="J1294" s="25">
        <f ca="1">MAX(k_-I1294,0)*EXP(-rs_*T_)</f>
        <v>0</v>
      </c>
      <c r="K1294" s="25">
        <v>7.33332337166623</v>
      </c>
      <c r="L1294" s="25">
        <v>6.76332337166623</v>
      </c>
      <c r="M1294" s="28">
        <v>0</v>
      </c>
      <c r="N1294" s="28">
        <v>0</v>
      </c>
    </row>
    <row r="1295" spans="7:14">
      <c r="G1295" s="24">
        <v>1294</v>
      </c>
      <c r="H1295" s="25">
        <f>S0_</f>
        <v>100</v>
      </c>
      <c r="I1295" s="25">
        <f ca="1">S0_*EXP((mu_-sigma_^2/2)*Dt_+sigma_*SQRT(Dt_)*_xlfn.NORM.INV(RAND(),0,1))</f>
        <v>89.8606191919287</v>
      </c>
      <c r="J1295" s="25">
        <f ca="1">MAX(k_-I1295,0)*EXP(-rs_*T_)</f>
        <v>6.93184527379535</v>
      </c>
      <c r="K1295" s="25">
        <v>-9.84463790671893</v>
      </c>
      <c r="L1295" s="25">
        <v>-3.48279263292358</v>
      </c>
      <c r="M1295" s="28">
        <v>1</v>
      </c>
      <c r="N1295" s="28">
        <v>1</v>
      </c>
    </row>
    <row r="1296" spans="7:14">
      <c r="G1296" s="24">
        <v>1295</v>
      </c>
      <c r="H1296" s="25">
        <f>S0_</f>
        <v>100</v>
      </c>
      <c r="I1296" s="25">
        <f ca="1">S0_*EXP((mu_-sigma_^2/2)*Dt_+sigma_*SQRT(Dt_)*_xlfn.NORM.INV(RAND(),0,1))</f>
        <v>108.418301674254</v>
      </c>
      <c r="J1296" s="25">
        <f ca="1">MAX(k_-I1296,0)*EXP(-rs_*T_)</f>
        <v>0</v>
      </c>
      <c r="K1296" s="25">
        <v>8.17358903283188</v>
      </c>
      <c r="L1296" s="25">
        <v>7.60358903283188</v>
      </c>
      <c r="M1296" s="28">
        <v>0</v>
      </c>
      <c r="N1296" s="28">
        <v>0</v>
      </c>
    </row>
    <row r="1297" spans="7:14">
      <c r="G1297" s="24">
        <v>1296</v>
      </c>
      <c r="H1297" s="25">
        <f>S0_</f>
        <v>100</v>
      </c>
      <c r="I1297" s="25">
        <f ca="1">S0_*EXP((mu_-sigma_^2/2)*Dt_+sigma_*SQRT(Dt_)*_xlfn.NORM.INV(RAND(),0,1))</f>
        <v>98.6285281785505</v>
      </c>
      <c r="J1297" s="25">
        <f ca="1">MAX(k_-I1297,0)*EXP(-rs_*T_)</f>
        <v>0</v>
      </c>
      <c r="K1297" s="25">
        <v>-1.33160433926015</v>
      </c>
      <c r="L1297" s="25">
        <v>-1.90160433926015</v>
      </c>
      <c r="M1297" s="28">
        <v>1</v>
      </c>
      <c r="N1297" s="28">
        <v>1</v>
      </c>
    </row>
    <row r="1298" spans="7:14">
      <c r="G1298" s="24">
        <v>1297</v>
      </c>
      <c r="H1298" s="25">
        <f>S0_</f>
        <v>100</v>
      </c>
      <c r="I1298" s="25">
        <f ca="1">S0_*EXP((mu_-sigma_^2/2)*Dt_+sigma_*SQRT(Dt_)*_xlfn.NORM.INV(RAND(),0,1))</f>
        <v>109.516686552105</v>
      </c>
      <c r="J1298" s="25">
        <f ca="1">MAX(k_-I1298,0)*EXP(-rs_*T_)</f>
        <v>0</v>
      </c>
      <c r="K1298" s="25">
        <v>9.24004482627172</v>
      </c>
      <c r="L1298" s="25">
        <v>8.67004482627172</v>
      </c>
      <c r="M1298" s="28">
        <v>0</v>
      </c>
      <c r="N1298" s="28">
        <v>0</v>
      </c>
    </row>
    <row r="1299" spans="7:14">
      <c r="G1299" s="24">
        <v>1298</v>
      </c>
      <c r="H1299" s="25">
        <f>S0_</f>
        <v>100</v>
      </c>
      <c r="I1299" s="25">
        <f ca="1">S0_*EXP((mu_-sigma_^2/2)*Dt_+sigma_*SQRT(Dt_)*_xlfn.NORM.INV(RAND(),0,1))</f>
        <v>108.288194765669</v>
      </c>
      <c r="J1299" s="25">
        <f ca="1">MAX(k_-I1299,0)*EXP(-rs_*T_)</f>
        <v>0</v>
      </c>
      <c r="K1299" s="25">
        <v>8.04726421789248</v>
      </c>
      <c r="L1299" s="25">
        <v>7.47726421789248</v>
      </c>
      <c r="M1299" s="28">
        <v>0</v>
      </c>
      <c r="N1299" s="28">
        <v>0</v>
      </c>
    </row>
    <row r="1300" spans="7:14">
      <c r="G1300" s="24">
        <v>1299</v>
      </c>
      <c r="H1300" s="25">
        <f>S0_</f>
        <v>100</v>
      </c>
      <c r="I1300" s="25">
        <f ca="1">S0_*EXP((mu_-sigma_^2/2)*Dt_+sigma_*SQRT(Dt_)*_xlfn.NORM.INV(RAND(),0,1))</f>
        <v>93.0148685876905</v>
      </c>
      <c r="J1300" s="25">
        <f ca="1">MAX(k_-I1300,0)*EXP(-rs_*T_)</f>
        <v>3.86928713966913</v>
      </c>
      <c r="K1300" s="25">
        <v>-6.78207977259271</v>
      </c>
      <c r="L1300" s="25">
        <v>-3.48279263292358</v>
      </c>
      <c r="M1300" s="28">
        <v>1</v>
      </c>
      <c r="N1300" s="28">
        <v>1</v>
      </c>
    </row>
    <row r="1301" spans="7:14">
      <c r="G1301" s="24">
        <v>1300</v>
      </c>
      <c r="H1301" s="25">
        <f>S0_</f>
        <v>100</v>
      </c>
      <c r="I1301" s="25">
        <f ca="1">S0_*EXP((mu_-sigma_^2/2)*Dt_+sigma_*SQRT(Dt_)*_xlfn.NORM.INV(RAND(),0,1))</f>
        <v>116.614146334151</v>
      </c>
      <c r="J1301" s="25">
        <f ca="1">MAX(k_-I1301,0)*EXP(-rs_*T_)</f>
        <v>0</v>
      </c>
      <c r="K1301" s="25">
        <v>16.1311876814761</v>
      </c>
      <c r="L1301" s="25">
        <v>15.5611876814761</v>
      </c>
      <c r="M1301" s="28">
        <v>0</v>
      </c>
      <c r="N1301" s="28">
        <v>0</v>
      </c>
    </row>
    <row r="1302" spans="7:14">
      <c r="G1302" s="24">
        <v>1301</v>
      </c>
      <c r="H1302" s="25">
        <f>S0_</f>
        <v>100</v>
      </c>
      <c r="I1302" s="25">
        <f ca="1">S0_*EXP((mu_-sigma_^2/2)*Dt_+sigma_*SQRT(Dt_)*_xlfn.NORM.INV(RAND(),0,1))</f>
        <v>101.05698220653</v>
      </c>
      <c r="J1302" s="25">
        <f ca="1">MAX(k_-I1302,0)*EXP(-rs_*T_)</f>
        <v>0</v>
      </c>
      <c r="K1302" s="25">
        <v>1.02625666143716</v>
      </c>
      <c r="L1302" s="25">
        <v>0.456256661437156</v>
      </c>
      <c r="M1302" s="28">
        <v>0</v>
      </c>
      <c r="N1302" s="28">
        <v>0</v>
      </c>
    </row>
    <row r="1303" spans="7:14">
      <c r="G1303" s="24">
        <v>1302</v>
      </c>
      <c r="H1303" s="25">
        <f>S0_</f>
        <v>100</v>
      </c>
      <c r="I1303" s="25">
        <f ca="1">S0_*EXP((mu_-sigma_^2/2)*Dt_+sigma_*SQRT(Dt_)*_xlfn.NORM.INV(RAND(),0,1))</f>
        <v>92.9003987079062</v>
      </c>
      <c r="J1303" s="25">
        <f ca="1">MAX(k_-I1303,0)*EXP(-rs_*T_)</f>
        <v>3.98042948051163</v>
      </c>
      <c r="K1303" s="25">
        <v>-6.89322211343521</v>
      </c>
      <c r="L1303" s="25">
        <v>-3.48279263292358</v>
      </c>
      <c r="M1303" s="28">
        <v>1</v>
      </c>
      <c r="N1303" s="28">
        <v>1</v>
      </c>
    </row>
    <row r="1304" spans="7:14">
      <c r="G1304" s="24">
        <v>1303</v>
      </c>
      <c r="H1304" s="25">
        <f>S0_</f>
        <v>100</v>
      </c>
      <c r="I1304" s="25">
        <f ca="1">S0_*EXP((mu_-sigma_^2/2)*Dt_+sigma_*SQRT(Dt_)*_xlfn.NORM.INV(RAND(),0,1))</f>
        <v>89.5956697554758</v>
      </c>
      <c r="J1304" s="25">
        <f ca="1">MAX(k_-I1304,0)*EXP(-rs_*T_)</f>
        <v>7.18909286266114</v>
      </c>
      <c r="K1304" s="25">
        <v>-10.1018854955847</v>
      </c>
      <c r="L1304" s="25">
        <v>-3.48279263292358</v>
      </c>
      <c r="M1304" s="28">
        <v>1</v>
      </c>
      <c r="N1304" s="28">
        <v>1</v>
      </c>
    </row>
    <row r="1305" spans="7:14">
      <c r="G1305" s="24">
        <v>1304</v>
      </c>
      <c r="H1305" s="25">
        <f>S0_</f>
        <v>100</v>
      </c>
      <c r="I1305" s="25">
        <f ca="1">S0_*EXP((mu_-sigma_^2/2)*Dt_+sigma_*SQRT(Dt_)*_xlfn.NORM.INV(RAND(),0,1))</f>
        <v>89.2138641382783</v>
      </c>
      <c r="J1305" s="25">
        <f ca="1">MAX(k_-I1305,0)*EXP(-rs_*T_)</f>
        <v>7.55979972565503</v>
      </c>
      <c r="K1305" s="25">
        <v>-10.4725923585786</v>
      </c>
      <c r="L1305" s="25">
        <v>-3.48279263292358</v>
      </c>
      <c r="M1305" s="28">
        <v>1</v>
      </c>
      <c r="N1305" s="28">
        <v>1</v>
      </c>
    </row>
    <row r="1306" spans="7:14">
      <c r="G1306" s="24">
        <v>1305</v>
      </c>
      <c r="H1306" s="25">
        <f>S0_</f>
        <v>100</v>
      </c>
      <c r="I1306" s="25">
        <f ca="1">S0_*EXP((mu_-sigma_^2/2)*Dt_+sigma_*SQRT(Dt_)*_xlfn.NORM.INV(RAND(),0,1))</f>
        <v>111.395599152199</v>
      </c>
      <c r="J1306" s="25">
        <f ca="1">MAX(k_-I1306,0)*EXP(-rs_*T_)</f>
        <v>0</v>
      </c>
      <c r="K1306" s="25">
        <v>11.0643390860919</v>
      </c>
      <c r="L1306" s="25">
        <v>10.4943390860919</v>
      </c>
      <c r="M1306" s="28">
        <v>0</v>
      </c>
      <c r="N1306" s="28">
        <v>0</v>
      </c>
    </row>
    <row r="1307" spans="7:14">
      <c r="G1307" s="24">
        <v>1306</v>
      </c>
      <c r="H1307" s="25">
        <f>S0_</f>
        <v>100</v>
      </c>
      <c r="I1307" s="25">
        <f ca="1">S0_*EXP((mu_-sigma_^2/2)*Dt_+sigma_*SQRT(Dt_)*_xlfn.NORM.INV(RAND(),0,1))</f>
        <v>122.74507127197</v>
      </c>
      <c r="J1307" s="25">
        <f ca="1">MAX(k_-I1307,0)*EXP(-rs_*T_)</f>
        <v>0</v>
      </c>
      <c r="K1307" s="25">
        <v>22.0838920121057</v>
      </c>
      <c r="L1307" s="25">
        <v>21.5138920121057</v>
      </c>
      <c r="M1307" s="28">
        <v>0</v>
      </c>
      <c r="N1307" s="28">
        <v>0</v>
      </c>
    </row>
    <row r="1308" spans="7:14">
      <c r="G1308" s="24">
        <v>1307</v>
      </c>
      <c r="H1308" s="25">
        <f>S0_</f>
        <v>100</v>
      </c>
      <c r="I1308" s="25">
        <f ca="1">S0_*EXP((mu_-sigma_^2/2)*Dt_+sigma_*SQRT(Dt_)*_xlfn.NORM.INV(RAND(),0,1))</f>
        <v>103.709900476079</v>
      </c>
      <c r="J1308" s="25">
        <f ca="1">MAX(k_-I1308,0)*EXP(-rs_*T_)</f>
        <v>0</v>
      </c>
      <c r="K1308" s="25">
        <v>3.60205692520056</v>
      </c>
      <c r="L1308" s="25">
        <v>3.03205692520056</v>
      </c>
      <c r="M1308" s="28">
        <v>0</v>
      </c>
      <c r="N1308" s="28">
        <v>0</v>
      </c>
    </row>
    <row r="1309" spans="7:14">
      <c r="G1309" s="24">
        <v>1308</v>
      </c>
      <c r="H1309" s="25">
        <f>S0_</f>
        <v>100</v>
      </c>
      <c r="I1309" s="25">
        <f ca="1">S0_*EXP((mu_-sigma_^2/2)*Dt_+sigma_*SQRT(Dt_)*_xlfn.NORM.INV(RAND(),0,1))</f>
        <v>100.309331017439</v>
      </c>
      <c r="J1309" s="25">
        <f ca="1">MAX(k_-I1309,0)*EXP(-rs_*T_)</f>
        <v>0</v>
      </c>
      <c r="K1309" s="25">
        <v>0.300339036243492</v>
      </c>
      <c r="L1309" s="25">
        <v>-0.269660963756508</v>
      </c>
      <c r="M1309" s="28">
        <v>0</v>
      </c>
      <c r="N1309" s="28">
        <v>1</v>
      </c>
    </row>
    <row r="1310" spans="7:14">
      <c r="G1310" s="24">
        <v>1309</v>
      </c>
      <c r="H1310" s="25">
        <f>S0_</f>
        <v>100</v>
      </c>
      <c r="I1310" s="25">
        <f ca="1">S0_*EXP((mu_-sigma_^2/2)*Dt_+sigma_*SQRT(Dt_)*_xlfn.NORM.INV(RAND(),0,1))</f>
        <v>110.826238274913</v>
      </c>
      <c r="J1310" s="25">
        <f ca="1">MAX(k_-I1310,0)*EXP(-rs_*T_)</f>
        <v>0</v>
      </c>
      <c r="K1310" s="25">
        <v>10.5115290298136</v>
      </c>
      <c r="L1310" s="25">
        <v>9.9415290298136</v>
      </c>
      <c r="M1310" s="28">
        <v>0</v>
      </c>
      <c r="N1310" s="28">
        <v>0</v>
      </c>
    </row>
    <row r="1311" spans="7:14">
      <c r="G1311" s="24">
        <v>1310</v>
      </c>
      <c r="H1311" s="25">
        <f>S0_</f>
        <v>100</v>
      </c>
      <c r="I1311" s="25">
        <f ca="1">S0_*EXP((mu_-sigma_^2/2)*Dt_+sigma_*SQRT(Dt_)*_xlfn.NORM.INV(RAND(),0,1))</f>
        <v>111.204569448275</v>
      </c>
      <c r="J1311" s="25">
        <f ca="1">MAX(k_-I1311,0)*EXP(-rs_*T_)</f>
        <v>0</v>
      </c>
      <c r="K1311" s="25">
        <v>10.8788624480057</v>
      </c>
      <c r="L1311" s="25">
        <v>10.3088624480057</v>
      </c>
      <c r="M1311" s="28">
        <v>0</v>
      </c>
      <c r="N1311" s="28">
        <v>0</v>
      </c>
    </row>
    <row r="1312" spans="7:14">
      <c r="G1312" s="24">
        <v>1311</v>
      </c>
      <c r="H1312" s="25">
        <f>S0_</f>
        <v>100</v>
      </c>
      <c r="I1312" s="25">
        <f ca="1">S0_*EXP((mu_-sigma_^2/2)*Dt_+sigma_*SQRT(Dt_)*_xlfn.NORM.INV(RAND(),0,1))</f>
        <v>100.354107927277</v>
      </c>
      <c r="J1312" s="25">
        <f ca="1">MAX(k_-I1312,0)*EXP(-rs_*T_)</f>
        <v>0</v>
      </c>
      <c r="K1312" s="25">
        <v>0.343814320610858</v>
      </c>
      <c r="L1312" s="25">
        <v>-0.226185679389142</v>
      </c>
      <c r="M1312" s="28">
        <v>0</v>
      </c>
      <c r="N1312" s="28">
        <v>1</v>
      </c>
    </row>
    <row r="1313" spans="7:14">
      <c r="G1313" s="24">
        <v>1312</v>
      </c>
      <c r="H1313" s="25">
        <f>S0_</f>
        <v>100</v>
      </c>
      <c r="I1313" s="25">
        <f ca="1">S0_*EXP((mu_-sigma_^2/2)*Dt_+sigma_*SQRT(Dt_)*_xlfn.NORM.INV(RAND(),0,1))</f>
        <v>97.939847532563</v>
      </c>
      <c r="J1313" s="25">
        <f ca="1">MAX(k_-I1313,0)*EXP(-rs_*T_)</f>
        <v>0</v>
      </c>
      <c r="K1313" s="25">
        <v>-2.00026564328323</v>
      </c>
      <c r="L1313" s="25">
        <v>-2.57026564328323</v>
      </c>
      <c r="M1313" s="28">
        <v>1</v>
      </c>
      <c r="N1313" s="28">
        <v>1</v>
      </c>
    </row>
    <row r="1314" spans="7:14">
      <c r="G1314" s="24">
        <v>1313</v>
      </c>
      <c r="H1314" s="25">
        <f>S0_</f>
        <v>100</v>
      </c>
      <c r="I1314" s="25">
        <f ca="1">S0_*EXP((mu_-sigma_^2/2)*Dt_+sigma_*SQRT(Dt_)*_xlfn.NORM.INV(RAND(),0,1))</f>
        <v>103.701830965344</v>
      </c>
      <c r="J1314" s="25">
        <f ca="1">MAX(k_-I1314,0)*EXP(-rs_*T_)</f>
        <v>0</v>
      </c>
      <c r="K1314" s="25">
        <v>3.59422198806043</v>
      </c>
      <c r="L1314" s="25">
        <v>3.02422198806043</v>
      </c>
      <c r="M1314" s="28">
        <v>0</v>
      </c>
      <c r="N1314" s="28">
        <v>0</v>
      </c>
    </row>
    <row r="1315" spans="7:14">
      <c r="G1315" s="24">
        <v>1314</v>
      </c>
      <c r="H1315" s="25">
        <f>S0_</f>
        <v>100</v>
      </c>
      <c r="I1315" s="25">
        <f ca="1">S0_*EXP((mu_-sigma_^2/2)*Dt_+sigma_*SQRT(Dt_)*_xlfn.NORM.INV(RAND(),0,1))</f>
        <v>112.898222202252</v>
      </c>
      <c r="J1315" s="25">
        <f ca="1">MAX(k_-I1315,0)*EXP(-rs_*T_)</f>
        <v>0</v>
      </c>
      <c r="K1315" s="25">
        <v>12.523282202844</v>
      </c>
      <c r="L1315" s="25">
        <v>11.953282202844</v>
      </c>
      <c r="M1315" s="28">
        <v>0</v>
      </c>
      <c r="N1315" s="28">
        <v>0</v>
      </c>
    </row>
    <row r="1316" spans="7:14">
      <c r="G1316" s="24">
        <v>1315</v>
      </c>
      <c r="H1316" s="25">
        <f>S0_</f>
        <v>100</v>
      </c>
      <c r="I1316" s="25">
        <f ca="1">S0_*EXP((mu_-sigma_^2/2)*Dt_+sigma_*SQRT(Dt_)*_xlfn.NORM.INV(RAND(),0,1))</f>
        <v>109.001168706475</v>
      </c>
      <c r="J1316" s="25">
        <f ca="1">MAX(k_-I1316,0)*EXP(-rs_*T_)</f>
        <v>0</v>
      </c>
      <c r="K1316" s="25">
        <v>8.73951263197457</v>
      </c>
      <c r="L1316" s="25">
        <v>8.16951263197457</v>
      </c>
      <c r="M1316" s="28">
        <v>0</v>
      </c>
      <c r="N1316" s="28">
        <v>0</v>
      </c>
    </row>
    <row r="1317" spans="7:14">
      <c r="G1317" s="24">
        <v>1316</v>
      </c>
      <c r="H1317" s="25">
        <f>S0_</f>
        <v>100</v>
      </c>
      <c r="I1317" s="25">
        <f ca="1">S0_*EXP((mu_-sigma_^2/2)*Dt_+sigma_*SQRT(Dt_)*_xlfn.NORM.INV(RAND(),0,1))</f>
        <v>89.3073481676472</v>
      </c>
      <c r="J1317" s="25">
        <f ca="1">MAX(k_-I1317,0)*EXP(-rs_*T_)</f>
        <v>7.46903319497445</v>
      </c>
      <c r="K1317" s="25">
        <v>-10.381825827898</v>
      </c>
      <c r="L1317" s="25">
        <v>-3.48279263292358</v>
      </c>
      <c r="M1317" s="28">
        <v>1</v>
      </c>
      <c r="N1317" s="28">
        <v>1</v>
      </c>
    </row>
    <row r="1318" spans="7:14">
      <c r="G1318" s="24">
        <v>1317</v>
      </c>
      <c r="H1318" s="25">
        <f>S0_</f>
        <v>100</v>
      </c>
      <c r="I1318" s="25">
        <f ca="1">S0_*EXP((mu_-sigma_^2/2)*Dt_+sigma_*SQRT(Dt_)*_xlfn.NORM.INV(RAND(),0,1))</f>
        <v>105.325603172052</v>
      </c>
      <c r="J1318" s="25">
        <f ca="1">MAX(k_-I1318,0)*EXP(-rs_*T_)</f>
        <v>0</v>
      </c>
      <c r="K1318" s="25">
        <v>5.17079256180958</v>
      </c>
      <c r="L1318" s="25">
        <v>4.60079256180958</v>
      </c>
      <c r="M1318" s="28">
        <v>0</v>
      </c>
      <c r="N1318" s="28">
        <v>0</v>
      </c>
    </row>
    <row r="1319" spans="7:14">
      <c r="G1319" s="24">
        <v>1318</v>
      </c>
      <c r="H1319" s="25">
        <f>S0_</f>
        <v>100</v>
      </c>
      <c r="I1319" s="25">
        <f ca="1">S0_*EXP((mu_-sigma_^2/2)*Dt_+sigma_*SQRT(Dt_)*_xlfn.NORM.INV(RAND(),0,1))</f>
        <v>93.0580888601626</v>
      </c>
      <c r="J1319" s="25">
        <f ca="1">MAX(k_-I1319,0)*EXP(-rs_*T_)</f>
        <v>3.82732324258594</v>
      </c>
      <c r="K1319" s="25">
        <v>-6.74011587550952</v>
      </c>
      <c r="L1319" s="25">
        <v>-3.48279263292358</v>
      </c>
      <c r="M1319" s="28">
        <v>1</v>
      </c>
      <c r="N1319" s="28">
        <v>1</v>
      </c>
    </row>
    <row r="1320" spans="7:14">
      <c r="G1320" s="24">
        <v>1319</v>
      </c>
      <c r="H1320" s="25">
        <f>S0_</f>
        <v>100</v>
      </c>
      <c r="I1320" s="25">
        <f ca="1">S0_*EXP((mu_-sigma_^2/2)*Dt_+sigma_*SQRT(Dt_)*_xlfn.NORM.INV(RAND(),0,1))</f>
        <v>96.0233096579102</v>
      </c>
      <c r="J1320" s="25">
        <f ca="1">MAX(k_-I1320,0)*EXP(-rs_*T_)</f>
        <v>0.948298811028952</v>
      </c>
      <c r="K1320" s="25">
        <v>-3.86109144395253</v>
      </c>
      <c r="L1320" s="25">
        <v>-3.48279263292358</v>
      </c>
      <c r="M1320" s="28">
        <v>1</v>
      </c>
      <c r="N1320" s="28">
        <v>1</v>
      </c>
    </row>
    <row r="1321" spans="7:14">
      <c r="G1321" s="24">
        <v>1320</v>
      </c>
      <c r="H1321" s="25">
        <f>S0_</f>
        <v>100</v>
      </c>
      <c r="I1321" s="25">
        <f ca="1">S0_*EXP((mu_-sigma_^2/2)*Dt_+sigma_*SQRT(Dt_)*_xlfn.NORM.INV(RAND(),0,1))</f>
        <v>94.6453965615144</v>
      </c>
      <c r="J1321" s="25">
        <f ca="1">MAX(k_-I1321,0)*EXP(-rs_*T_)</f>
        <v>2.28615718302584</v>
      </c>
      <c r="K1321" s="25">
        <v>-5.19894981594942</v>
      </c>
      <c r="L1321" s="25">
        <v>-3.48279263292358</v>
      </c>
      <c r="M1321" s="28">
        <v>1</v>
      </c>
      <c r="N1321" s="28">
        <v>1</v>
      </c>
    </row>
    <row r="1322" spans="7:14">
      <c r="G1322" s="24">
        <v>1321</v>
      </c>
      <c r="H1322" s="25">
        <f>S0_</f>
        <v>100</v>
      </c>
      <c r="I1322" s="25">
        <f ca="1">S0_*EXP((mu_-sigma_^2/2)*Dt_+sigma_*SQRT(Dt_)*_xlfn.NORM.INV(RAND(),0,1))</f>
        <v>109.140387161836</v>
      </c>
      <c r="J1322" s="25">
        <f ca="1">MAX(k_-I1322,0)*EXP(-rs_*T_)</f>
        <v>0</v>
      </c>
      <c r="K1322" s="25">
        <v>8.87468412902139</v>
      </c>
      <c r="L1322" s="25">
        <v>8.30468412902139</v>
      </c>
      <c r="M1322" s="28">
        <v>0</v>
      </c>
      <c r="N1322" s="28">
        <v>0</v>
      </c>
    </row>
    <row r="1323" spans="7:14">
      <c r="G1323" s="24">
        <v>1322</v>
      </c>
      <c r="H1323" s="25">
        <f>S0_</f>
        <v>100</v>
      </c>
      <c r="I1323" s="25">
        <f ca="1">S0_*EXP((mu_-sigma_^2/2)*Dt_+sigma_*SQRT(Dt_)*_xlfn.NORM.INV(RAND(),0,1))</f>
        <v>101.807354935834</v>
      </c>
      <c r="J1323" s="25">
        <f ca="1">MAX(k_-I1323,0)*EXP(-rs_*T_)</f>
        <v>0</v>
      </c>
      <c r="K1323" s="25">
        <v>1.75481671405831</v>
      </c>
      <c r="L1323" s="25">
        <v>1.18481671405831</v>
      </c>
      <c r="M1323" s="28">
        <v>0</v>
      </c>
      <c r="N1323" s="28">
        <v>0</v>
      </c>
    </row>
    <row r="1324" spans="7:14">
      <c r="G1324" s="24">
        <v>1323</v>
      </c>
      <c r="H1324" s="25">
        <f>S0_</f>
        <v>100</v>
      </c>
      <c r="I1324" s="25">
        <f ca="1">S0_*EXP((mu_-sigma_^2/2)*Dt_+sigma_*SQRT(Dt_)*_xlfn.NORM.INV(RAND(),0,1))</f>
        <v>95.8930432879257</v>
      </c>
      <c r="J1324" s="25">
        <f ca="1">MAX(k_-I1324,0)*EXP(-rs_*T_)</f>
        <v>1.07477845196512</v>
      </c>
      <c r="K1324" s="25">
        <v>-3.9875710848887</v>
      </c>
      <c r="L1324" s="25">
        <v>-3.48279263292358</v>
      </c>
      <c r="M1324" s="28">
        <v>1</v>
      </c>
      <c r="N1324" s="28">
        <v>1</v>
      </c>
    </row>
    <row r="1325" spans="7:14">
      <c r="G1325" s="24">
        <v>1324</v>
      </c>
      <c r="H1325" s="25">
        <f>S0_</f>
        <v>100</v>
      </c>
      <c r="I1325" s="25">
        <f ca="1">S0_*EXP((mu_-sigma_^2/2)*Dt_+sigma_*SQRT(Dt_)*_xlfn.NORM.INV(RAND(),0,1))</f>
        <v>87.4985415429494</v>
      </c>
      <c r="J1325" s="25">
        <f ca="1">MAX(k_-I1325,0)*EXP(-rs_*T_)</f>
        <v>9.22525939857552</v>
      </c>
      <c r="K1325" s="25">
        <v>-12.1380520314991</v>
      </c>
      <c r="L1325" s="25">
        <v>-3.48279263292358</v>
      </c>
      <c r="M1325" s="28">
        <v>1</v>
      </c>
      <c r="N1325" s="28">
        <v>1</v>
      </c>
    </row>
    <row r="1326" spans="7:14">
      <c r="G1326" s="24">
        <v>1325</v>
      </c>
      <c r="H1326" s="25">
        <f>S0_</f>
        <v>100</v>
      </c>
      <c r="I1326" s="25">
        <f ca="1">S0_*EXP((mu_-sigma_^2/2)*Dt_+sigma_*SQRT(Dt_)*_xlfn.NORM.INV(RAND(),0,1))</f>
        <v>99.5706932737111</v>
      </c>
      <c r="J1326" s="25">
        <f ca="1">MAX(k_-I1326,0)*EXP(-rs_*T_)</f>
        <v>0</v>
      </c>
      <c r="K1326" s="25">
        <v>-0.416827156532977</v>
      </c>
      <c r="L1326" s="25">
        <v>-0.986827156532977</v>
      </c>
      <c r="M1326" s="28">
        <v>1</v>
      </c>
      <c r="N1326" s="28">
        <v>1</v>
      </c>
    </row>
    <row r="1327" spans="7:14">
      <c r="G1327" s="24">
        <v>1326</v>
      </c>
      <c r="H1327" s="25">
        <f>S0_</f>
        <v>100</v>
      </c>
      <c r="I1327" s="25">
        <f ca="1">S0_*EXP((mu_-sigma_^2/2)*Dt_+sigma_*SQRT(Dt_)*_xlfn.NORM.INV(RAND(),0,1))</f>
        <v>108.264691178835</v>
      </c>
      <c r="J1327" s="25">
        <f ca="1">MAX(k_-I1327,0)*EXP(-rs_*T_)</f>
        <v>0</v>
      </c>
      <c r="K1327" s="25">
        <v>8.02444385969939</v>
      </c>
      <c r="L1327" s="25">
        <v>7.45444385969939</v>
      </c>
      <c r="M1327" s="28">
        <v>0</v>
      </c>
      <c r="N1327" s="28">
        <v>0</v>
      </c>
    </row>
    <row r="1328" spans="7:14">
      <c r="G1328" s="24">
        <v>1327</v>
      </c>
      <c r="H1328" s="25">
        <f>S0_</f>
        <v>100</v>
      </c>
      <c r="I1328" s="25">
        <f ca="1">S0_*EXP((mu_-sigma_^2/2)*Dt_+sigma_*SQRT(Dt_)*_xlfn.NORM.INV(RAND(),0,1))</f>
        <v>91.2056455564219</v>
      </c>
      <c r="J1328" s="25">
        <f ca="1">MAX(k_-I1328,0)*EXP(-rs_*T_)</f>
        <v>5.62591764526745</v>
      </c>
      <c r="K1328" s="25">
        <v>-8.53871027819103</v>
      </c>
      <c r="L1328" s="25">
        <v>-3.48279263292358</v>
      </c>
      <c r="M1328" s="28">
        <v>1</v>
      </c>
      <c r="N1328" s="28">
        <v>1</v>
      </c>
    </row>
    <row r="1329" spans="7:14">
      <c r="G1329" s="24">
        <v>1328</v>
      </c>
      <c r="H1329" s="25">
        <f>S0_</f>
        <v>100</v>
      </c>
      <c r="I1329" s="25">
        <f ca="1">S0_*EXP((mu_-sigma_^2/2)*Dt_+sigma_*SQRT(Dt_)*_xlfn.NORM.INV(RAND(),0,1))</f>
        <v>106.445240583076</v>
      </c>
      <c r="J1329" s="25">
        <f ca="1">MAX(k_-I1329,0)*EXP(-rs_*T_)</f>
        <v>0</v>
      </c>
      <c r="K1329" s="25">
        <v>6.25788309593428</v>
      </c>
      <c r="L1329" s="25">
        <v>5.68788309593428</v>
      </c>
      <c r="M1329" s="28">
        <v>0</v>
      </c>
      <c r="N1329" s="28">
        <v>0</v>
      </c>
    </row>
    <row r="1330" spans="7:14">
      <c r="G1330" s="24">
        <v>1329</v>
      </c>
      <c r="H1330" s="25">
        <f>S0_</f>
        <v>100</v>
      </c>
      <c r="I1330" s="25">
        <f ca="1">S0_*EXP((mu_-sigma_^2/2)*Dt_+sigma_*SQRT(Dt_)*_xlfn.NORM.INV(RAND(),0,1))</f>
        <v>100.906967317175</v>
      </c>
      <c r="J1330" s="25">
        <f ca="1">MAX(k_-I1330,0)*EXP(-rs_*T_)</f>
        <v>0</v>
      </c>
      <c r="K1330" s="25">
        <v>0.880602573256315</v>
      </c>
      <c r="L1330" s="25">
        <v>0.310602573256315</v>
      </c>
      <c r="M1330" s="28">
        <v>0</v>
      </c>
      <c r="N1330" s="28">
        <v>0</v>
      </c>
    </row>
    <row r="1331" spans="7:14">
      <c r="G1331" s="24">
        <v>1330</v>
      </c>
      <c r="H1331" s="25">
        <f>S0_</f>
        <v>100</v>
      </c>
      <c r="I1331" s="25">
        <f ca="1">S0_*EXP((mu_-sigma_^2/2)*Dt_+sigma_*SQRT(Dt_)*_xlfn.NORM.INV(RAND(),0,1))</f>
        <v>117.289758847438</v>
      </c>
      <c r="J1331" s="25">
        <f ca="1">MAX(k_-I1331,0)*EXP(-rs_*T_)</f>
        <v>0</v>
      </c>
      <c r="K1331" s="25">
        <v>16.7871607319475</v>
      </c>
      <c r="L1331" s="25">
        <v>16.2171607319475</v>
      </c>
      <c r="M1331" s="28">
        <v>0</v>
      </c>
      <c r="N1331" s="28">
        <v>0</v>
      </c>
    </row>
    <row r="1332" spans="7:14">
      <c r="G1332" s="24">
        <v>1331</v>
      </c>
      <c r="H1332" s="25">
        <f>S0_</f>
        <v>100</v>
      </c>
      <c r="I1332" s="25">
        <f ca="1">S0_*EXP((mu_-sigma_^2/2)*Dt_+sigma_*SQRT(Dt_)*_xlfn.NORM.INV(RAND(),0,1))</f>
        <v>96.794844719565</v>
      </c>
      <c r="J1332" s="25">
        <f ca="1">MAX(k_-I1332,0)*EXP(-rs_*T_)</f>
        <v>0.199191596485446</v>
      </c>
      <c r="K1332" s="25">
        <v>-3.11198422940903</v>
      </c>
      <c r="L1332" s="25">
        <v>-3.48279263292358</v>
      </c>
      <c r="M1332" s="28">
        <v>1</v>
      </c>
      <c r="N1332" s="28">
        <v>1</v>
      </c>
    </row>
    <row r="1333" spans="7:14">
      <c r="G1333" s="24">
        <v>1332</v>
      </c>
      <c r="H1333" s="25">
        <f>S0_</f>
        <v>100</v>
      </c>
      <c r="I1333" s="25">
        <f ca="1">S0_*EXP((mu_-sigma_^2/2)*Dt_+sigma_*SQRT(Dt_)*_xlfn.NORM.INV(RAND(),0,1))</f>
        <v>105.36670033254</v>
      </c>
      <c r="J1333" s="25">
        <f ca="1">MAX(k_-I1333,0)*EXP(-rs_*T_)</f>
        <v>0</v>
      </c>
      <c r="K1333" s="25">
        <v>5.21069506390989</v>
      </c>
      <c r="L1333" s="25">
        <v>4.64069506390989</v>
      </c>
      <c r="M1333" s="28">
        <v>0</v>
      </c>
      <c r="N1333" s="28">
        <v>0</v>
      </c>
    </row>
    <row r="1334" spans="7:14">
      <c r="G1334" s="24">
        <v>1333</v>
      </c>
      <c r="H1334" s="25">
        <f>S0_</f>
        <v>100</v>
      </c>
      <c r="I1334" s="25">
        <f ca="1">S0_*EXP((mu_-sigma_^2/2)*Dt_+sigma_*SQRT(Dt_)*_xlfn.NORM.INV(RAND(),0,1))</f>
        <v>95.1507494593405</v>
      </c>
      <c r="J1334" s="25">
        <f ca="1">MAX(k_-I1334,0)*EXP(-rs_*T_)</f>
        <v>1.79549445042094</v>
      </c>
      <c r="K1334" s="25">
        <v>-4.70828708334452</v>
      </c>
      <c r="L1334" s="25">
        <v>-3.48279263292358</v>
      </c>
      <c r="M1334" s="28">
        <v>1</v>
      </c>
      <c r="N1334" s="28">
        <v>1</v>
      </c>
    </row>
    <row r="1335" spans="7:14">
      <c r="G1335" s="24">
        <v>1334</v>
      </c>
      <c r="H1335" s="25">
        <f>S0_</f>
        <v>100</v>
      </c>
      <c r="I1335" s="25">
        <f ca="1">S0_*EXP((mu_-sigma_^2/2)*Dt_+sigma_*SQRT(Dt_)*_xlfn.NORM.INV(RAND(),0,1))</f>
        <v>113.020757790027</v>
      </c>
      <c r="J1335" s="25">
        <f ca="1">MAX(k_-I1335,0)*EXP(-rs_*T_)</f>
        <v>0</v>
      </c>
      <c r="K1335" s="25">
        <v>12.6422557886241</v>
      </c>
      <c r="L1335" s="25">
        <v>12.0722557886241</v>
      </c>
      <c r="M1335" s="28">
        <v>0</v>
      </c>
      <c r="N1335" s="28">
        <v>0</v>
      </c>
    </row>
    <row r="1336" spans="7:14">
      <c r="G1336" s="24">
        <v>1335</v>
      </c>
      <c r="H1336" s="25">
        <f>S0_</f>
        <v>100</v>
      </c>
      <c r="I1336" s="25">
        <f ca="1">S0_*EXP((mu_-sigma_^2/2)*Dt_+sigma_*SQRT(Dt_)*_xlfn.NORM.INV(RAND(),0,1))</f>
        <v>107.173033803974</v>
      </c>
      <c r="J1336" s="25">
        <f ca="1">MAX(k_-I1336,0)*EXP(-rs_*T_)</f>
        <v>0</v>
      </c>
      <c r="K1336" s="25">
        <v>6.96452000664244</v>
      </c>
      <c r="L1336" s="25">
        <v>6.39452000664244</v>
      </c>
      <c r="M1336" s="28">
        <v>0</v>
      </c>
      <c r="N1336" s="28">
        <v>0</v>
      </c>
    </row>
    <row r="1337" spans="7:14">
      <c r="G1337" s="24">
        <v>1336</v>
      </c>
      <c r="H1337" s="25">
        <f>S0_</f>
        <v>100</v>
      </c>
      <c r="I1337" s="25">
        <f ca="1">S0_*EXP((mu_-sigma_^2/2)*Dt_+sigma_*SQRT(Dt_)*_xlfn.NORM.INV(RAND(),0,1))</f>
        <v>120.531494135396</v>
      </c>
      <c r="J1337" s="25">
        <f ca="1">MAX(k_-I1337,0)*EXP(-rs_*T_)</f>
        <v>0</v>
      </c>
      <c r="K1337" s="25">
        <v>19.9346616201653</v>
      </c>
      <c r="L1337" s="25">
        <v>19.3646616201653</v>
      </c>
      <c r="M1337" s="28">
        <v>0</v>
      </c>
      <c r="N1337" s="28">
        <v>0</v>
      </c>
    </row>
    <row r="1338" spans="7:14">
      <c r="G1338" s="24">
        <v>1337</v>
      </c>
      <c r="H1338" s="25">
        <f>S0_</f>
        <v>100</v>
      </c>
      <c r="I1338" s="25">
        <f ca="1">S0_*EXP((mu_-sigma_^2/2)*Dt_+sigma_*SQRT(Dt_)*_xlfn.NORM.INV(RAND(),0,1))</f>
        <v>115.253210635947</v>
      </c>
      <c r="J1338" s="25">
        <f ca="1">MAX(k_-I1338,0)*EXP(-rs_*T_)</f>
        <v>0</v>
      </c>
      <c r="K1338" s="25">
        <v>14.8098131896063</v>
      </c>
      <c r="L1338" s="25">
        <v>14.2398131896063</v>
      </c>
      <c r="M1338" s="28">
        <v>0</v>
      </c>
      <c r="N1338" s="28">
        <v>0</v>
      </c>
    </row>
    <row r="1339" spans="7:14">
      <c r="G1339" s="24">
        <v>1338</v>
      </c>
      <c r="H1339" s="25">
        <f>S0_</f>
        <v>100</v>
      </c>
      <c r="I1339" s="25">
        <f ca="1">S0_*EXP((mu_-sigma_^2/2)*Dt_+sigma_*SQRT(Dt_)*_xlfn.NORM.INV(RAND(),0,1))</f>
        <v>102.724996634487</v>
      </c>
      <c r="J1339" s="25">
        <f ca="1">MAX(k_-I1339,0)*EXP(-rs_*T_)</f>
        <v>0</v>
      </c>
      <c r="K1339" s="25">
        <v>2.64578337389153</v>
      </c>
      <c r="L1339" s="25">
        <v>2.07578337389153</v>
      </c>
      <c r="M1339" s="28">
        <v>0</v>
      </c>
      <c r="N1339" s="28">
        <v>0</v>
      </c>
    </row>
    <row r="1340" spans="7:14">
      <c r="G1340" s="24">
        <v>1339</v>
      </c>
      <c r="H1340" s="25">
        <f>S0_</f>
        <v>100</v>
      </c>
      <c r="I1340" s="25">
        <f ca="1">S0_*EXP((mu_-sigma_^2/2)*Dt_+sigma_*SQRT(Dt_)*_xlfn.NORM.INV(RAND(),0,1))</f>
        <v>109.335679308631</v>
      </c>
      <c r="J1340" s="25">
        <f ca="1">MAX(k_-I1340,0)*EXP(-rs_*T_)</f>
        <v>0</v>
      </c>
      <c r="K1340" s="25">
        <v>9.06429930450546</v>
      </c>
      <c r="L1340" s="25">
        <v>8.49429930450546</v>
      </c>
      <c r="M1340" s="28">
        <v>0</v>
      </c>
      <c r="N1340" s="28">
        <v>0</v>
      </c>
    </row>
    <row r="1341" spans="7:14">
      <c r="G1341" s="24">
        <v>1340</v>
      </c>
      <c r="H1341" s="25">
        <f>S0_</f>
        <v>100</v>
      </c>
      <c r="I1341" s="25">
        <f ca="1">S0_*EXP((mu_-sigma_^2/2)*Dt_+sigma_*SQRT(Dt_)*_xlfn.NORM.INV(RAND(),0,1))</f>
        <v>90.4037718616884</v>
      </c>
      <c r="J1341" s="25">
        <f ca="1">MAX(k_-I1341,0)*EXP(-rs_*T_)</f>
        <v>6.40448157545241</v>
      </c>
      <c r="K1341" s="25">
        <v>-9.31727420837599</v>
      </c>
      <c r="L1341" s="25">
        <v>-3.48279263292358</v>
      </c>
      <c r="M1341" s="28">
        <v>1</v>
      </c>
      <c r="N1341" s="28">
        <v>1</v>
      </c>
    </row>
    <row r="1342" spans="7:14">
      <c r="G1342" s="24">
        <v>1341</v>
      </c>
      <c r="H1342" s="25">
        <f>S0_</f>
        <v>100</v>
      </c>
      <c r="I1342" s="25">
        <f ca="1">S0_*EXP((mu_-sigma_^2/2)*Dt_+sigma_*SQRT(Dt_)*_xlfn.NORM.INV(RAND(),0,1))</f>
        <v>87.8392017367206</v>
      </c>
      <c r="J1342" s="25">
        <f ca="1">MAX(k_-I1342,0)*EXP(-rs_*T_)</f>
        <v>8.89450189765981</v>
      </c>
      <c r="K1342" s="25">
        <v>-11.8072945305834</v>
      </c>
      <c r="L1342" s="25">
        <v>-3.48279263292358</v>
      </c>
      <c r="M1342" s="28">
        <v>1</v>
      </c>
      <c r="N1342" s="28">
        <v>1</v>
      </c>
    </row>
    <row r="1343" spans="7:14">
      <c r="G1343" s="24">
        <v>1342</v>
      </c>
      <c r="H1343" s="25">
        <f>S0_</f>
        <v>100</v>
      </c>
      <c r="I1343" s="25">
        <f ca="1">S0_*EXP((mu_-sigma_^2/2)*Dt_+sigma_*SQRT(Dt_)*_xlfn.NORM.INV(RAND(),0,1))</f>
        <v>96.1845576019992</v>
      </c>
      <c r="J1343" s="25">
        <f ca="1">MAX(k_-I1343,0)*EXP(-rs_*T_)</f>
        <v>0.791738203156727</v>
      </c>
      <c r="K1343" s="25">
        <v>-3.70453083608031</v>
      </c>
      <c r="L1343" s="25">
        <v>-3.48279263292358</v>
      </c>
      <c r="M1343" s="28">
        <v>1</v>
      </c>
      <c r="N1343" s="28">
        <v>1</v>
      </c>
    </row>
    <row r="1344" spans="7:14">
      <c r="G1344" s="24">
        <v>1343</v>
      </c>
      <c r="H1344" s="25">
        <f>S0_</f>
        <v>100</v>
      </c>
      <c r="I1344" s="25">
        <f ca="1">S0_*EXP((mu_-sigma_^2/2)*Dt_+sigma_*SQRT(Dt_)*_xlfn.NORM.INV(RAND(),0,1))</f>
        <v>89.7976660009287</v>
      </c>
      <c r="J1344" s="25">
        <f ca="1">MAX(k_-I1344,0)*EXP(-rs_*T_)</f>
        <v>6.99296847078327</v>
      </c>
      <c r="K1344" s="25">
        <v>-9.90576110370685</v>
      </c>
      <c r="L1344" s="25">
        <v>-3.48279263292358</v>
      </c>
      <c r="M1344" s="28">
        <v>1</v>
      </c>
      <c r="N1344" s="28">
        <v>1</v>
      </c>
    </row>
    <row r="1345" spans="7:14">
      <c r="G1345" s="24">
        <v>1344</v>
      </c>
      <c r="H1345" s="25">
        <f>S0_</f>
        <v>100</v>
      </c>
      <c r="I1345" s="25">
        <f ca="1">S0_*EXP((mu_-sigma_^2/2)*Dt_+sigma_*SQRT(Dt_)*_xlfn.NORM.INV(RAND(),0,1))</f>
        <v>94.7601228823645</v>
      </c>
      <c r="J1345" s="25">
        <f ca="1">MAX(k_-I1345,0)*EXP(-rs_*T_)</f>
        <v>2.17476585563425</v>
      </c>
      <c r="K1345" s="25">
        <v>-5.08755848855783</v>
      </c>
      <c r="L1345" s="25">
        <v>-3.48279263292358</v>
      </c>
      <c r="M1345" s="28">
        <v>1</v>
      </c>
      <c r="N1345" s="28">
        <v>1</v>
      </c>
    </row>
    <row r="1346" spans="7:14">
      <c r="G1346" s="24">
        <v>1345</v>
      </c>
      <c r="H1346" s="25">
        <f>S0_</f>
        <v>100</v>
      </c>
      <c r="I1346" s="25">
        <f ca="1">S0_*EXP((mu_-sigma_^2/2)*Dt_+sigma_*SQRT(Dt_)*_xlfn.NORM.INV(RAND(),0,1))</f>
        <v>111.622731949756</v>
      </c>
      <c r="J1346" s="25">
        <f ca="1">MAX(k_-I1346,0)*EXP(-rs_*T_)</f>
        <v>0</v>
      </c>
      <c r="K1346" s="25">
        <v>11.2848693325645</v>
      </c>
      <c r="L1346" s="25">
        <v>10.7148693325645</v>
      </c>
      <c r="M1346" s="28">
        <v>0</v>
      </c>
      <c r="N1346" s="28">
        <v>0</v>
      </c>
    </row>
    <row r="1347" spans="7:14">
      <c r="G1347" s="24">
        <v>1346</v>
      </c>
      <c r="H1347" s="25">
        <f>S0_</f>
        <v>100</v>
      </c>
      <c r="I1347" s="25">
        <f ca="1">S0_*EXP((mu_-sigma_^2/2)*Dt_+sigma_*SQRT(Dt_)*_xlfn.NORM.INV(RAND(),0,1))</f>
        <v>102.511527895369</v>
      </c>
      <c r="J1347" s="25">
        <f ca="1">MAX(k_-I1347,0)*EXP(-rs_*T_)</f>
        <v>0</v>
      </c>
      <c r="K1347" s="25">
        <v>2.43851998367124</v>
      </c>
      <c r="L1347" s="25">
        <v>1.86851998367124</v>
      </c>
      <c r="M1347" s="28">
        <v>0</v>
      </c>
      <c r="N1347" s="28">
        <v>0</v>
      </c>
    </row>
    <row r="1348" spans="7:14">
      <c r="G1348" s="24">
        <v>1347</v>
      </c>
      <c r="H1348" s="25">
        <f>S0_</f>
        <v>100</v>
      </c>
      <c r="I1348" s="25">
        <f ca="1">S0_*EXP((mu_-sigma_^2/2)*Dt_+sigma_*SQRT(Dt_)*_xlfn.NORM.INV(RAND(),0,1))</f>
        <v>95.8834689437267</v>
      </c>
      <c r="J1348" s="25">
        <f ca="1">MAX(k_-I1348,0)*EXP(-rs_*T_)</f>
        <v>1.08407447838111</v>
      </c>
      <c r="K1348" s="25">
        <v>-3.9968671113047</v>
      </c>
      <c r="L1348" s="25">
        <v>-3.48279263292358</v>
      </c>
      <c r="M1348" s="28">
        <v>1</v>
      </c>
      <c r="N1348" s="28">
        <v>1</v>
      </c>
    </row>
    <row r="1349" spans="7:14">
      <c r="G1349" s="24">
        <v>1348</v>
      </c>
      <c r="H1349" s="25">
        <f>S0_</f>
        <v>100</v>
      </c>
      <c r="I1349" s="25">
        <f ca="1">S0_*EXP((mu_-sigma_^2/2)*Dt_+sigma_*SQRT(Dt_)*_xlfn.NORM.INV(RAND(),0,1))</f>
        <v>116.249590944743</v>
      </c>
      <c r="J1349" s="25">
        <f ca="1">MAX(k_-I1349,0)*EXP(-rs_*T_)</f>
        <v>0</v>
      </c>
      <c r="K1349" s="25">
        <v>15.7772295972897</v>
      </c>
      <c r="L1349" s="25">
        <v>15.2072295972897</v>
      </c>
      <c r="M1349" s="28">
        <v>0</v>
      </c>
      <c r="N1349" s="28">
        <v>0</v>
      </c>
    </row>
    <row r="1350" spans="7:14">
      <c r="G1350" s="24">
        <v>1349</v>
      </c>
      <c r="H1350" s="25">
        <f>S0_</f>
        <v>100</v>
      </c>
      <c r="I1350" s="25">
        <f ca="1">S0_*EXP((mu_-sigma_^2/2)*Dt_+sigma_*SQRT(Dt_)*_xlfn.NORM.INV(RAND(),0,1))</f>
        <v>102.011305598075</v>
      </c>
      <c r="J1350" s="25">
        <f ca="1">MAX(k_-I1350,0)*EXP(-rs_*T_)</f>
        <v>0</v>
      </c>
      <c r="K1350" s="25">
        <v>1.95283870954333</v>
      </c>
      <c r="L1350" s="25">
        <v>1.38283870954333</v>
      </c>
      <c r="M1350" s="28">
        <v>0</v>
      </c>
      <c r="N1350" s="28">
        <v>0</v>
      </c>
    </row>
    <row r="1351" spans="7:14">
      <c r="G1351" s="24">
        <v>1350</v>
      </c>
      <c r="H1351" s="25">
        <f>S0_</f>
        <v>100</v>
      </c>
      <c r="I1351" s="25">
        <f ca="1">S0_*EXP((mu_-sigma_^2/2)*Dt_+sigma_*SQRT(Dt_)*_xlfn.NORM.INV(RAND(),0,1))</f>
        <v>106.535776815005</v>
      </c>
      <c r="J1351" s="25">
        <f ca="1">MAX(k_-I1351,0)*EXP(-rs_*T_)</f>
        <v>0</v>
      </c>
      <c r="K1351" s="25">
        <v>6.34578751905938</v>
      </c>
      <c r="L1351" s="25">
        <v>5.77578751905938</v>
      </c>
      <c r="M1351" s="28">
        <v>0</v>
      </c>
      <c r="N1351" s="28">
        <v>0</v>
      </c>
    </row>
    <row r="1352" spans="7:14">
      <c r="G1352" s="24">
        <v>1351</v>
      </c>
      <c r="H1352" s="25">
        <f>S0_</f>
        <v>100</v>
      </c>
      <c r="I1352" s="25">
        <f ca="1">S0_*EXP((mu_-sigma_^2/2)*Dt_+sigma_*SQRT(Dt_)*_xlfn.NORM.INV(RAND(),0,1))</f>
        <v>102.963283959278</v>
      </c>
      <c r="J1352" s="25">
        <f ca="1">MAX(k_-I1352,0)*EXP(-rs_*T_)</f>
        <v>0</v>
      </c>
      <c r="K1352" s="25">
        <v>2.87714389528217</v>
      </c>
      <c r="L1352" s="25">
        <v>2.30714389528217</v>
      </c>
      <c r="M1352" s="28">
        <v>0</v>
      </c>
      <c r="N1352" s="28">
        <v>0</v>
      </c>
    </row>
    <row r="1353" spans="7:14">
      <c r="G1353" s="24">
        <v>1352</v>
      </c>
      <c r="H1353" s="25">
        <f>S0_</f>
        <v>100</v>
      </c>
      <c r="I1353" s="25">
        <f ca="1">S0_*EXP((mu_-sigma_^2/2)*Dt_+sigma_*SQRT(Dt_)*_xlfn.NORM.INV(RAND(),0,1))</f>
        <v>97.020752480494</v>
      </c>
      <c r="J1353" s="25">
        <f ca="1">MAX(k_-I1353,0)*EXP(-rs_*T_)</f>
        <v>0</v>
      </c>
      <c r="K1353" s="25">
        <v>-2.89264340882436</v>
      </c>
      <c r="L1353" s="25">
        <v>-3.46264340882436</v>
      </c>
      <c r="M1353" s="28">
        <v>1</v>
      </c>
      <c r="N1353" s="28">
        <v>1</v>
      </c>
    </row>
    <row r="1354" spans="7:14">
      <c r="G1354" s="24">
        <v>1353</v>
      </c>
      <c r="H1354" s="25">
        <f>S0_</f>
        <v>100</v>
      </c>
      <c r="I1354" s="25">
        <f ca="1">S0_*EXP((mu_-sigma_^2/2)*Dt_+sigma_*SQRT(Dt_)*_xlfn.NORM.INV(RAND(),0,1))</f>
        <v>86.1968693526503</v>
      </c>
      <c r="J1354" s="25">
        <f ca="1">MAX(k_-I1354,0)*EXP(-rs_*T_)</f>
        <v>10.4890931207037</v>
      </c>
      <c r="K1354" s="25">
        <v>-13.4018857536273</v>
      </c>
      <c r="L1354" s="25">
        <v>-3.48279263292358</v>
      </c>
      <c r="M1354" s="28">
        <v>1</v>
      </c>
      <c r="N1354" s="28">
        <v>1</v>
      </c>
    </row>
    <row r="1355" spans="7:14">
      <c r="G1355" s="24">
        <v>1354</v>
      </c>
      <c r="H1355" s="25">
        <f>S0_</f>
        <v>100</v>
      </c>
      <c r="I1355" s="25">
        <f ca="1">S0_*EXP((mu_-sigma_^2/2)*Dt_+sigma_*SQRT(Dt_)*_xlfn.NORM.INV(RAND(),0,1))</f>
        <v>99.8172466451967</v>
      </c>
      <c r="J1355" s="25">
        <f ca="1">MAX(k_-I1355,0)*EXP(-rs_*T_)</f>
        <v>0</v>
      </c>
      <c r="K1355" s="25">
        <v>-0.177440875171037</v>
      </c>
      <c r="L1355" s="25">
        <v>-0.747440875171037</v>
      </c>
      <c r="M1355" s="28">
        <v>1</v>
      </c>
      <c r="N1355" s="28">
        <v>1</v>
      </c>
    </row>
    <row r="1356" spans="7:14">
      <c r="G1356" s="24">
        <v>1355</v>
      </c>
      <c r="H1356" s="25">
        <f>S0_</f>
        <v>100</v>
      </c>
      <c r="I1356" s="25">
        <f ca="1">S0_*EXP((mu_-sigma_^2/2)*Dt_+sigma_*SQRT(Dt_)*_xlfn.NORM.INV(RAND(),0,1))</f>
        <v>110.397401708822</v>
      </c>
      <c r="J1356" s="25">
        <f ca="1">MAX(k_-I1356,0)*EXP(-rs_*T_)</f>
        <v>0</v>
      </c>
      <c r="K1356" s="25">
        <v>10.0951583663349</v>
      </c>
      <c r="L1356" s="25">
        <v>9.52515836633489</v>
      </c>
      <c r="M1356" s="28">
        <v>0</v>
      </c>
      <c r="N1356" s="28">
        <v>0</v>
      </c>
    </row>
    <row r="1357" spans="7:14">
      <c r="G1357" s="24">
        <v>1356</v>
      </c>
      <c r="H1357" s="25">
        <f>S0_</f>
        <v>100</v>
      </c>
      <c r="I1357" s="25">
        <f ca="1">S0_*EXP((mu_-sigma_^2/2)*Dt_+sigma_*SQRT(Dt_)*_xlfn.NORM.INV(RAND(),0,1))</f>
        <v>102.978886743882</v>
      </c>
      <c r="J1357" s="25">
        <f ca="1">MAX(k_-I1357,0)*EXP(-rs_*T_)</f>
        <v>0</v>
      </c>
      <c r="K1357" s="25">
        <v>2.89229312063075</v>
      </c>
      <c r="L1357" s="25">
        <v>2.32229312063075</v>
      </c>
      <c r="M1357" s="28">
        <v>0</v>
      </c>
      <c r="N1357" s="28">
        <v>0</v>
      </c>
    </row>
    <row r="1358" spans="7:14">
      <c r="G1358" s="24">
        <v>1357</v>
      </c>
      <c r="H1358" s="25">
        <f>S0_</f>
        <v>100</v>
      </c>
      <c r="I1358" s="25">
        <f ca="1">S0_*EXP((mu_-sigma_^2/2)*Dt_+sigma_*SQRT(Dt_)*_xlfn.NORM.INV(RAND(),0,1))</f>
        <v>96.9043741375437</v>
      </c>
      <c r="J1358" s="25">
        <f ca="1">MAX(k_-I1358,0)*EXP(-rs_*T_)</f>
        <v>0.0928461025599072</v>
      </c>
      <c r="K1358" s="25">
        <v>-3.00563873548349</v>
      </c>
      <c r="L1358" s="25">
        <v>-3.48279263292358</v>
      </c>
      <c r="M1358" s="28">
        <v>1</v>
      </c>
      <c r="N1358" s="28">
        <v>1</v>
      </c>
    </row>
    <row r="1359" spans="7:14">
      <c r="G1359" s="24">
        <v>1358</v>
      </c>
      <c r="H1359" s="25">
        <f>S0_</f>
        <v>100</v>
      </c>
      <c r="I1359" s="25">
        <f ca="1">S0_*EXP((mu_-sigma_^2/2)*Dt_+sigma_*SQRT(Dt_)*_xlfn.NORM.INV(RAND(),0,1))</f>
        <v>111.813854334153</v>
      </c>
      <c r="J1359" s="25">
        <f ca="1">MAX(k_-I1359,0)*EXP(-rs_*T_)</f>
        <v>0</v>
      </c>
      <c r="K1359" s="25">
        <v>11.4704359569845</v>
      </c>
      <c r="L1359" s="25">
        <v>10.9004359569845</v>
      </c>
      <c r="M1359" s="28">
        <v>0</v>
      </c>
      <c r="N1359" s="28">
        <v>0</v>
      </c>
    </row>
    <row r="1360" spans="7:14">
      <c r="G1360" s="24">
        <v>1359</v>
      </c>
      <c r="H1360" s="25">
        <f>S0_</f>
        <v>100</v>
      </c>
      <c r="I1360" s="25">
        <f ca="1">S0_*EXP((mu_-sigma_^2/2)*Dt_+sigma_*SQRT(Dt_)*_xlfn.NORM.INV(RAND(),0,1))</f>
        <v>97.0935392907878</v>
      </c>
      <c r="J1360" s="25">
        <f ca="1">MAX(k_-I1360,0)*EXP(-rs_*T_)</f>
        <v>0</v>
      </c>
      <c r="K1360" s="25">
        <v>-2.82197244722501</v>
      </c>
      <c r="L1360" s="25">
        <v>-3.391972447225</v>
      </c>
      <c r="M1360" s="28">
        <v>1</v>
      </c>
      <c r="N1360" s="28">
        <v>1</v>
      </c>
    </row>
    <row r="1361" spans="7:14">
      <c r="G1361" s="24">
        <v>1360</v>
      </c>
      <c r="H1361" s="25">
        <f>S0_</f>
        <v>100</v>
      </c>
      <c r="I1361" s="25">
        <f ca="1">S0_*EXP((mu_-sigma_^2/2)*Dt_+sigma_*SQRT(Dt_)*_xlfn.NORM.INV(RAND(),0,1))</f>
        <v>106.208604955551</v>
      </c>
      <c r="J1361" s="25">
        <f ca="1">MAX(k_-I1361,0)*EXP(-rs_*T_)</f>
        <v>0</v>
      </c>
      <c r="K1361" s="25">
        <v>6.02812625842069</v>
      </c>
      <c r="L1361" s="25">
        <v>5.45812625842069</v>
      </c>
      <c r="M1361" s="28">
        <v>0</v>
      </c>
      <c r="N1361" s="28">
        <v>0</v>
      </c>
    </row>
    <row r="1362" spans="7:14">
      <c r="G1362" s="24">
        <v>1361</v>
      </c>
      <c r="H1362" s="25">
        <f>S0_</f>
        <v>100</v>
      </c>
      <c r="I1362" s="25">
        <f ca="1">S0_*EXP((mu_-sigma_^2/2)*Dt_+sigma_*SQRT(Dt_)*_xlfn.NORM.INV(RAND(),0,1))</f>
        <v>106.456981857558</v>
      </c>
      <c r="J1362" s="25">
        <f ca="1">MAX(k_-I1362,0)*EXP(-rs_*T_)</f>
        <v>0</v>
      </c>
      <c r="K1362" s="25">
        <v>6.26928306187176</v>
      </c>
      <c r="L1362" s="25">
        <v>5.69928306187176</v>
      </c>
      <c r="M1362" s="28">
        <v>0</v>
      </c>
      <c r="N1362" s="28">
        <v>0</v>
      </c>
    </row>
    <row r="1363" spans="7:14">
      <c r="G1363" s="24">
        <v>1362</v>
      </c>
      <c r="H1363" s="25">
        <f>S0_</f>
        <v>100</v>
      </c>
      <c r="I1363" s="25">
        <f ca="1">S0_*EXP((mu_-sigma_^2/2)*Dt_+sigma_*SQRT(Dt_)*_xlfn.NORM.INV(RAND(),0,1))</f>
        <v>116.424211038485</v>
      </c>
      <c r="J1363" s="25">
        <f ca="1">MAX(k_-I1363,0)*EXP(-rs_*T_)</f>
        <v>0</v>
      </c>
      <c r="K1363" s="25">
        <v>15.9467736381607</v>
      </c>
      <c r="L1363" s="25">
        <v>15.3767736381607</v>
      </c>
      <c r="M1363" s="28">
        <v>0</v>
      </c>
      <c r="N1363" s="28">
        <v>0</v>
      </c>
    </row>
    <row r="1364" spans="7:14">
      <c r="G1364" s="24">
        <v>1363</v>
      </c>
      <c r="H1364" s="25">
        <f>S0_</f>
        <v>100</v>
      </c>
      <c r="I1364" s="25">
        <f ca="1">S0_*EXP((mu_-sigma_^2/2)*Dt_+sigma_*SQRT(Dt_)*_xlfn.NORM.INV(RAND(),0,1))</f>
        <v>95.944156646612</v>
      </c>
      <c r="J1364" s="25">
        <f ca="1">MAX(k_-I1364,0)*EXP(-rs_*T_)</f>
        <v>1.02515091375659</v>
      </c>
      <c r="K1364" s="25">
        <v>-3.93794354668017</v>
      </c>
      <c r="L1364" s="25">
        <v>-3.48279263292358</v>
      </c>
      <c r="M1364" s="28">
        <v>1</v>
      </c>
      <c r="N1364" s="28">
        <v>1</v>
      </c>
    </row>
    <row r="1365" spans="7:14">
      <c r="G1365" s="24">
        <v>1364</v>
      </c>
      <c r="H1365" s="25">
        <f>S0_</f>
        <v>100</v>
      </c>
      <c r="I1365" s="25">
        <f ca="1">S0_*EXP((mu_-sigma_^2/2)*Dt_+sigma_*SQRT(Dt_)*_xlfn.NORM.INV(RAND(),0,1))</f>
        <v>106.317478672811</v>
      </c>
      <c r="J1365" s="25">
        <f ca="1">MAX(k_-I1365,0)*EXP(-rs_*T_)</f>
        <v>0</v>
      </c>
      <c r="K1365" s="25">
        <v>6.13383511227177</v>
      </c>
      <c r="L1365" s="25">
        <v>5.56383511227177</v>
      </c>
      <c r="M1365" s="28">
        <v>0</v>
      </c>
      <c r="N1365" s="28">
        <v>0</v>
      </c>
    </row>
    <row r="1366" spans="7:14">
      <c r="G1366" s="24">
        <v>1365</v>
      </c>
      <c r="H1366" s="25">
        <f>S0_</f>
        <v>100</v>
      </c>
      <c r="I1366" s="25">
        <f ca="1">S0_*EXP((mu_-sigma_^2/2)*Dt_+sigma_*SQRT(Dt_)*_xlfn.NORM.INV(RAND(),0,1))</f>
        <v>107.017780679179</v>
      </c>
      <c r="J1366" s="25">
        <f ca="1">MAX(k_-I1366,0)*EXP(-rs_*T_)</f>
        <v>0</v>
      </c>
      <c r="K1366" s="25">
        <v>6.81377995392856</v>
      </c>
      <c r="L1366" s="25">
        <v>6.24377995392856</v>
      </c>
      <c r="M1366" s="28">
        <v>0</v>
      </c>
      <c r="N1366" s="28">
        <v>0</v>
      </c>
    </row>
    <row r="1367" spans="7:14">
      <c r="G1367" s="24">
        <v>1366</v>
      </c>
      <c r="H1367" s="25">
        <f>S0_</f>
        <v>100</v>
      </c>
      <c r="I1367" s="25">
        <f ca="1">S0_*EXP((mu_-sigma_^2/2)*Dt_+sigma_*SQRT(Dt_)*_xlfn.NORM.INV(RAND(),0,1))</f>
        <v>105.616744269786</v>
      </c>
      <c r="J1367" s="25">
        <f ca="1">MAX(k_-I1367,0)*EXP(-rs_*T_)</f>
        <v>0</v>
      </c>
      <c r="K1367" s="25">
        <v>5.4534704433496</v>
      </c>
      <c r="L1367" s="25">
        <v>4.8834704433496</v>
      </c>
      <c r="M1367" s="28">
        <v>0</v>
      </c>
      <c r="N1367" s="28">
        <v>0</v>
      </c>
    </row>
    <row r="1368" spans="7:14">
      <c r="G1368" s="24">
        <v>1367</v>
      </c>
      <c r="H1368" s="25">
        <f>S0_</f>
        <v>100</v>
      </c>
      <c r="I1368" s="25">
        <f ca="1">S0_*EXP((mu_-sigma_^2/2)*Dt_+sigma_*SQRT(Dt_)*_xlfn.NORM.INV(RAND(),0,1))</f>
        <v>109.928656872455</v>
      </c>
      <c r="J1368" s="25">
        <f ca="1">MAX(k_-I1368,0)*EXP(-rs_*T_)</f>
        <v>0</v>
      </c>
      <c r="K1368" s="25">
        <v>9.6400395309711</v>
      </c>
      <c r="L1368" s="25">
        <v>9.0700395309711</v>
      </c>
      <c r="M1368" s="28">
        <v>0</v>
      </c>
      <c r="N1368" s="28">
        <v>0</v>
      </c>
    </row>
    <row r="1369" spans="7:14">
      <c r="G1369" s="24">
        <v>1368</v>
      </c>
      <c r="H1369" s="25">
        <f>S0_</f>
        <v>100</v>
      </c>
      <c r="I1369" s="25">
        <f ca="1">S0_*EXP((mu_-sigma_^2/2)*Dt_+sigma_*SQRT(Dt_)*_xlfn.NORM.INV(RAND(),0,1))</f>
        <v>96.2983396628112</v>
      </c>
      <c r="J1369" s="25">
        <f ca="1">MAX(k_-I1369,0)*EXP(-rs_*T_)</f>
        <v>0.68126368699275</v>
      </c>
      <c r="K1369" s="25">
        <v>-3.59405631991633</v>
      </c>
      <c r="L1369" s="25">
        <v>-3.48279263292358</v>
      </c>
      <c r="M1369" s="28">
        <v>1</v>
      </c>
      <c r="N1369" s="28">
        <v>1</v>
      </c>
    </row>
    <row r="1370" spans="7:14">
      <c r="G1370" s="24">
        <v>1369</v>
      </c>
      <c r="H1370" s="25">
        <f>S0_</f>
        <v>100</v>
      </c>
      <c r="I1370" s="25">
        <f ca="1">S0_*EXP((mu_-sigma_^2/2)*Dt_+sigma_*SQRT(Dt_)*_xlfn.NORM.INV(RAND(),0,1))</f>
        <v>96.8244517753652</v>
      </c>
      <c r="J1370" s="25">
        <f ca="1">MAX(k_-I1370,0)*EXP(-rs_*T_)</f>
        <v>0.170445191813029</v>
      </c>
      <c r="K1370" s="25">
        <v>-3.08323782473661</v>
      </c>
      <c r="L1370" s="25">
        <v>-3.48279263292358</v>
      </c>
      <c r="M1370" s="28">
        <v>1</v>
      </c>
      <c r="N1370" s="28">
        <v>1</v>
      </c>
    </row>
    <row r="1371" spans="7:14">
      <c r="G1371" s="24">
        <v>1370</v>
      </c>
      <c r="H1371" s="25">
        <f>S0_</f>
        <v>100</v>
      </c>
      <c r="I1371" s="25">
        <f ca="1">S0_*EXP((mu_-sigma_^2/2)*Dt_+sigma_*SQRT(Dt_)*_xlfn.NORM.INV(RAND(),0,1))</f>
        <v>103.644190155915</v>
      </c>
      <c r="J1371" s="25">
        <f ca="1">MAX(k_-I1371,0)*EXP(-rs_*T_)</f>
        <v>0</v>
      </c>
      <c r="K1371" s="25">
        <v>3.53825674637384</v>
      </c>
      <c r="L1371" s="25">
        <v>2.96825674637384</v>
      </c>
      <c r="M1371" s="28">
        <v>0</v>
      </c>
      <c r="N1371" s="28">
        <v>0</v>
      </c>
    </row>
    <row r="1372" spans="7:14">
      <c r="G1372" s="24">
        <v>1371</v>
      </c>
      <c r="H1372" s="25">
        <f>S0_</f>
        <v>100</v>
      </c>
      <c r="I1372" s="25">
        <f ca="1">S0_*EXP((mu_-sigma_^2/2)*Dt_+sigma_*SQRT(Dt_)*_xlfn.NORM.INV(RAND(),0,1))</f>
        <v>95.1302812975077</v>
      </c>
      <c r="J1372" s="25">
        <f ca="1">MAX(k_-I1372,0)*EXP(-rs_*T_)</f>
        <v>1.81536762075302</v>
      </c>
      <c r="K1372" s="25">
        <v>-4.72816025367661</v>
      </c>
      <c r="L1372" s="25">
        <v>-3.48279263292358</v>
      </c>
      <c r="M1372" s="28">
        <v>1</v>
      </c>
      <c r="N1372" s="28">
        <v>1</v>
      </c>
    </row>
    <row r="1373" spans="7:14">
      <c r="G1373" s="24">
        <v>1372</v>
      </c>
      <c r="H1373" s="25">
        <f>S0_</f>
        <v>100</v>
      </c>
      <c r="I1373" s="25">
        <f ca="1">S0_*EXP((mu_-sigma_^2/2)*Dt_+sigma_*SQRT(Dt_)*_xlfn.NORM.INV(RAND(),0,1))</f>
        <v>119.955182762735</v>
      </c>
      <c r="J1373" s="25">
        <f ca="1">MAX(k_-I1373,0)*EXP(-rs_*T_)</f>
        <v>0</v>
      </c>
      <c r="K1373" s="25">
        <v>19.3751031133128</v>
      </c>
      <c r="L1373" s="25">
        <v>18.8051031133128</v>
      </c>
      <c r="M1373" s="28">
        <v>0</v>
      </c>
      <c r="N1373" s="28">
        <v>0</v>
      </c>
    </row>
    <row r="1374" spans="7:14">
      <c r="G1374" s="24">
        <v>1373</v>
      </c>
      <c r="H1374" s="25">
        <f>S0_</f>
        <v>100</v>
      </c>
      <c r="I1374" s="25">
        <f ca="1">S0_*EXP((mu_-sigma_^2/2)*Dt_+sigma_*SQRT(Dt_)*_xlfn.NORM.INV(RAND(),0,1))</f>
        <v>114.563908533847</v>
      </c>
      <c r="J1374" s="25">
        <f ca="1">MAX(k_-I1374,0)*EXP(-rs_*T_)</f>
        <v>0</v>
      </c>
      <c r="K1374" s="25">
        <v>14.1405484946537</v>
      </c>
      <c r="L1374" s="25">
        <v>13.5705484946537</v>
      </c>
      <c r="M1374" s="28">
        <v>0</v>
      </c>
      <c r="N1374" s="28">
        <v>0</v>
      </c>
    </row>
    <row r="1375" spans="7:14">
      <c r="G1375" s="24">
        <v>1374</v>
      </c>
      <c r="H1375" s="25">
        <f>S0_</f>
        <v>100</v>
      </c>
      <c r="I1375" s="25">
        <f ca="1">S0_*EXP((mu_-sigma_^2/2)*Dt_+sigma_*SQRT(Dt_)*_xlfn.NORM.INV(RAND(),0,1))</f>
        <v>104.240767970107</v>
      </c>
      <c r="J1375" s="25">
        <f ca="1">MAX(k_-I1375,0)*EXP(-rs_*T_)</f>
        <v>0</v>
      </c>
      <c r="K1375" s="25">
        <v>4.11749256708824</v>
      </c>
      <c r="L1375" s="25">
        <v>3.54749256708824</v>
      </c>
      <c r="M1375" s="28">
        <v>0</v>
      </c>
      <c r="N1375" s="28">
        <v>0</v>
      </c>
    </row>
    <row r="1376" spans="7:14">
      <c r="G1376" s="24">
        <v>1375</v>
      </c>
      <c r="H1376" s="25">
        <f>S0_</f>
        <v>100</v>
      </c>
      <c r="I1376" s="25">
        <f ca="1">S0_*EXP((mu_-sigma_^2/2)*Dt_+sigma_*SQRT(Dt_)*_xlfn.NORM.INV(RAND(),0,1))</f>
        <v>85.4062544740123</v>
      </c>
      <c r="J1376" s="25">
        <f ca="1">MAX(k_-I1376,0)*EXP(-rs_*T_)</f>
        <v>11.2567255186959</v>
      </c>
      <c r="K1376" s="25">
        <v>-14.1695181516195</v>
      </c>
      <c r="L1376" s="25">
        <v>-3.48279263292358</v>
      </c>
      <c r="M1376" s="28">
        <v>1</v>
      </c>
      <c r="N1376" s="28">
        <v>1</v>
      </c>
    </row>
    <row r="1377" spans="7:14">
      <c r="G1377" s="24">
        <v>1376</v>
      </c>
      <c r="H1377" s="25">
        <f>S0_</f>
        <v>100</v>
      </c>
      <c r="I1377" s="25">
        <f ca="1">S0_*EXP((mu_-sigma_^2/2)*Dt_+sigma_*SQRT(Dt_)*_xlfn.NORM.INV(RAND(),0,1))</f>
        <v>91.9195391049895</v>
      </c>
      <c r="J1377" s="25">
        <f ca="1">MAX(k_-I1377,0)*EXP(-rs_*T_)</f>
        <v>4.93277635561432</v>
      </c>
      <c r="K1377" s="25">
        <v>-7.8455689885379</v>
      </c>
      <c r="L1377" s="25">
        <v>-3.48279263292358</v>
      </c>
      <c r="M1377" s="28">
        <v>1</v>
      </c>
      <c r="N1377" s="28">
        <v>1</v>
      </c>
    </row>
    <row r="1378" spans="7:14">
      <c r="G1378" s="24">
        <v>1377</v>
      </c>
      <c r="H1378" s="25">
        <f>S0_</f>
        <v>100</v>
      </c>
      <c r="I1378" s="25">
        <f ca="1">S0_*EXP((mu_-sigma_^2/2)*Dt_+sigma_*SQRT(Dt_)*_xlfn.NORM.INV(RAND(),0,1))</f>
        <v>107.226560650495</v>
      </c>
      <c r="J1378" s="25">
        <f ca="1">MAX(k_-I1378,0)*EXP(-rs_*T_)</f>
        <v>0</v>
      </c>
      <c r="K1378" s="25">
        <v>7.01649087471213</v>
      </c>
      <c r="L1378" s="25">
        <v>6.44649087471213</v>
      </c>
      <c r="M1378" s="28">
        <v>0</v>
      </c>
      <c r="N1378" s="28">
        <v>0</v>
      </c>
    </row>
    <row r="1379" spans="7:14">
      <c r="G1379" s="24">
        <v>1378</v>
      </c>
      <c r="H1379" s="25">
        <f>S0_</f>
        <v>100</v>
      </c>
      <c r="I1379" s="25">
        <f ca="1">S0_*EXP((mu_-sigma_^2/2)*Dt_+sigma_*SQRT(Dt_)*_xlfn.NORM.INV(RAND(),0,1))</f>
        <v>136.162525790042</v>
      </c>
      <c r="J1379" s="25">
        <f ca="1">MAX(k_-I1379,0)*EXP(-rs_*T_)</f>
        <v>0</v>
      </c>
      <c r="K1379" s="25">
        <v>35.111312903048</v>
      </c>
      <c r="L1379" s="25">
        <v>34.541312903048</v>
      </c>
      <c r="M1379" s="28">
        <v>0</v>
      </c>
      <c r="N1379" s="28">
        <v>0</v>
      </c>
    </row>
    <row r="1380" spans="7:14">
      <c r="G1380" s="24">
        <v>1379</v>
      </c>
      <c r="H1380" s="25">
        <f>S0_</f>
        <v>100</v>
      </c>
      <c r="I1380" s="25">
        <f ca="1">S0_*EXP((mu_-sigma_^2/2)*Dt_+sigma_*SQRT(Dt_)*_xlfn.NORM.INV(RAND(),0,1))</f>
        <v>90.774901710475</v>
      </c>
      <c r="J1380" s="25">
        <f ca="1">MAX(k_-I1380,0)*EXP(-rs_*T_)</f>
        <v>6.04414014565124</v>
      </c>
      <c r="K1380" s="25">
        <v>-8.95693277857482</v>
      </c>
      <c r="L1380" s="25">
        <v>-3.48279263292358</v>
      </c>
      <c r="M1380" s="28">
        <v>1</v>
      </c>
      <c r="N1380" s="28">
        <v>1</v>
      </c>
    </row>
    <row r="1381" spans="7:14">
      <c r="G1381" s="24">
        <v>1380</v>
      </c>
      <c r="H1381" s="25">
        <f>S0_</f>
        <v>100</v>
      </c>
      <c r="I1381" s="25">
        <f ca="1">S0_*EXP((mu_-sigma_^2/2)*Dt_+sigma_*SQRT(Dt_)*_xlfn.NORM.INV(RAND(),0,1))</f>
        <v>112.38677834433</v>
      </c>
      <c r="J1381" s="25">
        <f ca="1">MAX(k_-I1381,0)*EXP(-rs_*T_)</f>
        <v>0</v>
      </c>
      <c r="K1381" s="25">
        <v>12.0267055690074</v>
      </c>
      <c r="L1381" s="25">
        <v>11.4567055690074</v>
      </c>
      <c r="M1381" s="28">
        <v>0</v>
      </c>
      <c r="N1381" s="28">
        <v>0</v>
      </c>
    </row>
    <row r="1382" spans="7:14">
      <c r="G1382" s="24">
        <v>1381</v>
      </c>
      <c r="H1382" s="25">
        <f>S0_</f>
        <v>100</v>
      </c>
      <c r="I1382" s="25">
        <f ca="1">S0_*EXP((mu_-sigma_^2/2)*Dt_+sigma_*SQRT(Dt_)*_xlfn.NORM.INV(RAND(),0,1))</f>
        <v>114.771524488799</v>
      </c>
      <c r="J1382" s="25">
        <f ca="1">MAX(k_-I1382,0)*EXP(-rs_*T_)</f>
        <v>0</v>
      </c>
      <c r="K1382" s="25">
        <v>14.3421292360079</v>
      </c>
      <c r="L1382" s="25">
        <v>13.7721292360079</v>
      </c>
      <c r="M1382" s="28">
        <v>0</v>
      </c>
      <c r="N1382" s="28">
        <v>0</v>
      </c>
    </row>
    <row r="1383" spans="7:14">
      <c r="G1383" s="24">
        <v>1382</v>
      </c>
      <c r="H1383" s="25">
        <f>S0_</f>
        <v>100</v>
      </c>
      <c r="I1383" s="25">
        <f ca="1">S0_*EXP((mu_-sigma_^2/2)*Dt_+sigma_*SQRT(Dt_)*_xlfn.NORM.INV(RAND(),0,1))</f>
        <v>94.2784524721993</v>
      </c>
      <c r="J1383" s="25">
        <f ca="1">MAX(k_-I1383,0)*EXP(-rs_*T_)</f>
        <v>2.64243452970975</v>
      </c>
      <c r="K1383" s="25">
        <v>-5.55522716263333</v>
      </c>
      <c r="L1383" s="25">
        <v>-3.48279263292358</v>
      </c>
      <c r="M1383" s="28">
        <v>1</v>
      </c>
      <c r="N1383" s="28">
        <v>1</v>
      </c>
    </row>
    <row r="1384" spans="7:14">
      <c r="G1384" s="24">
        <v>1383</v>
      </c>
      <c r="H1384" s="25">
        <f>S0_</f>
        <v>100</v>
      </c>
      <c r="I1384" s="25">
        <f ca="1">S0_*EXP((mu_-sigma_^2/2)*Dt_+sigma_*SQRT(Dt_)*_xlfn.NORM.INV(RAND(),0,1))</f>
        <v>95.0741121266056</v>
      </c>
      <c r="J1384" s="25">
        <f ca="1">MAX(k_-I1384,0)*EXP(-rs_*T_)</f>
        <v>1.86990400315332</v>
      </c>
      <c r="K1384" s="25">
        <v>-4.7826966360769</v>
      </c>
      <c r="L1384" s="25">
        <v>-3.48279263292358</v>
      </c>
      <c r="M1384" s="28">
        <v>1</v>
      </c>
      <c r="N1384" s="28">
        <v>1</v>
      </c>
    </row>
    <row r="1385" spans="7:14">
      <c r="G1385" s="24">
        <v>1384</v>
      </c>
      <c r="H1385" s="25">
        <f>S0_</f>
        <v>100</v>
      </c>
      <c r="I1385" s="25">
        <f ca="1">S0_*EXP((mu_-sigma_^2/2)*Dt_+sigma_*SQRT(Dt_)*_xlfn.NORM.INV(RAND(),0,1))</f>
        <v>101.73061505146</v>
      </c>
      <c r="J1385" s="25">
        <f ca="1">MAX(k_-I1385,0)*EXP(-rs_*T_)</f>
        <v>0</v>
      </c>
      <c r="K1385" s="25">
        <v>1.68030759077268</v>
      </c>
      <c r="L1385" s="25">
        <v>1.11030759077268</v>
      </c>
      <c r="M1385" s="28">
        <v>0</v>
      </c>
      <c r="N1385" s="28">
        <v>0</v>
      </c>
    </row>
    <row r="1386" spans="7:14">
      <c r="G1386" s="24">
        <v>1385</v>
      </c>
      <c r="H1386" s="25">
        <f>S0_</f>
        <v>100</v>
      </c>
      <c r="I1386" s="25">
        <f ca="1">S0_*EXP((mu_-sigma_^2/2)*Dt_+sigma_*SQRT(Dt_)*_xlfn.NORM.INV(RAND(),0,1))</f>
        <v>84.5672696380669</v>
      </c>
      <c r="J1386" s="25">
        <f ca="1">MAX(k_-I1386,0)*EXP(-rs_*T_)</f>
        <v>12.0713218017881</v>
      </c>
      <c r="K1386" s="25">
        <v>-14.9841144347116</v>
      </c>
      <c r="L1386" s="25">
        <v>-3.48279263292358</v>
      </c>
      <c r="M1386" s="28">
        <v>1</v>
      </c>
      <c r="N1386" s="28">
        <v>1</v>
      </c>
    </row>
    <row r="1387" spans="7:14">
      <c r="G1387" s="24">
        <v>1386</v>
      </c>
      <c r="H1387" s="25">
        <f>S0_</f>
        <v>100</v>
      </c>
      <c r="I1387" s="25">
        <f ca="1">S0_*EXP((mu_-sigma_^2/2)*Dt_+sigma_*SQRT(Dt_)*_xlfn.NORM.INV(RAND(),0,1))</f>
        <v>106.465512745126</v>
      </c>
      <c r="J1387" s="25">
        <f ca="1">MAX(k_-I1387,0)*EXP(-rs_*T_)</f>
        <v>0</v>
      </c>
      <c r="K1387" s="25">
        <v>6.27756596402533</v>
      </c>
      <c r="L1387" s="25">
        <v>5.70756596402533</v>
      </c>
      <c r="M1387" s="28">
        <v>0</v>
      </c>
      <c r="N1387" s="28">
        <v>0</v>
      </c>
    </row>
    <row r="1388" spans="7:14">
      <c r="G1388" s="24">
        <v>1387</v>
      </c>
      <c r="H1388" s="25">
        <f>S0_</f>
        <v>100</v>
      </c>
      <c r="I1388" s="25">
        <f ca="1">S0_*EXP((mu_-sigma_^2/2)*Dt_+sigma_*SQRT(Dt_)*_xlfn.NORM.INV(RAND(),0,1))</f>
        <v>100.911726837576</v>
      </c>
      <c r="J1388" s="25">
        <f ca="1">MAX(k_-I1388,0)*EXP(-rs_*T_)</f>
        <v>0</v>
      </c>
      <c r="K1388" s="25">
        <v>0.885223738576777</v>
      </c>
      <c r="L1388" s="25">
        <v>0.315223738576777</v>
      </c>
      <c r="M1388" s="28">
        <v>0</v>
      </c>
      <c r="N1388" s="28">
        <v>0</v>
      </c>
    </row>
    <row r="1389" spans="7:14">
      <c r="G1389" s="24">
        <v>1388</v>
      </c>
      <c r="H1389" s="25">
        <f>S0_</f>
        <v>100</v>
      </c>
      <c r="I1389" s="25">
        <f ca="1">S0_*EXP((mu_-sigma_^2/2)*Dt_+sigma_*SQRT(Dt_)*_xlfn.NORM.INV(RAND(),0,1))</f>
        <v>92.509130253512</v>
      </c>
      <c r="J1389" s="25">
        <f ca="1">MAX(k_-I1389,0)*EXP(-rs_*T_)</f>
        <v>4.36032410432986</v>
      </c>
      <c r="K1389" s="25">
        <v>-7.27311673725344</v>
      </c>
      <c r="L1389" s="25">
        <v>-3.48279263292358</v>
      </c>
      <c r="M1389" s="28">
        <v>1</v>
      </c>
      <c r="N1389" s="28">
        <v>1</v>
      </c>
    </row>
    <row r="1390" spans="7:14">
      <c r="G1390" s="24">
        <v>1389</v>
      </c>
      <c r="H1390" s="25">
        <f>S0_</f>
        <v>100</v>
      </c>
      <c r="I1390" s="25">
        <f ca="1">S0_*EXP((mu_-sigma_^2/2)*Dt_+sigma_*SQRT(Dt_)*_xlfn.NORM.INV(RAND(),0,1))</f>
        <v>93.0593170153199</v>
      </c>
      <c r="J1390" s="25">
        <f ca="1">MAX(k_-I1390,0)*EXP(-rs_*T_)</f>
        <v>3.82613078882118</v>
      </c>
      <c r="K1390" s="25">
        <v>-6.73892342174476</v>
      </c>
      <c r="L1390" s="25">
        <v>-3.48279263292358</v>
      </c>
      <c r="M1390" s="28">
        <v>1</v>
      </c>
      <c r="N1390" s="28">
        <v>1</v>
      </c>
    </row>
    <row r="1391" spans="7:14">
      <c r="G1391" s="24">
        <v>1390</v>
      </c>
      <c r="H1391" s="25">
        <f>S0_</f>
        <v>100</v>
      </c>
      <c r="I1391" s="25">
        <f ca="1">S0_*EXP((mu_-sigma_^2/2)*Dt_+sigma_*SQRT(Dt_)*_xlfn.NORM.INV(RAND(),0,1))</f>
        <v>100.894298592358</v>
      </c>
      <c r="J1391" s="25">
        <f ca="1">MAX(k_-I1391,0)*EXP(-rs_*T_)</f>
        <v>0</v>
      </c>
      <c r="K1391" s="25">
        <v>0.868302117151532</v>
      </c>
      <c r="L1391" s="25">
        <v>0.298302117151532</v>
      </c>
      <c r="M1391" s="28">
        <v>0</v>
      </c>
      <c r="N1391" s="28">
        <v>0</v>
      </c>
    </row>
    <row r="1392" spans="7:14">
      <c r="G1392" s="24">
        <v>1391</v>
      </c>
      <c r="H1392" s="25">
        <f>S0_</f>
        <v>100</v>
      </c>
      <c r="I1392" s="25">
        <f ca="1">S0_*EXP((mu_-sigma_^2/2)*Dt_+sigma_*SQRT(Dt_)*_xlfn.NORM.INV(RAND(),0,1))</f>
        <v>120.441394698606</v>
      </c>
      <c r="J1392" s="25">
        <f ca="1">MAX(k_-I1392,0)*EXP(-rs_*T_)</f>
        <v>0</v>
      </c>
      <c r="K1392" s="25">
        <v>19.847181294928</v>
      </c>
      <c r="L1392" s="25">
        <v>19.277181294928</v>
      </c>
      <c r="M1392" s="28">
        <v>0</v>
      </c>
      <c r="N1392" s="28">
        <v>0</v>
      </c>
    </row>
    <row r="1393" spans="7:14">
      <c r="G1393" s="24">
        <v>1392</v>
      </c>
      <c r="H1393" s="25">
        <f>S0_</f>
        <v>100</v>
      </c>
      <c r="I1393" s="25">
        <f ca="1">S0_*EXP((mu_-sigma_^2/2)*Dt_+sigma_*SQRT(Dt_)*_xlfn.NORM.INV(RAND(),0,1))</f>
        <v>99.9438073150208</v>
      </c>
      <c r="J1393" s="25">
        <f ca="1">MAX(k_-I1393,0)*EXP(-rs_*T_)</f>
        <v>0</v>
      </c>
      <c r="K1393" s="25">
        <v>-0.0545592129438645</v>
      </c>
      <c r="L1393" s="25">
        <v>-0.624559212943864</v>
      </c>
      <c r="M1393" s="28">
        <v>1</v>
      </c>
      <c r="N1393" s="28">
        <v>1</v>
      </c>
    </row>
    <row r="1394" spans="7:14">
      <c r="G1394" s="24">
        <v>1393</v>
      </c>
      <c r="H1394" s="25">
        <f>S0_</f>
        <v>100</v>
      </c>
      <c r="I1394" s="25">
        <f ca="1">S0_*EXP((mu_-sigma_^2/2)*Dt_+sigma_*SQRT(Dt_)*_xlfn.NORM.INV(RAND(),0,1))</f>
        <v>104.995385742919</v>
      </c>
      <c r="J1394" s="25">
        <f ca="1">MAX(k_-I1394,0)*EXP(-rs_*T_)</f>
        <v>0</v>
      </c>
      <c r="K1394" s="25">
        <v>4.85017426352818</v>
      </c>
      <c r="L1394" s="25">
        <v>4.28017426352818</v>
      </c>
      <c r="M1394" s="28">
        <v>0</v>
      </c>
      <c r="N1394" s="28">
        <v>0</v>
      </c>
    </row>
    <row r="1395" spans="7:14">
      <c r="G1395" s="24">
        <v>1394</v>
      </c>
      <c r="H1395" s="25">
        <f>S0_</f>
        <v>100</v>
      </c>
      <c r="I1395" s="25">
        <f ca="1">S0_*EXP((mu_-sigma_^2/2)*Dt_+sigma_*SQRT(Dt_)*_xlfn.NORM.INV(RAND(),0,1))</f>
        <v>92.5267301433475</v>
      </c>
      <c r="J1395" s="25">
        <f ca="1">MAX(k_-I1395,0)*EXP(-rs_*T_)</f>
        <v>4.34323582784555</v>
      </c>
      <c r="K1395" s="25">
        <v>-7.25602846076913</v>
      </c>
      <c r="L1395" s="25">
        <v>-3.48279263292358</v>
      </c>
      <c r="M1395" s="28">
        <v>1</v>
      </c>
      <c r="N1395" s="28">
        <v>1</v>
      </c>
    </row>
    <row r="1396" spans="7:14">
      <c r="G1396" s="24">
        <v>1395</v>
      </c>
      <c r="H1396" s="25">
        <f>S0_</f>
        <v>100</v>
      </c>
      <c r="I1396" s="25">
        <f ca="1">S0_*EXP((mu_-sigma_^2/2)*Dt_+sigma_*SQRT(Dt_)*_xlfn.NORM.INV(RAND(),0,1))</f>
        <v>103.880559731349</v>
      </c>
      <c r="J1396" s="25">
        <f ca="1">MAX(k_-I1396,0)*EXP(-rs_*T_)</f>
        <v>0</v>
      </c>
      <c r="K1396" s="25">
        <v>3.7677552656974</v>
      </c>
      <c r="L1396" s="25">
        <v>3.1977552656974</v>
      </c>
      <c r="M1396" s="28">
        <v>0</v>
      </c>
      <c r="N1396" s="28">
        <v>0</v>
      </c>
    </row>
    <row r="1397" spans="7:14">
      <c r="G1397" s="24">
        <v>1396</v>
      </c>
      <c r="H1397" s="25">
        <f>S0_</f>
        <v>100</v>
      </c>
      <c r="I1397" s="25">
        <f ca="1">S0_*EXP((mu_-sigma_^2/2)*Dt_+sigma_*SQRT(Dt_)*_xlfn.NORM.INV(RAND(),0,1))</f>
        <v>116.391450196095</v>
      </c>
      <c r="J1397" s="25">
        <f ca="1">MAX(k_-I1397,0)*EXP(-rs_*T_)</f>
        <v>0</v>
      </c>
      <c r="K1397" s="25">
        <v>15.9149651247062</v>
      </c>
      <c r="L1397" s="25">
        <v>15.3449651247062</v>
      </c>
      <c r="M1397" s="28">
        <v>0</v>
      </c>
      <c r="N1397" s="28">
        <v>0</v>
      </c>
    </row>
    <row r="1398" spans="7:14">
      <c r="G1398" s="24">
        <v>1397</v>
      </c>
      <c r="H1398" s="25">
        <f>S0_</f>
        <v>100</v>
      </c>
      <c r="I1398" s="25">
        <f ca="1">S0_*EXP((mu_-sigma_^2/2)*Dt_+sigma_*SQRT(Dt_)*_xlfn.NORM.INV(RAND(),0,1))</f>
        <v>86.7034141905569</v>
      </c>
      <c r="J1398" s="25">
        <f ca="1">MAX(k_-I1398,0)*EXP(-rs_*T_)</f>
        <v>9.99727309667046</v>
      </c>
      <c r="K1398" s="25">
        <v>-12.910065729594</v>
      </c>
      <c r="L1398" s="25">
        <v>-3.48279263292358</v>
      </c>
      <c r="M1398" s="28">
        <v>1</v>
      </c>
      <c r="N1398" s="28">
        <v>1</v>
      </c>
    </row>
    <row r="1399" spans="7:14">
      <c r="G1399" s="24">
        <v>1398</v>
      </c>
      <c r="H1399" s="25">
        <f>S0_</f>
        <v>100</v>
      </c>
      <c r="I1399" s="25">
        <f ca="1">S0_*EXP((mu_-sigma_^2/2)*Dt_+sigma_*SQRT(Dt_)*_xlfn.NORM.INV(RAND(),0,1))</f>
        <v>96.7472043353476</v>
      </c>
      <c r="J1399" s="25">
        <f ca="1">MAX(k_-I1399,0)*EXP(-rs_*T_)</f>
        <v>0.24544711654484</v>
      </c>
      <c r="K1399" s="25">
        <v>-3.15823974946842</v>
      </c>
      <c r="L1399" s="25">
        <v>-3.48279263292358</v>
      </c>
      <c r="M1399" s="28">
        <v>1</v>
      </c>
      <c r="N1399" s="28">
        <v>1</v>
      </c>
    </row>
    <row r="1400" spans="7:14">
      <c r="G1400" s="24">
        <v>1399</v>
      </c>
      <c r="H1400" s="25">
        <f>S0_</f>
        <v>100</v>
      </c>
      <c r="I1400" s="25">
        <f ca="1">S0_*EXP((mu_-sigma_^2/2)*Dt_+sigma_*SQRT(Dt_)*_xlfn.NORM.INV(RAND(),0,1))</f>
        <v>86.416512923492</v>
      </c>
      <c r="J1400" s="25">
        <f ca="1">MAX(k_-I1400,0)*EXP(-rs_*T_)</f>
        <v>10.2758343956982</v>
      </c>
      <c r="K1400" s="25">
        <v>-13.1886270286218</v>
      </c>
      <c r="L1400" s="25">
        <v>-3.48279263292358</v>
      </c>
      <c r="M1400" s="28">
        <v>1</v>
      </c>
      <c r="N1400" s="28">
        <v>1</v>
      </c>
    </row>
    <row r="1401" spans="7:14">
      <c r="G1401" s="24">
        <v>1400</v>
      </c>
      <c r="H1401" s="25">
        <f>S0_</f>
        <v>100</v>
      </c>
      <c r="I1401" s="25">
        <f ca="1">S0_*EXP((mu_-sigma_^2/2)*Dt_+sigma_*SQRT(Dt_)*_xlfn.NORM.INV(RAND(),0,1))</f>
        <v>100.627390819331</v>
      </c>
      <c r="J1401" s="25">
        <f ca="1">MAX(k_-I1401,0)*EXP(-rs_*T_)</f>
        <v>0</v>
      </c>
      <c r="K1401" s="25">
        <v>0.60915311883717</v>
      </c>
      <c r="L1401" s="25">
        <v>0.0391531188371703</v>
      </c>
      <c r="M1401" s="28">
        <v>0</v>
      </c>
      <c r="N1401" s="28">
        <v>0</v>
      </c>
    </row>
    <row r="1402" spans="7:14">
      <c r="G1402" s="24">
        <v>1401</v>
      </c>
      <c r="H1402" s="25">
        <f>S0_</f>
        <v>100</v>
      </c>
      <c r="I1402" s="25">
        <f ca="1">S0_*EXP((mu_-sigma_^2/2)*Dt_+sigma_*SQRT(Dt_)*_xlfn.NORM.INV(RAND(),0,1))</f>
        <v>111.883698598115</v>
      </c>
      <c r="J1402" s="25">
        <f ca="1">MAX(k_-I1402,0)*EXP(-rs_*T_)</f>
        <v>0</v>
      </c>
      <c r="K1402" s="25">
        <v>11.538249909491</v>
      </c>
      <c r="L1402" s="25">
        <v>10.968249909491</v>
      </c>
      <c r="M1402" s="28">
        <v>0</v>
      </c>
      <c r="N1402" s="28">
        <v>0</v>
      </c>
    </row>
    <row r="1403" spans="7:14">
      <c r="G1403" s="24">
        <v>1402</v>
      </c>
      <c r="H1403" s="25">
        <f>S0_</f>
        <v>100</v>
      </c>
      <c r="I1403" s="25">
        <f ca="1">S0_*EXP((mu_-sigma_^2/2)*Dt_+sigma_*SQRT(Dt_)*_xlfn.NORM.INV(RAND(),0,1))</f>
        <v>113.96421563608</v>
      </c>
      <c r="J1403" s="25">
        <f ca="1">MAX(k_-I1403,0)*EXP(-rs_*T_)</f>
        <v>0</v>
      </c>
      <c r="K1403" s="25">
        <v>13.5582881431098</v>
      </c>
      <c r="L1403" s="25">
        <v>12.9882881431098</v>
      </c>
      <c r="M1403" s="28">
        <v>0</v>
      </c>
      <c r="N1403" s="28">
        <v>0</v>
      </c>
    </row>
    <row r="1404" spans="7:14">
      <c r="G1404" s="24">
        <v>1403</v>
      </c>
      <c r="H1404" s="25">
        <f>S0_</f>
        <v>100</v>
      </c>
      <c r="I1404" s="25">
        <f ca="1">S0_*EXP((mu_-sigma_^2/2)*Dt_+sigma_*SQRT(Dt_)*_xlfn.NORM.INV(RAND(),0,1))</f>
        <v>107.383394323488</v>
      </c>
      <c r="J1404" s="25">
        <f ca="1">MAX(k_-I1404,0)*EXP(-rs_*T_)</f>
        <v>0</v>
      </c>
      <c r="K1404" s="25">
        <v>7.16876553047496</v>
      </c>
      <c r="L1404" s="25">
        <v>6.59876553047496</v>
      </c>
      <c r="M1404" s="28">
        <v>0</v>
      </c>
      <c r="N1404" s="28">
        <v>0</v>
      </c>
    </row>
    <row r="1405" spans="7:14">
      <c r="G1405" s="24">
        <v>1404</v>
      </c>
      <c r="H1405" s="25">
        <f>S0_</f>
        <v>100</v>
      </c>
      <c r="I1405" s="25">
        <f ca="1">S0_*EXP((mu_-sigma_^2/2)*Dt_+sigma_*SQRT(Dt_)*_xlfn.NORM.INV(RAND(),0,1))</f>
        <v>114.72799299813</v>
      </c>
      <c r="J1405" s="25">
        <f ca="1">MAX(k_-I1405,0)*EXP(-rs_*T_)</f>
        <v>0</v>
      </c>
      <c r="K1405" s="25">
        <v>14.2998631675674</v>
      </c>
      <c r="L1405" s="25">
        <v>13.7298631675674</v>
      </c>
      <c r="M1405" s="28">
        <v>0</v>
      </c>
      <c r="N1405" s="28">
        <v>0</v>
      </c>
    </row>
    <row r="1406" spans="7:14">
      <c r="G1406" s="24">
        <v>1405</v>
      </c>
      <c r="H1406" s="25">
        <f>S0_</f>
        <v>100</v>
      </c>
      <c r="I1406" s="25">
        <f ca="1">S0_*EXP((mu_-sigma_^2/2)*Dt_+sigma_*SQRT(Dt_)*_xlfn.NORM.INV(RAND(),0,1))</f>
        <v>107.540575598752</v>
      </c>
      <c r="J1406" s="25">
        <f ca="1">MAX(k_-I1406,0)*EXP(-rs_*T_)</f>
        <v>0</v>
      </c>
      <c r="K1406" s="25">
        <v>7.32137768401623</v>
      </c>
      <c r="L1406" s="25">
        <v>6.75137768401623</v>
      </c>
      <c r="M1406" s="28">
        <v>0</v>
      </c>
      <c r="N1406" s="28">
        <v>0</v>
      </c>
    </row>
    <row r="1407" spans="7:14">
      <c r="G1407" s="24">
        <v>1406</v>
      </c>
      <c r="H1407" s="25">
        <f>S0_</f>
        <v>100</v>
      </c>
      <c r="I1407" s="25">
        <f ca="1">S0_*EXP((mu_-sigma_^2/2)*Dt_+sigma_*SQRT(Dt_)*_xlfn.NORM.INV(RAND(),0,1))</f>
        <v>105.08122106572</v>
      </c>
      <c r="J1407" s="25">
        <f ca="1">MAX(k_-I1407,0)*EXP(-rs_*T_)</f>
        <v>0</v>
      </c>
      <c r="K1407" s="25">
        <v>4.93351442882806</v>
      </c>
      <c r="L1407" s="25">
        <v>4.36351442882806</v>
      </c>
      <c r="M1407" s="28">
        <v>0</v>
      </c>
      <c r="N1407" s="28">
        <v>0</v>
      </c>
    </row>
    <row r="1408" spans="7:14">
      <c r="G1408" s="24">
        <v>1407</v>
      </c>
      <c r="H1408" s="25">
        <f>S0_</f>
        <v>100</v>
      </c>
      <c r="I1408" s="25">
        <f ca="1">S0_*EXP((mu_-sigma_^2/2)*Dt_+sigma_*SQRT(Dt_)*_xlfn.NORM.INV(RAND(),0,1))</f>
        <v>107.295120761564</v>
      </c>
      <c r="J1408" s="25">
        <f ca="1">MAX(k_-I1408,0)*EXP(-rs_*T_)</f>
        <v>0</v>
      </c>
      <c r="K1408" s="25">
        <v>7.08305800352351</v>
      </c>
      <c r="L1408" s="25">
        <v>6.51305800352351</v>
      </c>
      <c r="M1408" s="28">
        <v>0</v>
      </c>
      <c r="N1408" s="28">
        <v>0</v>
      </c>
    </row>
    <row r="1409" spans="7:14">
      <c r="G1409" s="24">
        <v>1408</v>
      </c>
      <c r="H1409" s="25">
        <f>S0_</f>
        <v>100</v>
      </c>
      <c r="I1409" s="25">
        <f ca="1">S0_*EXP((mu_-sigma_^2/2)*Dt_+sigma_*SQRT(Dt_)*_xlfn.NORM.INV(RAND(),0,1))</f>
        <v>121.031846949508</v>
      </c>
      <c r="J1409" s="25">
        <f ca="1">MAX(k_-I1409,0)*EXP(-rs_*T_)</f>
        <v>0</v>
      </c>
      <c r="K1409" s="25">
        <v>20.4204696171008</v>
      </c>
      <c r="L1409" s="25">
        <v>19.8504696171008</v>
      </c>
      <c r="M1409" s="28">
        <v>0</v>
      </c>
      <c r="N1409" s="28">
        <v>0</v>
      </c>
    </row>
    <row r="1410" spans="7:14">
      <c r="G1410" s="24">
        <v>1409</v>
      </c>
      <c r="H1410" s="25">
        <f>S0_</f>
        <v>100</v>
      </c>
      <c r="I1410" s="25">
        <f ca="1">S0_*EXP((mu_-sigma_^2/2)*Dt_+sigma_*SQRT(Dt_)*_xlfn.NORM.INV(RAND(),0,1))</f>
        <v>97.8938030958873</v>
      </c>
      <c r="J1410" s="25">
        <f ca="1">MAX(k_-I1410,0)*EXP(-rs_*T_)</f>
        <v>0</v>
      </c>
      <c r="K1410" s="25">
        <v>-2.04497160859526</v>
      </c>
      <c r="L1410" s="25">
        <v>-2.61497160859526</v>
      </c>
      <c r="M1410" s="28">
        <v>1</v>
      </c>
      <c r="N1410" s="28">
        <v>1</v>
      </c>
    </row>
    <row r="1411" spans="7:14">
      <c r="G1411" s="24">
        <v>1410</v>
      </c>
      <c r="H1411" s="25">
        <f>S0_</f>
        <v>100</v>
      </c>
      <c r="I1411" s="25">
        <f ca="1">S0_*EXP((mu_-sigma_^2/2)*Dt_+sigma_*SQRT(Dt_)*_xlfn.NORM.INV(RAND(),0,1))</f>
        <v>96.1168494939351</v>
      </c>
      <c r="J1411" s="25">
        <f ca="1">MAX(k_-I1411,0)*EXP(-rs_*T_)</f>
        <v>0.857478095942838</v>
      </c>
      <c r="K1411" s="25">
        <v>-3.77027072886642</v>
      </c>
      <c r="L1411" s="25">
        <v>-3.48279263292358</v>
      </c>
      <c r="M1411" s="28">
        <v>1</v>
      </c>
      <c r="N1411" s="28">
        <v>1</v>
      </c>
    </row>
    <row r="1412" spans="7:14">
      <c r="G1412" s="24">
        <v>1411</v>
      </c>
      <c r="H1412" s="25">
        <f>S0_</f>
        <v>100</v>
      </c>
      <c r="I1412" s="25">
        <f ca="1">S0_*EXP((mu_-sigma_^2/2)*Dt_+sigma_*SQRT(Dt_)*_xlfn.NORM.INV(RAND(),0,1))</f>
        <v>100.305342081522</v>
      </c>
      <c r="J1412" s="25">
        <f ca="1">MAX(k_-I1412,0)*EXP(-rs_*T_)</f>
        <v>0</v>
      </c>
      <c r="K1412" s="25">
        <v>0.296466055192489</v>
      </c>
      <c r="L1412" s="25">
        <v>-0.273533944807511</v>
      </c>
      <c r="M1412" s="28">
        <v>0</v>
      </c>
      <c r="N1412" s="28">
        <v>1</v>
      </c>
    </row>
    <row r="1413" spans="7:14">
      <c r="G1413" s="24">
        <v>1412</v>
      </c>
      <c r="H1413" s="25">
        <f>S0_</f>
        <v>100</v>
      </c>
      <c r="I1413" s="25">
        <f ca="1">S0_*EXP((mu_-sigma_^2/2)*Dt_+sigma_*SQRT(Dt_)*_xlfn.NORM.INV(RAND(),0,1))</f>
        <v>117.027080813855</v>
      </c>
      <c r="J1413" s="25">
        <f ca="1">MAX(k_-I1413,0)*EXP(-rs_*T_)</f>
        <v>0</v>
      </c>
      <c r="K1413" s="25">
        <v>16.5321185182641</v>
      </c>
      <c r="L1413" s="25">
        <v>15.9621185182641</v>
      </c>
      <c r="M1413" s="28">
        <v>0</v>
      </c>
      <c r="N1413" s="28">
        <v>0</v>
      </c>
    </row>
    <row r="1414" spans="7:14">
      <c r="G1414" s="24">
        <v>1413</v>
      </c>
      <c r="H1414" s="25">
        <f>S0_</f>
        <v>100</v>
      </c>
      <c r="I1414" s="25">
        <f ca="1">S0_*EXP((mu_-sigma_^2/2)*Dt_+sigma_*SQRT(Dt_)*_xlfn.NORM.INV(RAND(),0,1))</f>
        <v>104.693681856636</v>
      </c>
      <c r="J1414" s="25">
        <f ca="1">MAX(k_-I1414,0)*EXP(-rs_*T_)</f>
        <v>0</v>
      </c>
      <c r="K1414" s="25">
        <v>4.55724064443226</v>
      </c>
      <c r="L1414" s="25">
        <v>3.98724064443226</v>
      </c>
      <c r="M1414" s="28">
        <v>0</v>
      </c>
      <c r="N1414" s="28">
        <v>0</v>
      </c>
    </row>
    <row r="1415" spans="7:14">
      <c r="G1415" s="24">
        <v>1414</v>
      </c>
      <c r="H1415" s="25">
        <f>S0_</f>
        <v>100</v>
      </c>
      <c r="I1415" s="25">
        <f ca="1">S0_*EXP((mu_-sigma_^2/2)*Dt_+sigma_*SQRT(Dt_)*_xlfn.NORM.INV(RAND(),0,1))</f>
        <v>113.619491509249</v>
      </c>
      <c r="J1415" s="25">
        <f ca="1">MAX(k_-I1415,0)*EXP(-rs_*T_)</f>
        <v>0</v>
      </c>
      <c r="K1415" s="25">
        <v>13.2235848441022</v>
      </c>
      <c r="L1415" s="25">
        <v>12.6535848441022</v>
      </c>
      <c r="M1415" s="28">
        <v>0</v>
      </c>
      <c r="N1415" s="28">
        <v>0</v>
      </c>
    </row>
    <row r="1416" spans="7:14">
      <c r="G1416" s="24">
        <v>1415</v>
      </c>
      <c r="H1416" s="25">
        <f>S0_</f>
        <v>100</v>
      </c>
      <c r="I1416" s="25">
        <f ca="1">S0_*EXP((mu_-sigma_^2/2)*Dt_+sigma_*SQRT(Dt_)*_xlfn.NORM.INV(RAND(),0,1))</f>
        <v>101.946100717275</v>
      </c>
      <c r="J1416" s="25">
        <f ca="1">MAX(k_-I1416,0)*EXP(-rs_*T_)</f>
        <v>0</v>
      </c>
      <c r="K1416" s="25">
        <v>1.88952927740175</v>
      </c>
      <c r="L1416" s="25">
        <v>1.31952927740175</v>
      </c>
      <c r="M1416" s="28">
        <v>0</v>
      </c>
      <c r="N1416" s="28">
        <v>0</v>
      </c>
    </row>
    <row r="1417" spans="7:14">
      <c r="G1417" s="24">
        <v>1416</v>
      </c>
      <c r="H1417" s="25">
        <f>S0_</f>
        <v>100</v>
      </c>
      <c r="I1417" s="25">
        <f ca="1">S0_*EXP((mu_-sigma_^2/2)*Dt_+sigma_*SQRT(Dt_)*_xlfn.NORM.INV(RAND(),0,1))</f>
        <v>116.106975026602</v>
      </c>
      <c r="J1417" s="25">
        <f ca="1">MAX(k_-I1417,0)*EXP(-rs_*T_)</f>
        <v>0</v>
      </c>
      <c r="K1417" s="25">
        <v>15.6387593987238</v>
      </c>
      <c r="L1417" s="25">
        <v>15.0687593987238</v>
      </c>
      <c r="M1417" s="28">
        <v>0</v>
      </c>
      <c r="N1417" s="28">
        <v>0</v>
      </c>
    </row>
    <row r="1418" spans="7:14">
      <c r="G1418" s="24">
        <v>1417</v>
      </c>
      <c r="H1418" s="25">
        <f>S0_</f>
        <v>100</v>
      </c>
      <c r="I1418" s="25">
        <f ca="1">S0_*EXP((mu_-sigma_^2/2)*Dt_+sigma_*SQRT(Dt_)*_xlfn.NORM.INV(RAND(),0,1))</f>
        <v>109.954233184823</v>
      </c>
      <c r="J1418" s="25">
        <f ca="1">MAX(k_-I1418,0)*EXP(-rs_*T_)</f>
        <v>0</v>
      </c>
      <c r="K1418" s="25">
        <v>9.66487236238555</v>
      </c>
      <c r="L1418" s="25">
        <v>9.09487236238555</v>
      </c>
      <c r="M1418" s="28">
        <v>0</v>
      </c>
      <c r="N1418" s="28">
        <v>0</v>
      </c>
    </row>
    <row r="1419" spans="7:14">
      <c r="G1419" s="24">
        <v>1418</v>
      </c>
      <c r="H1419" s="25">
        <f>S0_</f>
        <v>100</v>
      </c>
      <c r="I1419" s="25">
        <f ca="1">S0_*EXP((mu_-sigma_^2/2)*Dt_+sigma_*SQRT(Dt_)*_xlfn.NORM.INV(RAND(),0,1))</f>
        <v>94.2436806107575</v>
      </c>
      <c r="J1419" s="25">
        <f ca="1">MAX(k_-I1419,0)*EXP(-rs_*T_)</f>
        <v>2.67619560365663</v>
      </c>
      <c r="K1419" s="25">
        <v>-5.58898823658021</v>
      </c>
      <c r="L1419" s="25">
        <v>-3.48279263292358</v>
      </c>
      <c r="M1419" s="28">
        <v>1</v>
      </c>
      <c r="N1419" s="28">
        <v>1</v>
      </c>
    </row>
    <row r="1420" spans="7:14">
      <c r="G1420" s="24">
        <v>1419</v>
      </c>
      <c r="H1420" s="25">
        <f>S0_</f>
        <v>100</v>
      </c>
      <c r="I1420" s="25">
        <f ca="1">S0_*EXP((mu_-sigma_^2/2)*Dt_+sigma_*SQRT(Dt_)*_xlfn.NORM.INV(RAND(),0,1))</f>
        <v>99.5583989686469</v>
      </c>
      <c r="J1420" s="25">
        <f ca="1">MAX(k_-I1420,0)*EXP(-rs_*T_)</f>
        <v>0</v>
      </c>
      <c r="K1420" s="25">
        <v>-0.428764076938896</v>
      </c>
      <c r="L1420" s="25">
        <v>-0.998764076938896</v>
      </c>
      <c r="M1420" s="28">
        <v>1</v>
      </c>
      <c r="N1420" s="28">
        <v>1</v>
      </c>
    </row>
    <row r="1421" spans="7:14">
      <c r="G1421" s="24">
        <v>1420</v>
      </c>
      <c r="H1421" s="25">
        <f>S0_</f>
        <v>100</v>
      </c>
      <c r="I1421" s="25">
        <f ca="1">S0_*EXP((mu_-sigma_^2/2)*Dt_+sigma_*SQRT(Dt_)*_xlfn.NORM.INV(RAND(),0,1))</f>
        <v>96.73489399199</v>
      </c>
      <c r="J1421" s="25">
        <f ca="1">MAX(k_-I1421,0)*EXP(-rs_*T_)</f>
        <v>0.257399609025055</v>
      </c>
      <c r="K1421" s="25">
        <v>-3.17019224194864</v>
      </c>
      <c r="L1421" s="25">
        <v>-3.48279263292358</v>
      </c>
      <c r="M1421" s="28">
        <v>1</v>
      </c>
      <c r="N1421" s="28">
        <v>1</v>
      </c>
    </row>
    <row r="1422" spans="7:14">
      <c r="G1422" s="24">
        <v>1421</v>
      </c>
      <c r="H1422" s="25">
        <f>S0_</f>
        <v>100</v>
      </c>
      <c r="I1422" s="25">
        <f ca="1">S0_*EXP((mu_-sigma_^2/2)*Dt_+sigma_*SQRT(Dt_)*_xlfn.NORM.INV(RAND(),0,1))</f>
        <v>86.8052476060698</v>
      </c>
      <c r="J1422" s="25">
        <f ca="1">MAX(k_-I1422,0)*EXP(-rs_*T_)</f>
        <v>9.89839988917327</v>
      </c>
      <c r="K1422" s="25">
        <v>-12.8111925220969</v>
      </c>
      <c r="L1422" s="25">
        <v>-3.48279263292358</v>
      </c>
      <c r="M1422" s="28">
        <v>1</v>
      </c>
      <c r="N1422" s="28">
        <v>1</v>
      </c>
    </row>
    <row r="1423" spans="7:14">
      <c r="G1423" s="24">
        <v>1422</v>
      </c>
      <c r="H1423" s="25">
        <f>S0_</f>
        <v>100</v>
      </c>
      <c r="I1423" s="25">
        <f ca="1">S0_*EXP((mu_-sigma_^2/2)*Dt_+sigma_*SQRT(Dt_)*_xlfn.NORM.INV(RAND(),0,1))</f>
        <v>104.44138668527</v>
      </c>
      <c r="J1423" s="25">
        <f ca="1">MAX(k_-I1423,0)*EXP(-rs_*T_)</f>
        <v>0</v>
      </c>
      <c r="K1423" s="25">
        <v>4.31227947227293</v>
      </c>
      <c r="L1423" s="25">
        <v>3.74227947227293</v>
      </c>
      <c r="M1423" s="28">
        <v>0</v>
      </c>
      <c r="N1423" s="28">
        <v>0</v>
      </c>
    </row>
    <row r="1424" spans="7:14">
      <c r="G1424" s="24">
        <v>1423</v>
      </c>
      <c r="H1424" s="25">
        <f>S0_</f>
        <v>100</v>
      </c>
      <c r="I1424" s="25">
        <f ca="1">S0_*EXP((mu_-sigma_^2/2)*Dt_+sigma_*SQRT(Dt_)*_xlfn.NORM.INV(RAND(),0,1))</f>
        <v>106.406127695801</v>
      </c>
      <c r="J1424" s="25">
        <f ca="1">MAX(k_-I1424,0)*EXP(-rs_*T_)</f>
        <v>0</v>
      </c>
      <c r="K1424" s="25">
        <v>6.21990718596598</v>
      </c>
      <c r="L1424" s="25">
        <v>5.64990718596597</v>
      </c>
      <c r="M1424" s="28">
        <v>0</v>
      </c>
      <c r="N1424" s="28">
        <v>0</v>
      </c>
    </row>
    <row r="1425" spans="7:14">
      <c r="G1425" s="24">
        <v>1424</v>
      </c>
      <c r="H1425" s="25">
        <f>S0_</f>
        <v>100</v>
      </c>
      <c r="I1425" s="25">
        <f ca="1">S0_*EXP((mu_-sigma_^2/2)*Dt_+sigma_*SQRT(Dt_)*_xlfn.NORM.INV(RAND(),0,1))</f>
        <v>109.128940806265</v>
      </c>
      <c r="J1425" s="25">
        <f ca="1">MAX(k_-I1425,0)*EXP(-rs_*T_)</f>
        <v>0</v>
      </c>
      <c r="K1425" s="25">
        <v>8.86357050896128</v>
      </c>
      <c r="L1425" s="25">
        <v>8.29357050896128</v>
      </c>
      <c r="M1425" s="28">
        <v>0</v>
      </c>
      <c r="N1425" s="28">
        <v>0</v>
      </c>
    </row>
    <row r="1426" spans="7:14">
      <c r="G1426" s="24">
        <v>1425</v>
      </c>
      <c r="H1426" s="25">
        <f>S0_</f>
        <v>100</v>
      </c>
      <c r="I1426" s="25">
        <f ca="1">S0_*EXP((mu_-sigma_^2/2)*Dt_+sigma_*SQRT(Dt_)*_xlfn.NORM.INV(RAND(),0,1))</f>
        <v>104.852188292909</v>
      </c>
      <c r="J1426" s="25">
        <f ca="1">MAX(k_-I1426,0)*EXP(-rs_*T_)</f>
        <v>0</v>
      </c>
      <c r="K1426" s="25">
        <v>4.71113943771422</v>
      </c>
      <c r="L1426" s="25">
        <v>4.14113943771422</v>
      </c>
      <c r="M1426" s="28">
        <v>0</v>
      </c>
      <c r="N1426" s="28">
        <v>0</v>
      </c>
    </row>
    <row r="1427" spans="7:14">
      <c r="G1427" s="24">
        <v>1426</v>
      </c>
      <c r="H1427" s="25">
        <f>S0_</f>
        <v>100</v>
      </c>
      <c r="I1427" s="25">
        <f ca="1">S0_*EXP((mu_-sigma_^2/2)*Dt_+sigma_*SQRT(Dt_)*_xlfn.NORM.INV(RAND(),0,1))</f>
        <v>110.981445466838</v>
      </c>
      <c r="J1427" s="25">
        <f ca="1">MAX(k_-I1427,0)*EXP(-rs_*T_)</f>
        <v>0</v>
      </c>
      <c r="K1427" s="25">
        <v>10.6622244848863</v>
      </c>
      <c r="L1427" s="25">
        <v>10.0922244848863</v>
      </c>
      <c r="M1427" s="28">
        <v>0</v>
      </c>
      <c r="N1427" s="28">
        <v>0</v>
      </c>
    </row>
    <row r="1428" spans="7:14">
      <c r="G1428" s="24">
        <v>1427</v>
      </c>
      <c r="H1428" s="25">
        <f>S0_</f>
        <v>100</v>
      </c>
      <c r="I1428" s="25">
        <f ca="1">S0_*EXP((mu_-sigma_^2/2)*Dt_+sigma_*SQRT(Dt_)*_xlfn.NORM.INV(RAND(),0,1))</f>
        <v>101.023201488966</v>
      </c>
      <c r="J1428" s="25">
        <f ca="1">MAX(k_-I1428,0)*EXP(-rs_*T_)</f>
        <v>0</v>
      </c>
      <c r="K1428" s="25">
        <v>0.993457919685365</v>
      </c>
      <c r="L1428" s="25">
        <v>0.423457919685365</v>
      </c>
      <c r="M1428" s="28">
        <v>0</v>
      </c>
      <c r="N1428" s="28">
        <v>0</v>
      </c>
    </row>
    <row r="1429" spans="7:14">
      <c r="G1429" s="24">
        <v>1428</v>
      </c>
      <c r="H1429" s="25">
        <f>S0_</f>
        <v>100</v>
      </c>
      <c r="I1429" s="25">
        <f ca="1">S0_*EXP((mu_-sigma_^2/2)*Dt_+sigma_*SQRT(Dt_)*_xlfn.NORM.INV(RAND(),0,1))</f>
        <v>107.989033865868</v>
      </c>
      <c r="J1429" s="25">
        <f ca="1">MAX(k_-I1429,0)*EXP(-rs_*T_)</f>
        <v>0</v>
      </c>
      <c r="K1429" s="25">
        <v>7.75679966289259</v>
      </c>
      <c r="L1429" s="25">
        <v>7.18679966289259</v>
      </c>
      <c r="M1429" s="28">
        <v>0</v>
      </c>
      <c r="N1429" s="28">
        <v>0</v>
      </c>
    </row>
    <row r="1430" spans="7:14">
      <c r="G1430" s="24">
        <v>1429</v>
      </c>
      <c r="H1430" s="25">
        <f>S0_</f>
        <v>100</v>
      </c>
      <c r="I1430" s="25">
        <f ca="1">S0_*EXP((mu_-sigma_^2/2)*Dt_+sigma_*SQRT(Dt_)*_xlfn.NORM.INV(RAND(),0,1))</f>
        <v>106.114743450056</v>
      </c>
      <c r="J1430" s="25">
        <f ca="1">MAX(k_-I1430,0)*EXP(-rs_*T_)</f>
        <v>0</v>
      </c>
      <c r="K1430" s="25">
        <v>5.93699322451356</v>
      </c>
      <c r="L1430" s="25">
        <v>5.36699322451356</v>
      </c>
      <c r="M1430" s="28">
        <v>0</v>
      </c>
      <c r="N1430" s="28">
        <v>0</v>
      </c>
    </row>
    <row r="1431" spans="7:14">
      <c r="G1431" s="24">
        <v>1430</v>
      </c>
      <c r="H1431" s="25">
        <f>S0_</f>
        <v>100</v>
      </c>
      <c r="I1431" s="25">
        <f ca="1">S0_*EXP((mu_-sigma_^2/2)*Dt_+sigma_*SQRT(Dt_)*_xlfn.NORM.INV(RAND(),0,1))</f>
        <v>100.947175463652</v>
      </c>
      <c r="J1431" s="25">
        <f ca="1">MAX(k_-I1431,0)*EXP(-rs_*T_)</f>
        <v>0</v>
      </c>
      <c r="K1431" s="25">
        <v>0.919641904203553</v>
      </c>
      <c r="L1431" s="25">
        <v>0.349641904203553</v>
      </c>
      <c r="M1431" s="28">
        <v>0</v>
      </c>
      <c r="N1431" s="28">
        <v>0</v>
      </c>
    </row>
    <row r="1432" spans="7:14">
      <c r="G1432" s="24">
        <v>1431</v>
      </c>
      <c r="H1432" s="25">
        <f>S0_</f>
        <v>100</v>
      </c>
      <c r="I1432" s="25">
        <f ca="1">S0_*EXP((mu_-sigma_^2/2)*Dt_+sigma_*SQRT(Dt_)*_xlfn.NORM.INV(RAND(),0,1))</f>
        <v>100.83879637261</v>
      </c>
      <c r="J1432" s="25">
        <f ca="1">MAX(k_-I1432,0)*EXP(-rs_*T_)</f>
        <v>0</v>
      </c>
      <c r="K1432" s="25">
        <v>0.814413298220952</v>
      </c>
      <c r="L1432" s="25">
        <v>0.244413298220952</v>
      </c>
      <c r="M1432" s="28">
        <v>0</v>
      </c>
      <c r="N1432" s="28">
        <v>0</v>
      </c>
    </row>
    <row r="1433" spans="7:14">
      <c r="G1433" s="24">
        <v>1432</v>
      </c>
      <c r="H1433" s="25">
        <f>S0_</f>
        <v>100</v>
      </c>
      <c r="I1433" s="25">
        <f ca="1">S0_*EXP((mu_-sigma_^2/2)*Dt_+sigma_*SQRT(Dt_)*_xlfn.NORM.INV(RAND(),0,1))</f>
        <v>103.734378752859</v>
      </c>
      <c r="J1433" s="25">
        <f ca="1">MAX(k_-I1433,0)*EXP(-rs_*T_)</f>
        <v>0</v>
      </c>
      <c r="K1433" s="25">
        <v>3.62582363995828</v>
      </c>
      <c r="L1433" s="25">
        <v>3.05582363995828</v>
      </c>
      <c r="M1433" s="28">
        <v>0</v>
      </c>
      <c r="N1433" s="28">
        <v>0</v>
      </c>
    </row>
    <row r="1434" spans="7:14">
      <c r="G1434" s="24">
        <v>1433</v>
      </c>
      <c r="H1434" s="25">
        <f>S0_</f>
        <v>100</v>
      </c>
      <c r="I1434" s="25">
        <f ca="1">S0_*EXP((mu_-sigma_^2/2)*Dt_+sigma_*SQRT(Dt_)*_xlfn.NORM.INV(RAND(),0,1))</f>
        <v>109.968379669549</v>
      </c>
      <c r="J1434" s="25">
        <f ca="1">MAX(k_-I1434,0)*EXP(-rs_*T_)</f>
        <v>0</v>
      </c>
      <c r="K1434" s="25">
        <v>9.67860762121557</v>
      </c>
      <c r="L1434" s="25">
        <v>9.10860762121557</v>
      </c>
      <c r="M1434" s="28">
        <v>0</v>
      </c>
      <c r="N1434" s="28">
        <v>0</v>
      </c>
    </row>
    <row r="1435" spans="7:14">
      <c r="G1435" s="24">
        <v>1434</v>
      </c>
      <c r="H1435" s="25">
        <f>S0_</f>
        <v>100</v>
      </c>
      <c r="I1435" s="25">
        <f ca="1">S0_*EXP((mu_-sigma_^2/2)*Dt_+sigma_*SQRT(Dt_)*_xlfn.NORM.INV(RAND(),0,1))</f>
        <v>112.318303595748</v>
      </c>
      <c r="J1435" s="25">
        <f ca="1">MAX(k_-I1435,0)*EXP(-rs_*T_)</f>
        <v>0</v>
      </c>
      <c r="K1435" s="25">
        <v>11.9602213212699</v>
      </c>
      <c r="L1435" s="25">
        <v>11.3902213212699</v>
      </c>
      <c r="M1435" s="28">
        <v>0</v>
      </c>
      <c r="N1435" s="28">
        <v>0</v>
      </c>
    </row>
    <row r="1436" spans="7:14">
      <c r="G1436" s="24">
        <v>1435</v>
      </c>
      <c r="H1436" s="25">
        <f>S0_</f>
        <v>100</v>
      </c>
      <c r="I1436" s="25">
        <f ca="1">S0_*EXP((mu_-sigma_^2/2)*Dt_+sigma_*SQRT(Dt_)*_xlfn.NORM.INV(RAND(),0,1))</f>
        <v>95.0385874707588</v>
      </c>
      <c r="J1436" s="25">
        <f ca="1">MAX(k_-I1436,0)*EXP(-rs_*T_)</f>
        <v>1.90439598843255</v>
      </c>
      <c r="K1436" s="25">
        <v>-4.81718862135614</v>
      </c>
      <c r="L1436" s="25">
        <v>-3.48279263292358</v>
      </c>
      <c r="M1436" s="28">
        <v>1</v>
      </c>
      <c r="N1436" s="28">
        <v>1</v>
      </c>
    </row>
    <row r="1437" spans="7:14">
      <c r="G1437" s="24">
        <v>1436</v>
      </c>
      <c r="H1437" s="25">
        <f>S0_</f>
        <v>100</v>
      </c>
      <c r="I1437" s="25">
        <f ca="1">S0_*EXP((mu_-sigma_^2/2)*Dt_+sigma_*SQRT(Dt_)*_xlfn.NORM.INV(RAND(),0,1))</f>
        <v>98.124278668226</v>
      </c>
      <c r="J1437" s="25">
        <f ca="1">MAX(k_-I1437,0)*EXP(-rs_*T_)</f>
        <v>0</v>
      </c>
      <c r="K1437" s="25">
        <v>-1.82119575886964</v>
      </c>
      <c r="L1437" s="25">
        <v>-2.39119575886964</v>
      </c>
      <c r="M1437" s="28">
        <v>1</v>
      </c>
      <c r="N1437" s="28">
        <v>1</v>
      </c>
    </row>
    <row r="1438" spans="7:14">
      <c r="G1438" s="24">
        <v>1437</v>
      </c>
      <c r="H1438" s="25">
        <f>S0_</f>
        <v>100</v>
      </c>
      <c r="I1438" s="25">
        <f ca="1">S0_*EXP((mu_-sigma_^2/2)*Dt_+sigma_*SQRT(Dt_)*_xlfn.NORM.INV(RAND(),0,1))</f>
        <v>99.9458180458211</v>
      </c>
      <c r="J1438" s="25">
        <f ca="1">MAX(k_-I1438,0)*EXP(-rs_*T_)</f>
        <v>0</v>
      </c>
      <c r="K1438" s="25">
        <v>-0.052606932323194</v>
      </c>
      <c r="L1438" s="25">
        <v>-0.622606932323194</v>
      </c>
      <c r="M1438" s="28">
        <v>1</v>
      </c>
      <c r="N1438" s="28">
        <v>1</v>
      </c>
    </row>
    <row r="1439" spans="7:14">
      <c r="G1439" s="24">
        <v>1438</v>
      </c>
      <c r="H1439" s="25">
        <f>S0_</f>
        <v>100</v>
      </c>
      <c r="I1439" s="25">
        <f ca="1">S0_*EXP((mu_-sigma_^2/2)*Dt_+sigma_*SQRT(Dt_)*_xlfn.NORM.INV(RAND(),0,1))</f>
        <v>98.6183635851569</v>
      </c>
      <c r="J1439" s="25">
        <f ca="1">MAX(k_-I1439,0)*EXP(-rs_*T_)</f>
        <v>0</v>
      </c>
      <c r="K1439" s="25">
        <v>-1.34147345684466</v>
      </c>
      <c r="L1439" s="25">
        <v>-1.91147345684466</v>
      </c>
      <c r="M1439" s="28">
        <v>1</v>
      </c>
      <c r="N1439" s="28">
        <v>1</v>
      </c>
    </row>
    <row r="1440" spans="7:14">
      <c r="G1440" s="24">
        <v>1439</v>
      </c>
      <c r="H1440" s="25">
        <f>S0_</f>
        <v>100</v>
      </c>
      <c r="I1440" s="25">
        <f ca="1">S0_*EXP((mu_-sigma_^2/2)*Dt_+sigma_*SQRT(Dt_)*_xlfn.NORM.INV(RAND(),0,1))</f>
        <v>97.3752616510592</v>
      </c>
      <c r="J1440" s="25">
        <f ca="1">MAX(k_-I1440,0)*EXP(-rs_*T_)</f>
        <v>0</v>
      </c>
      <c r="K1440" s="25">
        <v>-2.5484395087156</v>
      </c>
      <c r="L1440" s="25">
        <v>-3.1184395087156</v>
      </c>
      <c r="M1440" s="28">
        <v>1</v>
      </c>
      <c r="N1440" s="28">
        <v>1</v>
      </c>
    </row>
    <row r="1441" spans="7:14">
      <c r="G1441" s="24">
        <v>1440</v>
      </c>
      <c r="H1441" s="25">
        <f>S0_</f>
        <v>100</v>
      </c>
      <c r="I1441" s="25">
        <f ca="1">S0_*EXP((mu_-sigma_^2/2)*Dt_+sigma_*SQRT(Dt_)*_xlfn.NORM.INV(RAND(),0,1))</f>
        <v>98.3882137033473</v>
      </c>
      <c r="J1441" s="25">
        <f ca="1">MAX(k_-I1441,0)*EXP(-rs_*T_)</f>
        <v>0</v>
      </c>
      <c r="K1441" s="25">
        <v>-1.56493308357901</v>
      </c>
      <c r="L1441" s="25">
        <v>-2.13493308357901</v>
      </c>
      <c r="M1441" s="28">
        <v>1</v>
      </c>
      <c r="N1441" s="28">
        <v>1</v>
      </c>
    </row>
    <row r="1442" spans="7:14">
      <c r="G1442" s="24">
        <v>1441</v>
      </c>
      <c r="H1442" s="25">
        <f>S0_</f>
        <v>100</v>
      </c>
      <c r="I1442" s="25">
        <f ca="1">S0_*EXP((mu_-sigma_^2/2)*Dt_+sigma_*SQRT(Dt_)*_xlfn.NORM.INV(RAND(),0,1))</f>
        <v>116.639591755049</v>
      </c>
      <c r="J1442" s="25">
        <f ca="1">MAX(k_-I1442,0)*EXP(-rs_*T_)</f>
        <v>0</v>
      </c>
      <c r="K1442" s="25">
        <v>16.1558934263207</v>
      </c>
      <c r="L1442" s="25">
        <v>15.5858934263207</v>
      </c>
      <c r="M1442" s="28">
        <v>0</v>
      </c>
      <c r="N1442" s="28">
        <v>0</v>
      </c>
    </row>
    <row r="1443" spans="7:14">
      <c r="G1443" s="24">
        <v>1442</v>
      </c>
      <c r="H1443" s="25">
        <f>S0_</f>
        <v>100</v>
      </c>
      <c r="I1443" s="25">
        <f ca="1">S0_*EXP((mu_-sigma_^2/2)*Dt_+sigma_*SQRT(Dt_)*_xlfn.NORM.INV(RAND(),0,1))</f>
        <v>114.132809586752</v>
      </c>
      <c r="J1443" s="25">
        <f ca="1">MAX(k_-I1443,0)*EXP(-rs_*T_)</f>
        <v>0</v>
      </c>
      <c r="K1443" s="25">
        <v>13.7219812156012</v>
      </c>
      <c r="L1443" s="25">
        <v>13.1519812156012</v>
      </c>
      <c r="M1443" s="28">
        <v>0</v>
      </c>
      <c r="N1443" s="28">
        <v>0</v>
      </c>
    </row>
    <row r="1444" spans="7:14">
      <c r="G1444" s="24">
        <v>1443</v>
      </c>
      <c r="H1444" s="25">
        <f>S0_</f>
        <v>100</v>
      </c>
      <c r="I1444" s="25">
        <f ca="1">S0_*EXP((mu_-sigma_^2/2)*Dt_+sigma_*SQRT(Dt_)*_xlfn.NORM.INV(RAND(),0,1))</f>
        <v>96.0345553193842</v>
      </c>
      <c r="J1444" s="25">
        <f ca="1">MAX(k_-I1444,0)*EXP(-rs_*T_)</f>
        <v>0.937380051064352</v>
      </c>
      <c r="K1444" s="25">
        <v>-3.85017268398793</v>
      </c>
      <c r="L1444" s="25">
        <v>-3.48279263292358</v>
      </c>
      <c r="M1444" s="28">
        <v>1</v>
      </c>
      <c r="N1444" s="28">
        <v>1</v>
      </c>
    </row>
    <row r="1445" spans="7:14">
      <c r="G1445" s="24">
        <v>1444</v>
      </c>
      <c r="H1445" s="25">
        <f>S0_</f>
        <v>100</v>
      </c>
      <c r="I1445" s="25">
        <f ca="1">S0_*EXP((mu_-sigma_^2/2)*Dt_+sigma_*SQRT(Dt_)*_xlfn.NORM.INV(RAND(),0,1))</f>
        <v>109.897982565122</v>
      </c>
      <c r="J1445" s="25">
        <f ca="1">MAX(k_-I1445,0)*EXP(-rs_*T_)</f>
        <v>0</v>
      </c>
      <c r="K1445" s="25">
        <v>9.61025689883138</v>
      </c>
      <c r="L1445" s="25">
        <v>9.04025689883138</v>
      </c>
      <c r="M1445" s="28">
        <v>0</v>
      </c>
      <c r="N1445" s="28">
        <v>0</v>
      </c>
    </row>
    <row r="1446" spans="7:14">
      <c r="G1446" s="24">
        <v>1445</v>
      </c>
      <c r="H1446" s="25">
        <f>S0_</f>
        <v>100</v>
      </c>
      <c r="I1446" s="25">
        <f ca="1">S0_*EXP((mu_-sigma_^2/2)*Dt_+sigma_*SQRT(Dt_)*_xlfn.NORM.INV(RAND(),0,1))</f>
        <v>93.6470289605102</v>
      </c>
      <c r="J1446" s="25">
        <f ca="1">MAX(k_-I1446,0)*EXP(-rs_*T_)</f>
        <v>3.25550311407733</v>
      </c>
      <c r="K1446" s="25">
        <v>-6.16829574700091</v>
      </c>
      <c r="L1446" s="25">
        <v>-3.48279263292358</v>
      </c>
      <c r="M1446" s="28">
        <v>1</v>
      </c>
      <c r="N1446" s="28">
        <v>1</v>
      </c>
    </row>
    <row r="1447" spans="7:14">
      <c r="G1447" s="24">
        <v>1446</v>
      </c>
      <c r="H1447" s="25">
        <f>S0_</f>
        <v>100</v>
      </c>
      <c r="I1447" s="25">
        <f ca="1">S0_*EXP((mu_-sigma_^2/2)*Dt_+sigma_*SQRT(Dt_)*_xlfn.NORM.INV(RAND(),0,1))</f>
        <v>107.373109100564</v>
      </c>
      <c r="J1447" s="25">
        <f ca="1">MAX(k_-I1447,0)*EXP(-rs_*T_)</f>
        <v>0</v>
      </c>
      <c r="K1447" s="25">
        <v>7.15877928995493</v>
      </c>
      <c r="L1447" s="25">
        <v>6.58877928995493</v>
      </c>
      <c r="M1447" s="28">
        <v>0</v>
      </c>
      <c r="N1447" s="28">
        <v>0</v>
      </c>
    </row>
    <row r="1448" spans="7:14">
      <c r="G1448" s="24">
        <v>1447</v>
      </c>
      <c r="H1448" s="25">
        <f>S0_</f>
        <v>100</v>
      </c>
      <c r="I1448" s="25">
        <f ca="1">S0_*EXP((mu_-sigma_^2/2)*Dt_+sigma_*SQRT(Dt_)*_xlfn.NORM.INV(RAND(),0,1))</f>
        <v>99.5863020758488</v>
      </c>
      <c r="J1448" s="25">
        <f ca="1">MAX(k_-I1448,0)*EXP(-rs_*T_)</f>
        <v>0</v>
      </c>
      <c r="K1448" s="25">
        <v>-0.401672088574417</v>
      </c>
      <c r="L1448" s="25">
        <v>-0.971672088574417</v>
      </c>
      <c r="M1448" s="28">
        <v>1</v>
      </c>
      <c r="N1448" s="28">
        <v>1</v>
      </c>
    </row>
    <row r="1449" spans="7:14">
      <c r="G1449" s="24">
        <v>1448</v>
      </c>
      <c r="H1449" s="25">
        <f>S0_</f>
        <v>100</v>
      </c>
      <c r="I1449" s="25">
        <f ca="1">S0_*EXP((mu_-sigma_^2/2)*Dt_+sigma_*SQRT(Dt_)*_xlfn.NORM.INV(RAND(),0,1))</f>
        <v>90.7003678917649</v>
      </c>
      <c r="J1449" s="25">
        <f ca="1">MAX(k_-I1449,0)*EXP(-rs_*T_)</f>
        <v>6.1165073316654</v>
      </c>
      <c r="K1449" s="25">
        <v>-9.02929996458898</v>
      </c>
      <c r="L1449" s="25">
        <v>-3.48279263292358</v>
      </c>
      <c r="M1449" s="28">
        <v>1</v>
      </c>
      <c r="N1449" s="28">
        <v>1</v>
      </c>
    </row>
    <row r="1450" spans="7:14">
      <c r="G1450" s="24">
        <v>1449</v>
      </c>
      <c r="H1450" s="25">
        <f>S0_</f>
        <v>100</v>
      </c>
      <c r="I1450" s="25">
        <f ca="1">S0_*EXP((mu_-sigma_^2/2)*Dt_+sigma_*SQRT(Dt_)*_xlfn.NORM.INV(RAND(),0,1))</f>
        <v>100.265242744419</v>
      </c>
      <c r="J1450" s="25">
        <f ca="1">MAX(k_-I1450,0)*EXP(-rs_*T_)</f>
        <v>0</v>
      </c>
      <c r="K1450" s="25">
        <v>0.257532370626642</v>
      </c>
      <c r="L1450" s="25">
        <v>-0.312467629373358</v>
      </c>
      <c r="M1450" s="28">
        <v>0</v>
      </c>
      <c r="N1450" s="28">
        <v>1</v>
      </c>
    </row>
    <row r="1451" spans="7:14">
      <c r="G1451" s="24">
        <v>1450</v>
      </c>
      <c r="H1451" s="25">
        <f>S0_</f>
        <v>100</v>
      </c>
      <c r="I1451" s="25">
        <f ca="1">S0_*EXP((mu_-sigma_^2/2)*Dt_+sigma_*SQRT(Dt_)*_xlfn.NORM.INV(RAND(),0,1))</f>
        <v>90.3733945941684</v>
      </c>
      <c r="J1451" s="25">
        <f ca="1">MAX(k_-I1451,0)*EXP(-rs_*T_)</f>
        <v>6.43397580246591</v>
      </c>
      <c r="K1451" s="25">
        <v>-9.3467684353895</v>
      </c>
      <c r="L1451" s="25">
        <v>-3.48279263292358</v>
      </c>
      <c r="M1451" s="28">
        <v>1</v>
      </c>
      <c r="N1451" s="28">
        <v>1</v>
      </c>
    </row>
    <row r="1452" spans="7:14">
      <c r="G1452" s="24">
        <v>1451</v>
      </c>
      <c r="H1452" s="25">
        <f>S0_</f>
        <v>100</v>
      </c>
      <c r="I1452" s="25">
        <f ca="1">S0_*EXP((mu_-sigma_^2/2)*Dt_+sigma_*SQRT(Dt_)*_xlfn.NORM.INV(RAND(),0,1))</f>
        <v>92.94679686557</v>
      </c>
      <c r="J1452" s="25">
        <f ca="1">MAX(k_-I1452,0)*EXP(-rs_*T_)</f>
        <v>3.93538007657019</v>
      </c>
      <c r="K1452" s="25">
        <v>-6.84817270949378</v>
      </c>
      <c r="L1452" s="25">
        <v>-3.48279263292358</v>
      </c>
      <c r="M1452" s="28">
        <v>1</v>
      </c>
      <c r="N1452" s="28">
        <v>1</v>
      </c>
    </row>
    <row r="1453" spans="7:14">
      <c r="G1453" s="24">
        <v>1452</v>
      </c>
      <c r="H1453" s="25">
        <f>S0_</f>
        <v>100</v>
      </c>
      <c r="I1453" s="25">
        <f ca="1">S0_*EXP((mu_-sigma_^2/2)*Dt_+sigma_*SQRT(Dt_)*_xlfn.NORM.INV(RAND(),0,1))</f>
        <v>105.441870449771</v>
      </c>
      <c r="J1453" s="25">
        <f ca="1">MAX(k_-I1453,0)*EXP(-rs_*T_)</f>
        <v>0</v>
      </c>
      <c r="K1453" s="25">
        <v>5.28368005180561</v>
      </c>
      <c r="L1453" s="25">
        <v>4.71368005180561</v>
      </c>
      <c r="M1453" s="28">
        <v>0</v>
      </c>
      <c r="N1453" s="28">
        <v>0</v>
      </c>
    </row>
    <row r="1454" spans="7:14">
      <c r="G1454" s="24">
        <v>1453</v>
      </c>
      <c r="H1454" s="25">
        <f>S0_</f>
        <v>100</v>
      </c>
      <c r="I1454" s="25">
        <f ca="1">S0_*EXP((mu_-sigma_^2/2)*Dt_+sigma_*SQRT(Dt_)*_xlfn.NORM.INV(RAND(),0,1))</f>
        <v>108.396551592238</v>
      </c>
      <c r="J1454" s="25">
        <f ca="1">MAX(k_-I1454,0)*EXP(-rs_*T_)</f>
        <v>0</v>
      </c>
      <c r="K1454" s="25">
        <v>8.15247120661089</v>
      </c>
      <c r="L1454" s="25">
        <v>7.58247120661089</v>
      </c>
      <c r="M1454" s="28">
        <v>0</v>
      </c>
      <c r="N1454" s="28">
        <v>0</v>
      </c>
    </row>
    <row r="1455" spans="7:14">
      <c r="G1455" s="24">
        <v>1454</v>
      </c>
      <c r="H1455" s="25">
        <f>S0_</f>
        <v>100</v>
      </c>
      <c r="I1455" s="25">
        <f ca="1">S0_*EXP((mu_-sigma_^2/2)*Dt_+sigma_*SQRT(Dt_)*_xlfn.NORM.INV(RAND(),0,1))</f>
        <v>105.705121205979</v>
      </c>
      <c r="J1455" s="25">
        <f ca="1">MAX(k_-I1455,0)*EXP(-rs_*T_)</f>
        <v>0</v>
      </c>
      <c r="K1455" s="25">
        <v>5.53927833957044</v>
      </c>
      <c r="L1455" s="25">
        <v>4.96927833957044</v>
      </c>
      <c r="M1455" s="28">
        <v>0</v>
      </c>
      <c r="N1455" s="28">
        <v>0</v>
      </c>
    </row>
    <row r="1456" spans="7:14">
      <c r="G1456" s="24">
        <v>1455</v>
      </c>
      <c r="H1456" s="25">
        <f>S0_</f>
        <v>100</v>
      </c>
      <c r="I1456" s="25">
        <f ca="1">S0_*EXP((mu_-sigma_^2/2)*Dt_+sigma_*SQRT(Dt_)*_xlfn.NORM.INV(RAND(),0,1))</f>
        <v>100.400778386044</v>
      </c>
      <c r="J1456" s="25">
        <f ca="1">MAX(k_-I1456,0)*EXP(-rs_*T_)</f>
        <v>0</v>
      </c>
      <c r="K1456" s="25">
        <v>0.389128110101498</v>
      </c>
      <c r="L1456" s="25">
        <v>-0.180871889898502</v>
      </c>
      <c r="M1456" s="28">
        <v>0</v>
      </c>
      <c r="N1456" s="28">
        <v>1</v>
      </c>
    </row>
    <row r="1457" spans="7:14">
      <c r="G1457" s="24">
        <v>1456</v>
      </c>
      <c r="H1457" s="25">
        <f>S0_</f>
        <v>100</v>
      </c>
      <c r="I1457" s="25">
        <f ca="1">S0_*EXP((mu_-sigma_^2/2)*Dt_+sigma_*SQRT(Dt_)*_xlfn.NORM.INV(RAND(),0,1))</f>
        <v>112.80848455354</v>
      </c>
      <c r="J1457" s="25">
        <f ca="1">MAX(k_-I1457,0)*EXP(-rs_*T_)</f>
        <v>0</v>
      </c>
      <c r="K1457" s="25">
        <v>12.4361531488225</v>
      </c>
      <c r="L1457" s="25">
        <v>11.8661531488225</v>
      </c>
      <c r="M1457" s="28">
        <v>0</v>
      </c>
      <c r="N1457" s="28">
        <v>0</v>
      </c>
    </row>
    <row r="1458" spans="7:14">
      <c r="G1458" s="24">
        <v>1457</v>
      </c>
      <c r="H1458" s="25">
        <f>S0_</f>
        <v>100</v>
      </c>
      <c r="I1458" s="25">
        <f ca="1">S0_*EXP((mu_-sigma_^2/2)*Dt_+sigma_*SQRT(Dt_)*_xlfn.NORM.INV(RAND(),0,1))</f>
        <v>120.858460369077</v>
      </c>
      <c r="J1458" s="25">
        <f ca="1">MAX(k_-I1458,0)*EXP(-rs_*T_)</f>
        <v>0</v>
      </c>
      <c r="K1458" s="25">
        <v>20.2521232323918</v>
      </c>
      <c r="L1458" s="25">
        <v>19.6821232323918</v>
      </c>
      <c r="M1458" s="28">
        <v>0</v>
      </c>
      <c r="N1458" s="28">
        <v>0</v>
      </c>
    </row>
    <row r="1459" spans="7:14">
      <c r="G1459" s="24">
        <v>1458</v>
      </c>
      <c r="H1459" s="25">
        <f>S0_</f>
        <v>100</v>
      </c>
      <c r="I1459" s="25">
        <f ca="1">S0_*EXP((mu_-sigma_^2/2)*Dt_+sigma_*SQRT(Dt_)*_xlfn.NORM.INV(RAND(),0,1))</f>
        <v>98.527262772014</v>
      </c>
      <c r="J1459" s="25">
        <f ca="1">MAX(k_-I1459,0)*EXP(-rs_*T_)</f>
        <v>0</v>
      </c>
      <c r="K1459" s="25">
        <v>-1.42992604930328</v>
      </c>
      <c r="L1459" s="25">
        <v>-1.99992604930328</v>
      </c>
      <c r="M1459" s="28">
        <v>1</v>
      </c>
      <c r="N1459" s="28">
        <v>1</v>
      </c>
    </row>
    <row r="1460" spans="7:14">
      <c r="G1460" s="24">
        <v>1459</v>
      </c>
      <c r="H1460" s="25">
        <f>S0_</f>
        <v>100</v>
      </c>
      <c r="I1460" s="25">
        <f ca="1">S0_*EXP((mu_-sigma_^2/2)*Dt_+sigma_*SQRT(Dt_)*_xlfn.NORM.INV(RAND(),0,1))</f>
        <v>100.267935374141</v>
      </c>
      <c r="J1460" s="25">
        <f ca="1">MAX(k_-I1460,0)*EXP(-rs_*T_)</f>
        <v>0</v>
      </c>
      <c r="K1460" s="25">
        <v>0.260146727965391</v>
      </c>
      <c r="L1460" s="25">
        <v>-0.309853272034609</v>
      </c>
      <c r="M1460" s="28">
        <v>0</v>
      </c>
      <c r="N1460" s="28">
        <v>1</v>
      </c>
    </row>
    <row r="1461" spans="7:14">
      <c r="G1461" s="24">
        <v>1460</v>
      </c>
      <c r="H1461" s="25">
        <f>S0_</f>
        <v>100</v>
      </c>
      <c r="I1461" s="25">
        <f ca="1">S0_*EXP((mu_-sigma_^2/2)*Dt_+sigma_*SQRT(Dt_)*_xlfn.NORM.INV(RAND(),0,1))</f>
        <v>97.7489360778883</v>
      </c>
      <c r="J1461" s="25">
        <f ca="1">MAX(k_-I1461,0)*EXP(-rs_*T_)</f>
        <v>0</v>
      </c>
      <c r="K1461" s="25">
        <v>-2.18562746952235</v>
      </c>
      <c r="L1461" s="25">
        <v>-2.75562746952235</v>
      </c>
      <c r="M1461" s="28">
        <v>1</v>
      </c>
      <c r="N1461" s="28">
        <v>1</v>
      </c>
    </row>
    <row r="1462" spans="7:14">
      <c r="G1462" s="24">
        <v>1461</v>
      </c>
      <c r="H1462" s="25">
        <f>S0_</f>
        <v>100</v>
      </c>
      <c r="I1462" s="25">
        <f ca="1">S0_*EXP((mu_-sigma_^2/2)*Dt_+sigma_*SQRT(Dt_)*_xlfn.NORM.INV(RAND(),0,1))</f>
        <v>98.0405577053125</v>
      </c>
      <c r="J1462" s="25">
        <f ca="1">MAX(k_-I1462,0)*EXP(-rs_*T_)</f>
        <v>0</v>
      </c>
      <c r="K1462" s="25">
        <v>-1.90248302686817</v>
      </c>
      <c r="L1462" s="25">
        <v>-2.47248302686817</v>
      </c>
      <c r="M1462" s="28">
        <v>1</v>
      </c>
      <c r="N1462" s="28">
        <v>1</v>
      </c>
    </row>
    <row r="1463" spans="7:14">
      <c r="G1463" s="24">
        <v>1462</v>
      </c>
      <c r="H1463" s="25">
        <f>S0_</f>
        <v>100</v>
      </c>
      <c r="I1463" s="25">
        <f ca="1">S0_*EXP((mu_-sigma_^2/2)*Dt_+sigma_*SQRT(Dt_)*_xlfn.NORM.INV(RAND(),0,1))</f>
        <v>109.504452107425</v>
      </c>
      <c r="J1463" s="25">
        <f ca="1">MAX(k_-I1463,0)*EXP(-rs_*T_)</f>
        <v>0</v>
      </c>
      <c r="K1463" s="25">
        <v>9.22816602616075</v>
      </c>
      <c r="L1463" s="25">
        <v>8.65816602616075</v>
      </c>
      <c r="M1463" s="28">
        <v>0</v>
      </c>
      <c r="N1463" s="28">
        <v>0</v>
      </c>
    </row>
    <row r="1464" spans="7:14">
      <c r="G1464" s="24">
        <v>1463</v>
      </c>
      <c r="H1464" s="25">
        <f>S0_</f>
        <v>100</v>
      </c>
      <c r="I1464" s="25">
        <f ca="1">S0_*EXP((mu_-sigma_^2/2)*Dt_+sigma_*SQRT(Dt_)*_xlfn.NORM.INV(RAND(),0,1))</f>
        <v>95.9860518573508</v>
      </c>
      <c r="J1464" s="25">
        <f ca="1">MAX(k_-I1464,0)*EXP(-rs_*T_)</f>
        <v>0.984473560025017</v>
      </c>
      <c r="K1464" s="25">
        <v>-3.8972661929486</v>
      </c>
      <c r="L1464" s="25">
        <v>-3.48279263292358</v>
      </c>
      <c r="M1464" s="28">
        <v>1</v>
      </c>
      <c r="N1464" s="28">
        <v>1</v>
      </c>
    </row>
    <row r="1465" spans="7:14">
      <c r="G1465" s="24">
        <v>1464</v>
      </c>
      <c r="H1465" s="25">
        <f>S0_</f>
        <v>100</v>
      </c>
      <c r="I1465" s="25">
        <f ca="1">S0_*EXP((mu_-sigma_^2/2)*Dt_+sigma_*SQRT(Dt_)*_xlfn.NORM.INV(RAND(),0,1))</f>
        <v>98.0969322765603</v>
      </c>
      <c r="J1465" s="25">
        <f ca="1">MAX(k_-I1465,0)*EXP(-rs_*T_)</f>
        <v>0</v>
      </c>
      <c r="K1465" s="25">
        <v>-1.84774721492996</v>
      </c>
      <c r="L1465" s="25">
        <v>-2.41774721492996</v>
      </c>
      <c r="M1465" s="28">
        <v>1</v>
      </c>
      <c r="N1465" s="28">
        <v>1</v>
      </c>
    </row>
    <row r="1466" spans="7:14">
      <c r="G1466" s="24">
        <v>1465</v>
      </c>
      <c r="H1466" s="25">
        <f>S0_</f>
        <v>100</v>
      </c>
      <c r="I1466" s="25">
        <f ca="1">S0_*EXP((mu_-sigma_^2/2)*Dt_+sigma_*SQRT(Dt_)*_xlfn.NORM.INV(RAND(),0,1))</f>
        <v>88.238480347857</v>
      </c>
      <c r="J1466" s="25">
        <f ca="1">MAX(k_-I1466,0)*EXP(-rs_*T_)</f>
        <v>8.50682996532575</v>
      </c>
      <c r="K1466" s="25">
        <v>-11.4196225982493</v>
      </c>
      <c r="L1466" s="25">
        <v>-3.48279263292358</v>
      </c>
      <c r="M1466" s="28">
        <v>1</v>
      </c>
      <c r="N1466" s="28">
        <v>1</v>
      </c>
    </row>
    <row r="1467" spans="7:14">
      <c r="G1467" s="24">
        <v>1466</v>
      </c>
      <c r="H1467" s="25">
        <f>S0_</f>
        <v>100</v>
      </c>
      <c r="I1467" s="25">
        <f ca="1">S0_*EXP((mu_-sigma_^2/2)*Dt_+sigma_*SQRT(Dt_)*_xlfn.NORM.INV(RAND(),0,1))</f>
        <v>115.279875707551</v>
      </c>
      <c r="J1467" s="25">
        <f ca="1">MAX(k_-I1467,0)*EXP(-rs_*T_)</f>
        <v>0</v>
      </c>
      <c r="K1467" s="25">
        <v>14.8357031309808</v>
      </c>
      <c r="L1467" s="25">
        <v>14.2657031309808</v>
      </c>
      <c r="M1467" s="28">
        <v>0</v>
      </c>
      <c r="N1467" s="28">
        <v>0</v>
      </c>
    </row>
    <row r="1468" spans="7:14">
      <c r="G1468" s="24">
        <v>1467</v>
      </c>
      <c r="H1468" s="25">
        <f>S0_</f>
        <v>100</v>
      </c>
      <c r="I1468" s="25">
        <f ca="1">S0_*EXP((mu_-sigma_^2/2)*Dt_+sigma_*SQRT(Dt_)*_xlfn.NORM.INV(RAND(),0,1))</f>
        <v>102.255710032595</v>
      </c>
      <c r="J1468" s="25">
        <f ca="1">MAX(k_-I1468,0)*EXP(-rs_*T_)</f>
        <v>0</v>
      </c>
      <c r="K1468" s="25">
        <v>2.19013852165158</v>
      </c>
      <c r="L1468" s="25">
        <v>1.62013852165158</v>
      </c>
      <c r="M1468" s="28">
        <v>0</v>
      </c>
      <c r="N1468" s="28">
        <v>0</v>
      </c>
    </row>
    <row r="1469" spans="7:14">
      <c r="G1469" s="24">
        <v>1468</v>
      </c>
      <c r="H1469" s="25">
        <f>S0_</f>
        <v>100</v>
      </c>
      <c r="I1469" s="25">
        <f ca="1">S0_*EXP((mu_-sigma_^2/2)*Dt_+sigma_*SQRT(Dt_)*_xlfn.NORM.INV(RAND(),0,1))</f>
        <v>96.9610857134987</v>
      </c>
      <c r="J1469" s="25">
        <f ca="1">MAX(k_-I1469,0)*EXP(-rs_*T_)</f>
        <v>0.0377830823454701</v>
      </c>
      <c r="K1469" s="25">
        <v>-2.95057571526905</v>
      </c>
      <c r="L1469" s="25">
        <v>-3.48279263292358</v>
      </c>
      <c r="M1469" s="28">
        <v>1</v>
      </c>
      <c r="N1469" s="28">
        <v>1</v>
      </c>
    </row>
    <row r="1470" spans="7:14">
      <c r="G1470" s="24">
        <v>1469</v>
      </c>
      <c r="H1470" s="25">
        <f>S0_</f>
        <v>100</v>
      </c>
      <c r="I1470" s="25">
        <f ca="1">S0_*EXP((mu_-sigma_^2/2)*Dt_+sigma_*SQRT(Dt_)*_xlfn.NORM.INV(RAND(),0,1))</f>
        <v>117.252347330623</v>
      </c>
      <c r="J1470" s="25">
        <f ca="1">MAX(k_-I1470,0)*EXP(-rs_*T_)</f>
        <v>0</v>
      </c>
      <c r="K1470" s="25">
        <v>16.7508367350927</v>
      </c>
      <c r="L1470" s="25">
        <v>16.1808367350927</v>
      </c>
      <c r="M1470" s="28">
        <v>0</v>
      </c>
      <c r="N1470" s="28">
        <v>0</v>
      </c>
    </row>
    <row r="1471" spans="7:14">
      <c r="G1471" s="24">
        <v>1470</v>
      </c>
      <c r="H1471" s="25">
        <f>S0_</f>
        <v>100</v>
      </c>
      <c r="I1471" s="25">
        <f ca="1">S0_*EXP((mu_-sigma_^2/2)*Dt_+sigma_*SQRT(Dt_)*_xlfn.NORM.INV(RAND(),0,1))</f>
        <v>93.5081066866172</v>
      </c>
      <c r="J1471" s="25">
        <f ca="1">MAX(k_-I1471,0)*EXP(-rs_*T_)</f>
        <v>3.39038703939216</v>
      </c>
      <c r="K1471" s="25">
        <v>-6.30317967231574</v>
      </c>
      <c r="L1471" s="25">
        <v>-3.48279263292358</v>
      </c>
      <c r="M1471" s="28">
        <v>1</v>
      </c>
      <c r="N1471" s="28">
        <v>1</v>
      </c>
    </row>
    <row r="1472" spans="7:14">
      <c r="G1472" s="24">
        <v>1471</v>
      </c>
      <c r="H1472" s="25">
        <f>S0_</f>
        <v>100</v>
      </c>
      <c r="I1472" s="25">
        <f ca="1">S0_*EXP((mu_-sigma_^2/2)*Dt_+sigma_*SQRT(Dt_)*_xlfn.NORM.INV(RAND(),0,1))</f>
        <v>99.5732099451509</v>
      </c>
      <c r="J1472" s="25">
        <f ca="1">MAX(k_-I1472,0)*EXP(-rs_*T_)</f>
        <v>0</v>
      </c>
      <c r="K1472" s="25">
        <v>-0.414383642523163</v>
      </c>
      <c r="L1472" s="25">
        <v>-0.984383642523163</v>
      </c>
      <c r="M1472" s="28">
        <v>1</v>
      </c>
      <c r="N1472" s="28">
        <v>1</v>
      </c>
    </row>
    <row r="1473" spans="7:14">
      <c r="G1473" s="24">
        <v>1472</v>
      </c>
      <c r="H1473" s="25">
        <f>S0_</f>
        <v>100</v>
      </c>
      <c r="I1473" s="25">
        <f ca="1">S0_*EXP((mu_-sigma_^2/2)*Dt_+sigma_*SQRT(Dt_)*_xlfn.NORM.INV(RAND(),0,1))</f>
        <v>106.906379968431</v>
      </c>
      <c r="J1473" s="25">
        <f ca="1">MAX(k_-I1473,0)*EXP(-rs_*T_)</f>
        <v>0</v>
      </c>
      <c r="K1473" s="25">
        <v>6.70561756407262</v>
      </c>
      <c r="L1473" s="25">
        <v>6.13561756407262</v>
      </c>
      <c r="M1473" s="28">
        <v>0</v>
      </c>
      <c r="N1473" s="28">
        <v>0</v>
      </c>
    </row>
    <row r="1474" spans="7:14">
      <c r="G1474" s="24">
        <v>1473</v>
      </c>
      <c r="H1474" s="25">
        <f>S0_</f>
        <v>100</v>
      </c>
      <c r="I1474" s="25">
        <f ca="1">S0_*EXP((mu_-sigma_^2/2)*Dt_+sigma_*SQRT(Dt_)*_xlfn.NORM.INV(RAND(),0,1))</f>
        <v>115.196035428762</v>
      </c>
      <c r="J1474" s="25">
        <f ca="1">MAX(k_-I1474,0)*EXP(-rs_*T_)</f>
        <v>0</v>
      </c>
      <c r="K1474" s="25">
        <v>14.7543000155148</v>
      </c>
      <c r="L1474" s="25">
        <v>14.1843000155148</v>
      </c>
      <c r="M1474" s="28">
        <v>0</v>
      </c>
      <c r="N1474" s="28">
        <v>0</v>
      </c>
    </row>
    <row r="1475" spans="7:14">
      <c r="G1475" s="24">
        <v>1474</v>
      </c>
      <c r="H1475" s="25">
        <f>S0_</f>
        <v>100</v>
      </c>
      <c r="I1475" s="25">
        <f ca="1">S0_*EXP((mu_-sigma_^2/2)*Dt_+sigma_*SQRT(Dt_)*_xlfn.NORM.INV(RAND(),0,1))</f>
        <v>112.242814912052</v>
      </c>
      <c r="J1475" s="25">
        <f ca="1">MAX(k_-I1475,0)*EXP(-rs_*T_)</f>
        <v>0</v>
      </c>
      <c r="K1475" s="25">
        <v>11.8869270273573</v>
      </c>
      <c r="L1475" s="25">
        <v>11.3169270273573</v>
      </c>
      <c r="M1475" s="28">
        <v>0</v>
      </c>
      <c r="N1475" s="28">
        <v>0</v>
      </c>
    </row>
    <row r="1476" spans="7:14">
      <c r="G1476" s="24">
        <v>1475</v>
      </c>
      <c r="H1476" s="25">
        <f>S0_</f>
        <v>100</v>
      </c>
      <c r="I1476" s="25">
        <f ca="1">S0_*EXP((mu_-sigma_^2/2)*Dt_+sigma_*SQRT(Dt_)*_xlfn.NORM.INV(RAND(),0,1))</f>
        <v>102.044599158302</v>
      </c>
      <c r="J1476" s="25">
        <f ca="1">MAX(k_-I1476,0)*EXP(-rs_*T_)</f>
        <v>0</v>
      </c>
      <c r="K1476" s="25">
        <v>1.98516445519506</v>
      </c>
      <c r="L1476" s="25">
        <v>1.41516445519506</v>
      </c>
      <c r="M1476" s="28">
        <v>0</v>
      </c>
      <c r="N1476" s="28">
        <v>0</v>
      </c>
    </row>
    <row r="1477" spans="7:14">
      <c r="G1477" s="24">
        <v>1476</v>
      </c>
      <c r="H1477" s="25">
        <f>S0_</f>
        <v>100</v>
      </c>
      <c r="I1477" s="25">
        <f ca="1">S0_*EXP((mu_-sigma_^2/2)*Dt_+sigma_*SQRT(Dt_)*_xlfn.NORM.INV(RAND(),0,1))</f>
        <v>104.475823681695</v>
      </c>
      <c r="J1477" s="25">
        <f ca="1">MAX(k_-I1477,0)*EXP(-rs_*T_)</f>
        <v>0</v>
      </c>
      <c r="K1477" s="25">
        <v>4.34571541543512</v>
      </c>
      <c r="L1477" s="25">
        <v>3.77571541543512</v>
      </c>
      <c r="M1477" s="28">
        <v>0</v>
      </c>
      <c r="N1477" s="28">
        <v>0</v>
      </c>
    </row>
    <row r="1478" spans="7:14">
      <c r="G1478" s="24">
        <v>1477</v>
      </c>
      <c r="H1478" s="25">
        <f>S0_</f>
        <v>100</v>
      </c>
      <c r="I1478" s="25">
        <f ca="1">S0_*EXP((mu_-sigma_^2/2)*Dt_+sigma_*SQRT(Dt_)*_xlfn.NORM.INV(RAND(),0,1))</f>
        <v>103.432839900926</v>
      </c>
      <c r="J1478" s="25">
        <f ca="1">MAX(k_-I1478,0)*EXP(-rs_*T_)</f>
        <v>0</v>
      </c>
      <c r="K1478" s="25">
        <v>3.33305025780775</v>
      </c>
      <c r="L1478" s="25">
        <v>2.76305025780775</v>
      </c>
      <c r="M1478" s="28">
        <v>0</v>
      </c>
      <c r="N1478" s="28">
        <v>0</v>
      </c>
    </row>
    <row r="1479" spans="7:14">
      <c r="G1479" s="24">
        <v>1478</v>
      </c>
      <c r="H1479" s="25">
        <f>S0_</f>
        <v>100</v>
      </c>
      <c r="I1479" s="25">
        <f ca="1">S0_*EXP((mu_-sigma_^2/2)*Dt_+sigma_*SQRT(Dt_)*_xlfn.NORM.INV(RAND(),0,1))</f>
        <v>87.9628329295391</v>
      </c>
      <c r="J1479" s="25">
        <f ca="1">MAX(k_-I1479,0)*EXP(-rs_*T_)</f>
        <v>8.77446455511267</v>
      </c>
      <c r="K1479" s="25">
        <v>-11.6872571880363</v>
      </c>
      <c r="L1479" s="25">
        <v>-3.48279263292358</v>
      </c>
      <c r="M1479" s="28">
        <v>1</v>
      </c>
      <c r="N1479" s="28">
        <v>1</v>
      </c>
    </row>
    <row r="1480" spans="7:14">
      <c r="G1480" s="24">
        <v>1479</v>
      </c>
      <c r="H1480" s="25">
        <f>S0_</f>
        <v>100</v>
      </c>
      <c r="I1480" s="25">
        <f ca="1">S0_*EXP((mu_-sigma_^2/2)*Dt_+sigma_*SQRT(Dt_)*_xlfn.NORM.INV(RAND(),0,1))</f>
        <v>108.650830429286</v>
      </c>
      <c r="J1480" s="25">
        <f ca="1">MAX(k_-I1480,0)*EXP(-rs_*T_)</f>
        <v>0</v>
      </c>
      <c r="K1480" s="25">
        <v>8.39935838103204</v>
      </c>
      <c r="L1480" s="25">
        <v>7.82935838103204</v>
      </c>
      <c r="M1480" s="28">
        <v>0</v>
      </c>
      <c r="N1480" s="28">
        <v>0</v>
      </c>
    </row>
    <row r="1481" spans="7:14">
      <c r="G1481" s="24">
        <v>1480</v>
      </c>
      <c r="H1481" s="25">
        <f>S0_</f>
        <v>100</v>
      </c>
      <c r="I1481" s="25">
        <f ca="1">S0_*EXP((mu_-sigma_^2/2)*Dt_+sigma_*SQRT(Dt_)*_xlfn.NORM.INV(RAND(),0,1))</f>
        <v>113.170479418463</v>
      </c>
      <c r="J1481" s="25">
        <f ca="1">MAX(k_-I1481,0)*EXP(-rs_*T_)</f>
        <v>0</v>
      </c>
      <c r="K1481" s="25">
        <v>12.7876251407238</v>
      </c>
      <c r="L1481" s="25">
        <v>12.2176251407238</v>
      </c>
      <c r="M1481" s="28">
        <v>0</v>
      </c>
      <c r="N1481" s="28">
        <v>0</v>
      </c>
    </row>
    <row r="1482" spans="7:14">
      <c r="G1482" s="24">
        <v>1481</v>
      </c>
      <c r="H1482" s="25">
        <f>S0_</f>
        <v>100</v>
      </c>
      <c r="I1482" s="25">
        <f ca="1">S0_*EXP((mu_-sigma_^2/2)*Dt_+sigma_*SQRT(Dt_)*_xlfn.NORM.INV(RAND(),0,1))</f>
        <v>115.850549796971</v>
      </c>
      <c r="J1482" s="25">
        <f ca="1">MAX(k_-I1482,0)*EXP(-rs_*T_)</f>
        <v>0</v>
      </c>
      <c r="K1482" s="25">
        <v>15.389788225469</v>
      </c>
      <c r="L1482" s="25">
        <v>14.819788225469</v>
      </c>
      <c r="M1482" s="28">
        <v>0</v>
      </c>
      <c r="N1482" s="28">
        <v>0</v>
      </c>
    </row>
    <row r="1483" spans="7:14">
      <c r="G1483" s="24">
        <v>1482</v>
      </c>
      <c r="H1483" s="25">
        <f>S0_</f>
        <v>100</v>
      </c>
      <c r="I1483" s="25">
        <f ca="1">S0_*EXP((mu_-sigma_^2/2)*Dt_+sigma_*SQRT(Dt_)*_xlfn.NORM.INV(RAND(),0,1))</f>
        <v>110.150092278923</v>
      </c>
      <c r="J1483" s="25">
        <f ca="1">MAX(k_-I1483,0)*EXP(-rs_*T_)</f>
        <v>0</v>
      </c>
      <c r="K1483" s="25">
        <v>9.8550380045138</v>
      </c>
      <c r="L1483" s="25">
        <v>9.2850380045138</v>
      </c>
      <c r="M1483" s="28">
        <v>0</v>
      </c>
      <c r="N1483" s="28">
        <v>0</v>
      </c>
    </row>
    <row r="1484" spans="7:14">
      <c r="G1484" s="24">
        <v>1483</v>
      </c>
      <c r="H1484" s="25">
        <f>S0_</f>
        <v>100</v>
      </c>
      <c r="I1484" s="25">
        <f ca="1">S0_*EXP((mu_-sigma_^2/2)*Dt_+sigma_*SQRT(Dt_)*_xlfn.NORM.INV(RAND(),0,1))</f>
        <v>108.168116515268</v>
      </c>
      <c r="J1484" s="25">
        <f ca="1">MAX(k_-I1484,0)*EXP(-rs_*T_)</f>
        <v>0</v>
      </c>
      <c r="K1484" s="25">
        <v>7.9306765368444</v>
      </c>
      <c r="L1484" s="25">
        <v>7.3606765368444</v>
      </c>
      <c r="M1484" s="28">
        <v>0</v>
      </c>
      <c r="N1484" s="28">
        <v>0</v>
      </c>
    </row>
    <row r="1485" spans="7:14">
      <c r="G1485" s="24">
        <v>1484</v>
      </c>
      <c r="H1485" s="25">
        <f>S0_</f>
        <v>100</v>
      </c>
      <c r="I1485" s="25">
        <f ca="1">S0_*EXP((mu_-sigma_^2/2)*Dt_+sigma_*SQRT(Dt_)*_xlfn.NORM.INV(RAND(),0,1))</f>
        <v>96.5797174026676</v>
      </c>
      <c r="J1485" s="25">
        <f ca="1">MAX(k_-I1485,0)*EXP(-rs_*T_)</f>
        <v>0.408065351085229</v>
      </c>
      <c r="K1485" s="25">
        <v>-3.32085798400881</v>
      </c>
      <c r="L1485" s="25">
        <v>-3.48279263292358</v>
      </c>
      <c r="M1485" s="28">
        <v>1</v>
      </c>
      <c r="N1485" s="28">
        <v>1</v>
      </c>
    </row>
    <row r="1486" spans="7:14">
      <c r="G1486" s="24">
        <v>1485</v>
      </c>
      <c r="H1486" s="25">
        <f>S0_</f>
        <v>100</v>
      </c>
      <c r="I1486" s="25">
        <f ca="1">S0_*EXP((mu_-sigma_^2/2)*Dt_+sigma_*SQRT(Dt_)*_xlfn.NORM.INV(RAND(),0,1))</f>
        <v>94.2602684694908</v>
      </c>
      <c r="J1486" s="25">
        <f ca="1">MAX(k_-I1486,0)*EXP(-rs_*T_)</f>
        <v>2.66008993941858</v>
      </c>
      <c r="K1486" s="25">
        <v>-5.57288257234216</v>
      </c>
      <c r="L1486" s="25">
        <v>-3.48279263292358</v>
      </c>
      <c r="M1486" s="28">
        <v>1</v>
      </c>
      <c r="N1486" s="28">
        <v>1</v>
      </c>
    </row>
    <row r="1487" spans="7:14">
      <c r="G1487" s="24">
        <v>1486</v>
      </c>
      <c r="H1487" s="25">
        <f>S0_</f>
        <v>100</v>
      </c>
      <c r="I1487" s="25">
        <f ca="1">S0_*EXP((mu_-sigma_^2/2)*Dt_+sigma_*SQRT(Dt_)*_xlfn.NORM.INV(RAND(),0,1))</f>
        <v>104.781639740795</v>
      </c>
      <c r="J1487" s="25">
        <f ca="1">MAX(k_-I1487,0)*EXP(-rs_*T_)</f>
        <v>0</v>
      </c>
      <c r="K1487" s="25">
        <v>4.64264167009446</v>
      </c>
      <c r="L1487" s="25">
        <v>4.07264167009446</v>
      </c>
      <c r="M1487" s="28">
        <v>0</v>
      </c>
      <c r="N1487" s="28">
        <v>0</v>
      </c>
    </row>
    <row r="1488" spans="7:14">
      <c r="G1488" s="24">
        <v>1487</v>
      </c>
      <c r="H1488" s="25">
        <f>S0_</f>
        <v>100</v>
      </c>
      <c r="I1488" s="25">
        <f ca="1">S0_*EXP((mu_-sigma_^2/2)*Dt_+sigma_*SQRT(Dt_)*_xlfn.NORM.INV(RAND(),0,1))</f>
        <v>100.097645333645</v>
      </c>
      <c r="J1488" s="25">
        <f ca="1">MAX(k_-I1488,0)*EXP(-rs_*T_)</f>
        <v>0</v>
      </c>
      <c r="K1488" s="25">
        <v>0.0948068694938568</v>
      </c>
      <c r="L1488" s="25">
        <v>-0.475193130506143</v>
      </c>
      <c r="M1488" s="28">
        <v>0</v>
      </c>
      <c r="N1488" s="28">
        <v>1</v>
      </c>
    </row>
    <row r="1489" spans="7:14">
      <c r="G1489" s="24">
        <v>1488</v>
      </c>
      <c r="H1489" s="25">
        <f>S0_</f>
        <v>100</v>
      </c>
      <c r="I1489" s="25">
        <f ca="1">S0_*EXP((mu_-sigma_^2/2)*Dt_+sigma_*SQRT(Dt_)*_xlfn.NORM.INV(RAND(),0,1))</f>
        <v>97.7129361977386</v>
      </c>
      <c r="J1489" s="25">
        <f ca="1">MAX(k_-I1489,0)*EXP(-rs_*T_)</f>
        <v>0</v>
      </c>
      <c r="K1489" s="25">
        <v>-2.22058086475104</v>
      </c>
      <c r="L1489" s="25">
        <v>-2.79058086475104</v>
      </c>
      <c r="M1489" s="28">
        <v>1</v>
      </c>
      <c r="N1489" s="28">
        <v>1</v>
      </c>
    </row>
    <row r="1490" spans="7:14">
      <c r="G1490" s="24">
        <v>1489</v>
      </c>
      <c r="H1490" s="25">
        <f>S0_</f>
        <v>100</v>
      </c>
      <c r="I1490" s="25">
        <f ca="1">S0_*EXP((mu_-sigma_^2/2)*Dt_+sigma_*SQRT(Dt_)*_xlfn.NORM.INV(RAND(),0,1))</f>
        <v>91.6257245916554</v>
      </c>
      <c r="J1490" s="25">
        <f ca="1">MAX(k_-I1490,0)*EXP(-rs_*T_)</f>
        <v>5.21804993890948</v>
      </c>
      <c r="K1490" s="25">
        <v>-8.13084257183307</v>
      </c>
      <c r="L1490" s="25">
        <v>-3.48279263292358</v>
      </c>
      <c r="M1490" s="28">
        <v>1</v>
      </c>
      <c r="N1490" s="28">
        <v>1</v>
      </c>
    </row>
    <row r="1491" spans="7:14">
      <c r="G1491" s="24">
        <v>1490</v>
      </c>
      <c r="H1491" s="25">
        <f>S0_</f>
        <v>100</v>
      </c>
      <c r="I1491" s="25">
        <f ca="1">S0_*EXP((mu_-sigma_^2/2)*Dt_+sigma_*SQRT(Dt_)*_xlfn.NORM.INV(RAND(),0,1))</f>
        <v>103.89054727617</v>
      </c>
      <c r="J1491" s="25">
        <f ca="1">MAX(k_-I1491,0)*EXP(-rs_*T_)</f>
        <v>0</v>
      </c>
      <c r="K1491" s="25">
        <v>3.77745248135676</v>
      </c>
      <c r="L1491" s="25">
        <v>3.20745248135676</v>
      </c>
      <c r="M1491" s="28">
        <v>0</v>
      </c>
      <c r="N1491" s="28">
        <v>0</v>
      </c>
    </row>
    <row r="1492" spans="7:14">
      <c r="G1492" s="24">
        <v>1491</v>
      </c>
      <c r="H1492" s="25">
        <f>S0_</f>
        <v>100</v>
      </c>
      <c r="I1492" s="25">
        <f ca="1">S0_*EXP((mu_-sigma_^2/2)*Dt_+sigma_*SQRT(Dt_)*_xlfn.NORM.INV(RAND(),0,1))</f>
        <v>89.7661330530024</v>
      </c>
      <c r="J1492" s="25">
        <f ca="1">MAX(k_-I1492,0)*EXP(-rs_*T_)</f>
        <v>7.02358478358799</v>
      </c>
      <c r="K1492" s="25">
        <v>-9.93637741651157</v>
      </c>
      <c r="L1492" s="25">
        <v>-3.48279263292358</v>
      </c>
      <c r="M1492" s="28">
        <v>1</v>
      </c>
      <c r="N1492" s="28">
        <v>1</v>
      </c>
    </row>
    <row r="1493" spans="7:14">
      <c r="G1493" s="24">
        <v>1492</v>
      </c>
      <c r="H1493" s="25">
        <f>S0_</f>
        <v>100</v>
      </c>
      <c r="I1493" s="25">
        <f ca="1">S0_*EXP((mu_-sigma_^2/2)*Dt_+sigma_*SQRT(Dt_)*_xlfn.NORM.INV(RAND(),0,1))</f>
        <v>111.681199150915</v>
      </c>
      <c r="J1493" s="25">
        <f ca="1">MAX(k_-I1493,0)*EXP(-rs_*T_)</f>
        <v>0</v>
      </c>
      <c r="K1493" s="25">
        <v>11.3416369434995</v>
      </c>
      <c r="L1493" s="25">
        <v>10.7716369434995</v>
      </c>
      <c r="M1493" s="28">
        <v>0</v>
      </c>
      <c r="N1493" s="28">
        <v>0</v>
      </c>
    </row>
    <row r="1494" spans="7:14">
      <c r="G1494" s="24">
        <v>1493</v>
      </c>
      <c r="H1494" s="25">
        <f>S0_</f>
        <v>100</v>
      </c>
      <c r="I1494" s="25">
        <f ca="1">S0_*EXP((mu_-sigma_^2/2)*Dt_+sigma_*SQRT(Dt_)*_xlfn.NORM.INV(RAND(),0,1))</f>
        <v>105.121398988165</v>
      </c>
      <c r="J1494" s="25">
        <f ca="1">MAX(k_-I1494,0)*EXP(-rs_*T_)</f>
        <v>0</v>
      </c>
      <c r="K1494" s="25">
        <v>4.97252441432965</v>
      </c>
      <c r="L1494" s="25">
        <v>4.40252441432965</v>
      </c>
      <c r="M1494" s="28">
        <v>0</v>
      </c>
      <c r="N1494" s="28">
        <v>0</v>
      </c>
    </row>
    <row r="1495" spans="7:14">
      <c r="G1495" s="24">
        <v>1494</v>
      </c>
      <c r="H1495" s="25">
        <f>S0_</f>
        <v>100</v>
      </c>
      <c r="I1495" s="25">
        <f ca="1">S0_*EXP((mu_-sigma_^2/2)*Dt_+sigma_*SQRT(Dt_)*_xlfn.NORM.INV(RAND(),0,1))</f>
        <v>93.6490519559514</v>
      </c>
      <c r="J1495" s="25">
        <f ca="1">MAX(k_-I1495,0)*EXP(-rs_*T_)</f>
        <v>3.25353892533816</v>
      </c>
      <c r="K1495" s="25">
        <v>-6.16633155826174</v>
      </c>
      <c r="L1495" s="25">
        <v>-3.48279263292358</v>
      </c>
      <c r="M1495" s="28">
        <v>1</v>
      </c>
      <c r="N1495" s="28">
        <v>1</v>
      </c>
    </row>
    <row r="1496" spans="7:14">
      <c r="G1496" s="24">
        <v>1495</v>
      </c>
      <c r="H1496" s="25">
        <f>S0_</f>
        <v>100</v>
      </c>
      <c r="I1496" s="25">
        <f ca="1">S0_*EXP((mu_-sigma_^2/2)*Dt_+sigma_*SQRT(Dt_)*_xlfn.NORM.INV(RAND(),0,1))</f>
        <v>103.232838014041</v>
      </c>
      <c r="J1496" s="25">
        <f ca="1">MAX(k_-I1496,0)*EXP(-rs_*T_)</f>
        <v>0</v>
      </c>
      <c r="K1496" s="25">
        <v>3.13886225024448</v>
      </c>
      <c r="L1496" s="25">
        <v>2.56886225024449</v>
      </c>
      <c r="M1496" s="28">
        <v>0</v>
      </c>
      <c r="N1496" s="28">
        <v>0</v>
      </c>
    </row>
    <row r="1497" spans="7:14">
      <c r="G1497" s="24">
        <v>1496</v>
      </c>
      <c r="H1497" s="25">
        <f>S0_</f>
        <v>100</v>
      </c>
      <c r="I1497" s="25">
        <f ca="1">S0_*EXP((mu_-sigma_^2/2)*Dt_+sigma_*SQRT(Dt_)*_xlfn.NORM.INV(RAND(),0,1))</f>
        <v>105.362552835072</v>
      </c>
      <c r="J1497" s="25">
        <f ca="1">MAX(k_-I1497,0)*EXP(-rs_*T_)</f>
        <v>0</v>
      </c>
      <c r="K1497" s="25">
        <v>5.20666813055373</v>
      </c>
      <c r="L1497" s="25">
        <v>4.63666813055373</v>
      </c>
      <c r="M1497" s="28">
        <v>0</v>
      </c>
      <c r="N1497" s="28">
        <v>0</v>
      </c>
    </row>
    <row r="1498" spans="7:14">
      <c r="G1498" s="24">
        <v>1497</v>
      </c>
      <c r="H1498" s="25">
        <f>S0_</f>
        <v>100</v>
      </c>
      <c r="I1498" s="25">
        <f ca="1">S0_*EXP((mu_-sigma_^2/2)*Dt_+sigma_*SQRT(Dt_)*_xlfn.NORM.INV(RAND(),0,1))</f>
        <v>100.463550199832</v>
      </c>
      <c r="J1498" s="25">
        <f ca="1">MAX(k_-I1498,0)*EXP(-rs_*T_)</f>
        <v>0</v>
      </c>
      <c r="K1498" s="25">
        <v>0.450075202354021</v>
      </c>
      <c r="L1498" s="25">
        <v>-0.119924797645979</v>
      </c>
      <c r="M1498" s="28">
        <v>0</v>
      </c>
      <c r="N1498" s="28">
        <v>1</v>
      </c>
    </row>
    <row r="1499" spans="7:14">
      <c r="G1499" s="24">
        <v>1498</v>
      </c>
      <c r="H1499" s="25">
        <f>S0_</f>
        <v>100</v>
      </c>
      <c r="I1499" s="25">
        <f ca="1">S0_*EXP((mu_-sigma_^2/2)*Dt_+sigma_*SQRT(Dt_)*_xlfn.NORM.INV(RAND(),0,1))</f>
        <v>102.464088397016</v>
      </c>
      <c r="J1499" s="25">
        <f ca="1">MAX(k_-I1499,0)*EXP(-rs_*T_)</f>
        <v>0</v>
      </c>
      <c r="K1499" s="25">
        <v>2.39245950990031</v>
      </c>
      <c r="L1499" s="25">
        <v>1.82245950990031</v>
      </c>
      <c r="M1499" s="28">
        <v>0</v>
      </c>
      <c r="N1499" s="28">
        <v>0</v>
      </c>
    </row>
    <row r="1500" spans="7:14">
      <c r="G1500" s="24">
        <v>1499</v>
      </c>
      <c r="H1500" s="25">
        <f>S0_</f>
        <v>100</v>
      </c>
      <c r="I1500" s="25">
        <f ca="1">S0_*EXP((mu_-sigma_^2/2)*Dt_+sigma_*SQRT(Dt_)*_xlfn.NORM.INV(RAND(),0,1))</f>
        <v>95.7721923459202</v>
      </c>
      <c r="J1500" s="25">
        <f ca="1">MAX(k_-I1500,0)*EXP(-rs_*T_)</f>
        <v>1.19211636315025</v>
      </c>
      <c r="K1500" s="25">
        <v>-4.10490899607383</v>
      </c>
      <c r="L1500" s="25">
        <v>-3.48279263292358</v>
      </c>
      <c r="M1500" s="28">
        <v>1</v>
      </c>
      <c r="N1500" s="28">
        <v>1</v>
      </c>
    </row>
    <row r="1501" spans="7:14">
      <c r="G1501" s="24">
        <v>1500</v>
      </c>
      <c r="H1501" s="25">
        <f>S0_</f>
        <v>100</v>
      </c>
      <c r="I1501" s="25">
        <f ca="1">S0_*EXP((mu_-sigma_^2/2)*Dt_+sigma_*SQRT(Dt_)*_xlfn.NORM.INV(RAND(),0,1))</f>
        <v>107.712488184189</v>
      </c>
      <c r="J1501" s="25">
        <f ca="1">MAX(k_-I1501,0)*EXP(-rs_*T_)</f>
        <v>0</v>
      </c>
      <c r="K1501" s="25">
        <v>7.48829292147152</v>
      </c>
      <c r="L1501" s="25">
        <v>6.91829292147152</v>
      </c>
      <c r="M1501" s="28">
        <v>0</v>
      </c>
      <c r="N1501" s="28">
        <v>0</v>
      </c>
    </row>
    <row r="1502" spans="7:14">
      <c r="G1502" s="24">
        <v>1501</v>
      </c>
      <c r="H1502" s="25">
        <f>S0_</f>
        <v>100</v>
      </c>
      <c r="I1502" s="25">
        <f ca="1">S0_*EXP((mu_-sigma_^2/2)*Dt_+sigma_*SQRT(Dt_)*_xlfn.NORM.INV(RAND(),0,1))</f>
        <v>94.9243464742253</v>
      </c>
      <c r="J1502" s="25">
        <f ca="1">MAX(k_-I1502,0)*EXP(-rs_*T_)</f>
        <v>2.01531609945947</v>
      </c>
      <c r="K1502" s="25">
        <v>-4.92810873238305</v>
      </c>
      <c r="L1502" s="25">
        <v>-3.48279263292358</v>
      </c>
      <c r="M1502" s="28">
        <v>1</v>
      </c>
      <c r="N1502" s="28">
        <v>1</v>
      </c>
    </row>
    <row r="1503" spans="7:14">
      <c r="G1503" s="24">
        <v>1502</v>
      </c>
      <c r="H1503" s="25">
        <f>S0_</f>
        <v>100</v>
      </c>
      <c r="I1503" s="25">
        <f ca="1">S0_*EXP((mu_-sigma_^2/2)*Dt_+sigma_*SQRT(Dt_)*_xlfn.NORM.INV(RAND(),0,1))</f>
        <v>100.319691645811</v>
      </c>
      <c r="J1503" s="25">
        <f ca="1">MAX(k_-I1503,0)*EXP(-rs_*T_)</f>
        <v>0</v>
      </c>
      <c r="K1503" s="25">
        <v>0.310398490241368</v>
      </c>
      <c r="L1503" s="25">
        <v>-0.259601509758632</v>
      </c>
      <c r="M1503" s="28">
        <v>0</v>
      </c>
      <c r="N1503" s="28">
        <v>1</v>
      </c>
    </row>
    <row r="1504" spans="7:14">
      <c r="G1504" s="24">
        <v>1503</v>
      </c>
      <c r="H1504" s="25">
        <f>S0_</f>
        <v>100</v>
      </c>
      <c r="I1504" s="25">
        <f ca="1">S0_*EXP((mu_-sigma_^2/2)*Dt_+sigma_*SQRT(Dt_)*_xlfn.NORM.INV(RAND(),0,1))</f>
        <v>113.867826128144</v>
      </c>
      <c r="J1504" s="25">
        <f ca="1">MAX(k_-I1504,0)*EXP(-rs_*T_)</f>
        <v>0</v>
      </c>
      <c r="K1504" s="25">
        <v>13.4647005935743</v>
      </c>
      <c r="L1504" s="25">
        <v>12.8947005935743</v>
      </c>
      <c r="M1504" s="28">
        <v>0</v>
      </c>
      <c r="N1504" s="28">
        <v>0</v>
      </c>
    </row>
    <row r="1505" spans="7:14">
      <c r="G1505" s="24">
        <v>1504</v>
      </c>
      <c r="H1505" s="25">
        <f>S0_</f>
        <v>100</v>
      </c>
      <c r="I1505" s="25">
        <f ca="1">S0_*EXP((mu_-sigma_^2/2)*Dt_+sigma_*SQRT(Dt_)*_xlfn.NORM.INV(RAND(),0,1))</f>
        <v>104.782023606199</v>
      </c>
      <c r="J1505" s="25">
        <f ca="1">MAX(k_-I1505,0)*EXP(-rs_*T_)</f>
        <v>0</v>
      </c>
      <c r="K1505" s="25">
        <v>4.64301437686803</v>
      </c>
      <c r="L1505" s="25">
        <v>4.07301437686803</v>
      </c>
      <c r="M1505" s="28">
        <v>0</v>
      </c>
      <c r="N1505" s="28">
        <v>0</v>
      </c>
    </row>
    <row r="1506" spans="7:14">
      <c r="G1506" s="24">
        <v>1505</v>
      </c>
      <c r="H1506" s="25">
        <f>S0_</f>
        <v>100</v>
      </c>
      <c r="I1506" s="25">
        <f ca="1">S0_*EXP((mu_-sigma_^2/2)*Dt_+sigma_*SQRT(Dt_)*_xlfn.NORM.INV(RAND(),0,1))</f>
        <v>110.9577668773</v>
      </c>
      <c r="J1506" s="25">
        <f ca="1">MAX(k_-I1506,0)*EXP(-rs_*T_)</f>
        <v>0</v>
      </c>
      <c r="K1506" s="25">
        <v>10.6392342111647</v>
      </c>
      <c r="L1506" s="25">
        <v>10.0692342111647</v>
      </c>
      <c r="M1506" s="28">
        <v>0</v>
      </c>
      <c r="N1506" s="28">
        <v>0</v>
      </c>
    </row>
    <row r="1507" spans="7:14">
      <c r="G1507" s="24">
        <v>1506</v>
      </c>
      <c r="H1507" s="25">
        <f>S0_</f>
        <v>100</v>
      </c>
      <c r="I1507" s="25">
        <f ca="1">S0_*EXP((mu_-sigma_^2/2)*Dt_+sigma_*SQRT(Dt_)*_xlfn.NORM.INV(RAND(),0,1))</f>
        <v>99.3529151712085</v>
      </c>
      <c r="J1507" s="25">
        <f ca="1">MAX(k_-I1507,0)*EXP(-rs_*T_)</f>
        <v>0</v>
      </c>
      <c r="K1507" s="25">
        <v>-0.628274640726839</v>
      </c>
      <c r="L1507" s="25">
        <v>-1.19827464072684</v>
      </c>
      <c r="M1507" s="28">
        <v>1</v>
      </c>
      <c r="N1507" s="28">
        <v>1</v>
      </c>
    </row>
    <row r="1508" spans="7:14">
      <c r="G1508" s="24">
        <v>1507</v>
      </c>
      <c r="H1508" s="25">
        <f>S0_</f>
        <v>100</v>
      </c>
      <c r="I1508" s="25">
        <f ca="1">S0_*EXP((mu_-sigma_^2/2)*Dt_+sigma_*SQRT(Dt_)*_xlfn.NORM.INV(RAND(),0,1))</f>
        <v>100.75331404674</v>
      </c>
      <c r="J1508" s="25">
        <f ca="1">MAX(k_-I1508,0)*EXP(-rs_*T_)</f>
        <v>0</v>
      </c>
      <c r="K1508" s="25">
        <v>0.731415868540765</v>
      </c>
      <c r="L1508" s="25">
        <v>0.161415868540765</v>
      </c>
      <c r="M1508" s="28">
        <v>0</v>
      </c>
      <c r="N1508" s="28">
        <v>0</v>
      </c>
    </row>
    <row r="1509" spans="7:14">
      <c r="G1509" s="24">
        <v>1508</v>
      </c>
      <c r="H1509" s="25">
        <f>S0_</f>
        <v>100</v>
      </c>
      <c r="I1509" s="25">
        <f ca="1">S0_*EXP((mu_-sigma_^2/2)*Dt_+sigma_*SQRT(Dt_)*_xlfn.NORM.INV(RAND(),0,1))</f>
        <v>116.487121444517</v>
      </c>
      <c r="J1509" s="25">
        <f ca="1">MAX(k_-I1509,0)*EXP(-rs_*T_)</f>
        <v>0</v>
      </c>
      <c r="K1509" s="25">
        <v>16.0078552939015</v>
      </c>
      <c r="L1509" s="25">
        <v>15.4378552939015</v>
      </c>
      <c r="M1509" s="28">
        <v>0</v>
      </c>
      <c r="N1509" s="28">
        <v>0</v>
      </c>
    </row>
    <row r="1510" spans="7:14">
      <c r="G1510" s="24">
        <v>1509</v>
      </c>
      <c r="H1510" s="25">
        <f>S0_</f>
        <v>100</v>
      </c>
      <c r="I1510" s="25">
        <f ca="1">S0_*EXP((mu_-sigma_^2/2)*Dt_+sigma_*SQRT(Dt_)*_xlfn.NORM.INV(RAND(),0,1))</f>
        <v>99.7816551051742</v>
      </c>
      <c r="J1510" s="25">
        <f ca="1">MAX(k_-I1510,0)*EXP(-rs_*T_)</f>
        <v>0</v>
      </c>
      <c r="K1510" s="25">
        <v>-0.21199780036172</v>
      </c>
      <c r="L1510" s="25">
        <v>-0.78199780036172</v>
      </c>
      <c r="M1510" s="28">
        <v>1</v>
      </c>
      <c r="N1510" s="28">
        <v>1</v>
      </c>
    </row>
    <row r="1511" spans="7:14">
      <c r="G1511" s="24">
        <v>1510</v>
      </c>
      <c r="H1511" s="25">
        <f>S0_</f>
        <v>100</v>
      </c>
      <c r="I1511" s="25">
        <f ca="1">S0_*EXP((mu_-sigma_^2/2)*Dt_+sigma_*SQRT(Dt_)*_xlfn.NORM.INV(RAND(),0,1))</f>
        <v>107.088432514875</v>
      </c>
      <c r="J1511" s="25">
        <f ca="1">MAX(k_-I1511,0)*EXP(-rs_*T_)</f>
        <v>0</v>
      </c>
      <c r="K1511" s="25">
        <v>6.88237800276794</v>
      </c>
      <c r="L1511" s="25">
        <v>6.31237800276794</v>
      </c>
      <c r="M1511" s="28">
        <v>0</v>
      </c>
      <c r="N1511" s="28">
        <v>0</v>
      </c>
    </row>
    <row r="1512" spans="7:14">
      <c r="G1512" s="24">
        <v>1511</v>
      </c>
      <c r="H1512" s="25">
        <f>S0_</f>
        <v>100</v>
      </c>
      <c r="I1512" s="25">
        <f ca="1">S0_*EXP((mu_-sigma_^2/2)*Dt_+sigma_*SQRT(Dt_)*_xlfn.NORM.INV(RAND(),0,1))</f>
        <v>110.043704617185</v>
      </c>
      <c r="J1512" s="25">
        <f ca="1">MAX(k_-I1512,0)*EXP(-rs_*T_)</f>
        <v>0</v>
      </c>
      <c r="K1512" s="25">
        <v>9.75174293873208</v>
      </c>
      <c r="L1512" s="25">
        <v>9.18174293873208</v>
      </c>
      <c r="M1512" s="28">
        <v>0</v>
      </c>
      <c r="N1512" s="28">
        <v>0</v>
      </c>
    </row>
    <row r="1513" spans="7:14">
      <c r="G1513" s="24">
        <v>1512</v>
      </c>
      <c r="H1513" s="25">
        <f>S0_</f>
        <v>100</v>
      </c>
      <c r="I1513" s="25">
        <f ca="1">S0_*EXP((mu_-sigma_^2/2)*Dt_+sigma_*SQRT(Dt_)*_xlfn.NORM.INV(RAND(),0,1))</f>
        <v>118.755049335705</v>
      </c>
      <c r="J1513" s="25">
        <f ca="1">MAX(k_-I1513,0)*EXP(-rs_*T_)</f>
        <v>0</v>
      </c>
      <c r="K1513" s="25">
        <v>18.2098565117198</v>
      </c>
      <c r="L1513" s="25">
        <v>17.6398565117198</v>
      </c>
      <c r="M1513" s="28">
        <v>0</v>
      </c>
      <c r="N1513" s="28">
        <v>0</v>
      </c>
    </row>
    <row r="1514" spans="7:14">
      <c r="G1514" s="24">
        <v>1513</v>
      </c>
      <c r="H1514" s="25">
        <f>S0_</f>
        <v>100</v>
      </c>
      <c r="I1514" s="25">
        <f ca="1">S0_*EXP((mu_-sigma_^2/2)*Dt_+sigma_*SQRT(Dt_)*_xlfn.NORM.INV(RAND(),0,1))</f>
        <v>99.8229637191436</v>
      </c>
      <c r="J1514" s="25">
        <f ca="1">MAX(k_-I1514,0)*EXP(-rs_*T_)</f>
        <v>0</v>
      </c>
      <c r="K1514" s="25">
        <v>-0.17188999154625</v>
      </c>
      <c r="L1514" s="25">
        <v>-0.74188999154625</v>
      </c>
      <c r="M1514" s="28">
        <v>1</v>
      </c>
      <c r="N1514" s="28">
        <v>1</v>
      </c>
    </row>
    <row r="1515" spans="7:14">
      <c r="G1515" s="24">
        <v>1514</v>
      </c>
      <c r="H1515" s="25">
        <f>S0_</f>
        <v>100</v>
      </c>
      <c r="I1515" s="25">
        <f ca="1">S0_*EXP((mu_-sigma_^2/2)*Dt_+sigma_*SQRT(Dt_)*_xlfn.NORM.INV(RAND(),0,1))</f>
        <v>94.1963853040394</v>
      </c>
      <c r="J1515" s="25">
        <f ca="1">MAX(k_-I1515,0)*EXP(-rs_*T_)</f>
        <v>2.72211607731682</v>
      </c>
      <c r="K1515" s="25">
        <v>-5.6349087102404</v>
      </c>
      <c r="L1515" s="25">
        <v>-3.48279263292358</v>
      </c>
      <c r="M1515" s="28">
        <v>1</v>
      </c>
      <c r="N1515" s="28">
        <v>1</v>
      </c>
    </row>
    <row r="1516" spans="7:14">
      <c r="G1516" s="24">
        <v>1515</v>
      </c>
      <c r="H1516" s="25">
        <f>S0_</f>
        <v>100</v>
      </c>
      <c r="I1516" s="25">
        <f ca="1">S0_*EXP((mu_-sigma_^2/2)*Dt_+sigma_*SQRT(Dt_)*_xlfn.NORM.INV(RAND(),0,1))</f>
        <v>96.2979061566719</v>
      </c>
      <c r="J1516" s="25">
        <f ca="1">MAX(k_-I1516,0)*EXP(-rs_*T_)</f>
        <v>0.681684591489073</v>
      </c>
      <c r="K1516" s="25">
        <v>-3.59447722441266</v>
      </c>
      <c r="L1516" s="25">
        <v>-3.48279263292358</v>
      </c>
      <c r="M1516" s="28">
        <v>1</v>
      </c>
      <c r="N1516" s="28">
        <v>1</v>
      </c>
    </row>
    <row r="1517" spans="7:14">
      <c r="G1517" s="24">
        <v>1516</v>
      </c>
      <c r="H1517" s="25">
        <f>S0_</f>
        <v>100</v>
      </c>
      <c r="I1517" s="25">
        <f ca="1">S0_*EXP((mu_-sigma_^2/2)*Dt_+sigma_*SQRT(Dt_)*_xlfn.NORM.INV(RAND(),0,1))</f>
        <v>104.443682865505</v>
      </c>
      <c r="J1517" s="25">
        <f ca="1">MAX(k_-I1517,0)*EXP(-rs_*T_)</f>
        <v>0</v>
      </c>
      <c r="K1517" s="25">
        <v>4.31450890456374</v>
      </c>
      <c r="L1517" s="25">
        <v>3.74450890456374</v>
      </c>
      <c r="M1517" s="28">
        <v>0</v>
      </c>
      <c r="N1517" s="28">
        <v>0</v>
      </c>
    </row>
    <row r="1518" spans="7:14">
      <c r="G1518" s="24">
        <v>1517</v>
      </c>
      <c r="H1518" s="25">
        <f>S0_</f>
        <v>100</v>
      </c>
      <c r="I1518" s="25">
        <f ca="1">S0_*EXP((mu_-sigma_^2/2)*Dt_+sigma_*SQRT(Dt_)*_xlfn.NORM.INV(RAND(),0,1))</f>
        <v>104.650139316141</v>
      </c>
      <c r="J1518" s="25">
        <f ca="1">MAX(k_-I1518,0)*EXP(-rs_*T_)</f>
        <v>0</v>
      </c>
      <c r="K1518" s="25">
        <v>4.51496384737452</v>
      </c>
      <c r="L1518" s="25">
        <v>3.94496384737452</v>
      </c>
      <c r="M1518" s="28">
        <v>0</v>
      </c>
      <c r="N1518" s="28">
        <v>0</v>
      </c>
    </row>
    <row r="1519" spans="7:14">
      <c r="G1519" s="24">
        <v>1518</v>
      </c>
      <c r="H1519" s="25">
        <f>S0_</f>
        <v>100</v>
      </c>
      <c r="I1519" s="25">
        <f ca="1">S0_*EXP((mu_-sigma_^2/2)*Dt_+sigma_*SQRT(Dt_)*_xlfn.NORM.INV(RAND(),0,1))</f>
        <v>104.048676999076</v>
      </c>
      <c r="J1519" s="25">
        <f ca="1">MAX(k_-I1519,0)*EXP(-rs_*T_)</f>
        <v>0</v>
      </c>
      <c r="K1519" s="25">
        <v>3.93098551199885</v>
      </c>
      <c r="L1519" s="25">
        <v>3.36098551199885</v>
      </c>
      <c r="M1519" s="28">
        <v>0</v>
      </c>
      <c r="N1519" s="28">
        <v>0</v>
      </c>
    </row>
    <row r="1520" spans="7:14">
      <c r="G1520" s="24">
        <v>1519</v>
      </c>
      <c r="H1520" s="25">
        <f>S0_</f>
        <v>100</v>
      </c>
      <c r="I1520" s="25">
        <f ca="1">S0_*EXP((mu_-sigma_^2/2)*Dt_+sigma_*SQRT(Dt_)*_xlfn.NORM.INV(RAND(),0,1))</f>
        <v>96.0893593285331</v>
      </c>
      <c r="J1520" s="25">
        <f ca="1">MAX(k_-I1520,0)*EXP(-rs_*T_)</f>
        <v>0.88416914636309</v>
      </c>
      <c r="K1520" s="25">
        <v>-3.79696177928667</v>
      </c>
      <c r="L1520" s="25">
        <v>-3.48279263292358</v>
      </c>
      <c r="M1520" s="28">
        <v>1</v>
      </c>
      <c r="N1520" s="28">
        <v>1</v>
      </c>
    </row>
    <row r="1521" spans="7:14">
      <c r="G1521" s="24">
        <v>1520</v>
      </c>
      <c r="H1521" s="25">
        <f>S0_</f>
        <v>100</v>
      </c>
      <c r="I1521" s="25">
        <f ca="1">S0_*EXP((mu_-sigma_^2/2)*Dt_+sigma_*SQRT(Dt_)*_xlfn.NORM.INV(RAND(),0,1))</f>
        <v>102.272034736239</v>
      </c>
      <c r="J1521" s="25">
        <f ca="1">MAX(k_-I1521,0)*EXP(-rs_*T_)</f>
        <v>0</v>
      </c>
      <c r="K1521" s="25">
        <v>2.20598868048739</v>
      </c>
      <c r="L1521" s="25">
        <v>1.63598868048739</v>
      </c>
      <c r="M1521" s="28">
        <v>0</v>
      </c>
      <c r="N1521" s="28">
        <v>0</v>
      </c>
    </row>
    <row r="1522" spans="7:14">
      <c r="G1522" s="24">
        <v>1521</v>
      </c>
      <c r="H1522" s="25">
        <f>S0_</f>
        <v>100</v>
      </c>
      <c r="I1522" s="25">
        <f ca="1">S0_*EXP((mu_-sigma_^2/2)*Dt_+sigma_*SQRT(Dt_)*_xlfn.NORM.INV(RAND(),0,1))</f>
        <v>110.604325401287</v>
      </c>
      <c r="J1522" s="25">
        <f ca="1">MAX(k_-I1522,0)*EXP(-rs_*T_)</f>
        <v>0</v>
      </c>
      <c r="K1522" s="25">
        <v>10.2960669686645</v>
      </c>
      <c r="L1522" s="25">
        <v>9.72606696866452</v>
      </c>
      <c r="M1522" s="28">
        <v>0</v>
      </c>
      <c r="N1522" s="28">
        <v>0</v>
      </c>
    </row>
    <row r="1523" spans="7:14">
      <c r="G1523" s="24">
        <v>1522</v>
      </c>
      <c r="H1523" s="25">
        <f>S0_</f>
        <v>100</v>
      </c>
      <c r="I1523" s="25">
        <f ca="1">S0_*EXP((mu_-sigma_^2/2)*Dt_+sigma_*SQRT(Dt_)*_xlfn.NORM.INV(RAND(),0,1))</f>
        <v>104.015339381651</v>
      </c>
      <c r="J1523" s="25">
        <f ca="1">MAX(k_-I1523,0)*EXP(-rs_*T_)</f>
        <v>0</v>
      </c>
      <c r="K1523" s="25">
        <v>3.8986169898537</v>
      </c>
      <c r="L1523" s="25">
        <v>3.3286169898537</v>
      </c>
      <c r="M1523" s="28">
        <v>0</v>
      </c>
      <c r="N1523" s="28">
        <v>0</v>
      </c>
    </row>
    <row r="1524" spans="7:14">
      <c r="G1524" s="24">
        <v>1523</v>
      </c>
      <c r="H1524" s="25">
        <f>S0_</f>
        <v>100</v>
      </c>
      <c r="I1524" s="25">
        <f ca="1">S0_*EXP((mu_-sigma_^2/2)*Dt_+sigma_*SQRT(Dt_)*_xlfn.NORM.INV(RAND(),0,1))</f>
        <v>102.497301748295</v>
      </c>
      <c r="J1524" s="25">
        <f ca="1">MAX(k_-I1524,0)*EXP(-rs_*T_)</f>
        <v>0</v>
      </c>
      <c r="K1524" s="25">
        <v>2.42470737820733</v>
      </c>
      <c r="L1524" s="25">
        <v>1.85470737820733</v>
      </c>
      <c r="M1524" s="28">
        <v>0</v>
      </c>
      <c r="N1524" s="28">
        <v>0</v>
      </c>
    </row>
    <row r="1525" spans="7:14">
      <c r="G1525" s="24">
        <v>1524</v>
      </c>
      <c r="H1525" s="25">
        <f>S0_</f>
        <v>100</v>
      </c>
      <c r="I1525" s="25">
        <f ca="1">S0_*EXP((mu_-sigma_^2/2)*Dt_+sigma_*SQRT(Dt_)*_xlfn.NORM.INV(RAND(),0,1))</f>
        <v>100.786578515651</v>
      </c>
      <c r="J1525" s="25">
        <f ca="1">MAX(k_-I1525,0)*EXP(-rs_*T_)</f>
        <v>0</v>
      </c>
      <c r="K1525" s="25">
        <v>0.763713368534652</v>
      </c>
      <c r="L1525" s="25">
        <v>0.193713368534652</v>
      </c>
      <c r="M1525" s="28">
        <v>0</v>
      </c>
      <c r="N1525" s="28">
        <v>0</v>
      </c>
    </row>
    <row r="1526" spans="7:14">
      <c r="G1526" s="24">
        <v>1525</v>
      </c>
      <c r="H1526" s="25">
        <f>S0_</f>
        <v>100</v>
      </c>
      <c r="I1526" s="25">
        <f ca="1">S0_*EXP((mu_-sigma_^2/2)*Dt_+sigma_*SQRT(Dt_)*_xlfn.NORM.INV(RAND(),0,1))</f>
        <v>106.937920919506</v>
      </c>
      <c r="J1526" s="25">
        <f ca="1">MAX(k_-I1526,0)*EXP(-rs_*T_)</f>
        <v>0</v>
      </c>
      <c r="K1526" s="25">
        <v>6.73624164738157</v>
      </c>
      <c r="L1526" s="25">
        <v>6.16624164738157</v>
      </c>
      <c r="M1526" s="28">
        <v>0</v>
      </c>
      <c r="N1526" s="28">
        <v>0</v>
      </c>
    </row>
    <row r="1527" spans="7:14">
      <c r="G1527" s="24">
        <v>1526</v>
      </c>
      <c r="H1527" s="25">
        <f>S0_</f>
        <v>100</v>
      </c>
      <c r="I1527" s="25">
        <f ca="1">S0_*EXP((mu_-sigma_^2/2)*Dt_+sigma_*SQRT(Dt_)*_xlfn.NORM.INV(RAND(),0,1))</f>
        <v>110.059903855466</v>
      </c>
      <c r="J1527" s="25">
        <f ca="1">MAX(k_-I1527,0)*EXP(-rs_*T_)</f>
        <v>0</v>
      </c>
      <c r="K1527" s="25">
        <v>9.76747127937342</v>
      </c>
      <c r="L1527" s="25">
        <v>9.19747127937342</v>
      </c>
      <c r="M1527" s="28">
        <v>0</v>
      </c>
      <c r="N1527" s="28">
        <v>0</v>
      </c>
    </row>
    <row r="1528" spans="7:14">
      <c r="G1528" s="24">
        <v>1527</v>
      </c>
      <c r="H1528" s="25">
        <f>S0_</f>
        <v>100</v>
      </c>
      <c r="I1528" s="25">
        <f ca="1">S0_*EXP((mu_-sigma_^2/2)*Dt_+sigma_*SQRT(Dt_)*_xlfn.NORM.INV(RAND(),0,1))</f>
        <v>101.956145806996</v>
      </c>
      <c r="J1528" s="25">
        <f ca="1">MAX(k_-I1528,0)*EXP(-rs_*T_)</f>
        <v>0</v>
      </c>
      <c r="K1528" s="25">
        <v>1.89928236518087</v>
      </c>
      <c r="L1528" s="25">
        <v>1.32928236518087</v>
      </c>
      <c r="M1528" s="28">
        <v>0</v>
      </c>
      <c r="N1528" s="28">
        <v>0</v>
      </c>
    </row>
    <row r="1529" spans="7:14">
      <c r="G1529" s="24">
        <v>1528</v>
      </c>
      <c r="H1529" s="25">
        <f>S0_</f>
        <v>100</v>
      </c>
      <c r="I1529" s="25">
        <f ca="1">S0_*EXP((mu_-sigma_^2/2)*Dt_+sigma_*SQRT(Dt_)*_xlfn.NORM.INV(RAND(),0,1))</f>
        <v>120.106347513768</v>
      </c>
      <c r="J1529" s="25">
        <f ca="1">MAX(k_-I1529,0)*EXP(-rs_*T_)</f>
        <v>0</v>
      </c>
      <c r="K1529" s="25">
        <v>19.5218736377018</v>
      </c>
      <c r="L1529" s="25">
        <v>18.9518736377018</v>
      </c>
      <c r="M1529" s="28">
        <v>0</v>
      </c>
      <c r="N1529" s="28">
        <v>0</v>
      </c>
    </row>
    <row r="1530" spans="7:14">
      <c r="G1530" s="24">
        <v>1529</v>
      </c>
      <c r="H1530" s="25">
        <f>S0_</f>
        <v>100</v>
      </c>
      <c r="I1530" s="25">
        <f ca="1">S0_*EXP((mu_-sigma_^2/2)*Dt_+sigma_*SQRT(Dt_)*_xlfn.NORM.INV(RAND(),0,1))</f>
        <v>105.17108949573</v>
      </c>
      <c r="J1530" s="25">
        <f ca="1">MAX(k_-I1530,0)*EXP(-rs_*T_)</f>
        <v>0</v>
      </c>
      <c r="K1530" s="25">
        <v>5.02077046245069</v>
      </c>
      <c r="L1530" s="25">
        <v>4.45077046245069</v>
      </c>
      <c r="M1530" s="28">
        <v>0</v>
      </c>
      <c r="N1530" s="28">
        <v>0</v>
      </c>
    </row>
    <row r="1531" spans="7:14">
      <c r="G1531" s="24">
        <v>1530</v>
      </c>
      <c r="H1531" s="25">
        <f>S0_</f>
        <v>100</v>
      </c>
      <c r="I1531" s="25">
        <f ca="1">S0_*EXP((mu_-sigma_^2/2)*Dt_+sigma_*SQRT(Dt_)*_xlfn.NORM.INV(RAND(),0,1))</f>
        <v>121.193512461156</v>
      </c>
      <c r="J1531" s="25">
        <f ca="1">MAX(k_-I1531,0)*EXP(-rs_*T_)</f>
        <v>0</v>
      </c>
      <c r="K1531" s="25">
        <v>20.5774356542098</v>
      </c>
      <c r="L1531" s="25">
        <v>20.0074356542098</v>
      </c>
      <c r="M1531" s="28">
        <v>0</v>
      </c>
      <c r="N1531" s="28">
        <v>0</v>
      </c>
    </row>
    <row r="1532" spans="7:14">
      <c r="G1532" s="24">
        <v>1531</v>
      </c>
      <c r="H1532" s="25">
        <f>S0_</f>
        <v>100</v>
      </c>
      <c r="I1532" s="25">
        <f ca="1">S0_*EXP((mu_-sigma_^2/2)*Dt_+sigma_*SQRT(Dt_)*_xlfn.NORM.INV(RAND(),0,1))</f>
        <v>103.313028448913</v>
      </c>
      <c r="J1532" s="25">
        <f ca="1">MAX(k_-I1532,0)*EXP(-rs_*T_)</f>
        <v>0</v>
      </c>
      <c r="K1532" s="25">
        <v>3.21672161955355</v>
      </c>
      <c r="L1532" s="25">
        <v>2.64672161955355</v>
      </c>
      <c r="M1532" s="28">
        <v>0</v>
      </c>
      <c r="N1532" s="28">
        <v>0</v>
      </c>
    </row>
    <row r="1533" spans="7:14">
      <c r="G1533" s="24">
        <v>1532</v>
      </c>
      <c r="H1533" s="25">
        <f>S0_</f>
        <v>100</v>
      </c>
      <c r="I1533" s="25">
        <f ca="1">S0_*EXP((mu_-sigma_^2/2)*Dt_+sigma_*SQRT(Dt_)*_xlfn.NORM.INV(RAND(),0,1))</f>
        <v>103.106105976992</v>
      </c>
      <c r="J1533" s="25">
        <f ca="1">MAX(k_-I1533,0)*EXP(-rs_*T_)</f>
        <v>0</v>
      </c>
      <c r="K1533" s="25">
        <v>3.01581420228763</v>
      </c>
      <c r="L1533" s="25">
        <v>2.44581420228763</v>
      </c>
      <c r="M1533" s="28">
        <v>0</v>
      </c>
      <c r="N1533" s="28">
        <v>0</v>
      </c>
    </row>
    <row r="1534" spans="7:14">
      <c r="G1534" s="24">
        <v>1533</v>
      </c>
      <c r="H1534" s="25">
        <f>S0_</f>
        <v>100</v>
      </c>
      <c r="I1534" s="25">
        <f ca="1">S0_*EXP((mu_-sigma_^2/2)*Dt_+sigma_*SQRT(Dt_)*_xlfn.NORM.INV(RAND(),0,1))</f>
        <v>94.0992449484112</v>
      </c>
      <c r="J1534" s="25">
        <f ca="1">MAX(k_-I1534,0)*EXP(-rs_*T_)</f>
        <v>2.81643264806122</v>
      </c>
      <c r="K1534" s="25">
        <v>-5.7292252809848</v>
      </c>
      <c r="L1534" s="25">
        <v>-3.48279263292358</v>
      </c>
      <c r="M1534" s="28">
        <v>1</v>
      </c>
      <c r="N1534" s="28">
        <v>1</v>
      </c>
    </row>
    <row r="1535" spans="7:14">
      <c r="G1535" s="24">
        <v>1534</v>
      </c>
      <c r="H1535" s="25">
        <f>S0_</f>
        <v>100</v>
      </c>
      <c r="I1535" s="25">
        <f ca="1">S0_*EXP((mu_-sigma_^2/2)*Dt_+sigma_*SQRT(Dt_)*_xlfn.NORM.INV(RAND(),0,1))</f>
        <v>99.0605400338477</v>
      </c>
      <c r="J1535" s="25">
        <f ca="1">MAX(k_-I1535,0)*EXP(-rs_*T_)</f>
        <v>0</v>
      </c>
      <c r="K1535" s="25">
        <v>-0.912150689445046</v>
      </c>
      <c r="L1535" s="25">
        <v>-1.48215068944505</v>
      </c>
      <c r="M1535" s="28">
        <v>1</v>
      </c>
      <c r="N1535" s="28">
        <v>1</v>
      </c>
    </row>
    <row r="1536" spans="7:14">
      <c r="G1536" s="24">
        <v>1535</v>
      </c>
      <c r="H1536" s="25">
        <f>S0_</f>
        <v>100</v>
      </c>
      <c r="I1536" s="25">
        <f ca="1">S0_*EXP((mu_-sigma_^2/2)*Dt_+sigma_*SQRT(Dt_)*_xlfn.NORM.INV(RAND(),0,1))</f>
        <v>107.513719316786</v>
      </c>
      <c r="J1536" s="25">
        <f ca="1">MAX(k_-I1536,0)*EXP(-rs_*T_)</f>
        <v>0</v>
      </c>
      <c r="K1536" s="25">
        <v>7.29530209059666</v>
      </c>
      <c r="L1536" s="25">
        <v>6.72530209059666</v>
      </c>
      <c r="M1536" s="28">
        <v>0</v>
      </c>
      <c r="N1536" s="28">
        <v>0</v>
      </c>
    </row>
    <row r="1537" spans="7:14">
      <c r="G1537" s="24">
        <v>1536</v>
      </c>
      <c r="H1537" s="25">
        <f>S0_</f>
        <v>100</v>
      </c>
      <c r="I1537" s="25">
        <f ca="1">S0_*EXP((mu_-sigma_^2/2)*Dt_+sigma_*SQRT(Dt_)*_xlfn.NORM.INV(RAND(),0,1))</f>
        <v>106.751689380628</v>
      </c>
      <c r="J1537" s="25">
        <f ca="1">MAX(k_-I1537,0)*EXP(-rs_*T_)</f>
        <v>0</v>
      </c>
      <c r="K1537" s="25">
        <v>6.55542369589387</v>
      </c>
      <c r="L1537" s="25">
        <v>5.98542369589387</v>
      </c>
      <c r="M1537" s="28">
        <v>0</v>
      </c>
      <c r="N1537" s="28">
        <v>0</v>
      </c>
    </row>
    <row r="1538" spans="7:14">
      <c r="G1538" s="24">
        <v>1537</v>
      </c>
      <c r="H1538" s="25">
        <f>S0_</f>
        <v>100</v>
      </c>
      <c r="I1538" s="25">
        <f ca="1">S0_*EXP((mu_-sigma_^2/2)*Dt_+sigma_*SQRT(Dt_)*_xlfn.NORM.INV(RAND(),0,1))</f>
        <v>112.956842433544</v>
      </c>
      <c r="J1538" s="25">
        <f ca="1">MAX(k_-I1538,0)*EXP(-rs_*T_)</f>
        <v>0</v>
      </c>
      <c r="K1538" s="25">
        <v>12.5801983954592</v>
      </c>
      <c r="L1538" s="25">
        <v>12.0101983954592</v>
      </c>
      <c r="M1538" s="28">
        <v>0</v>
      </c>
      <c r="N1538" s="28">
        <v>0</v>
      </c>
    </row>
    <row r="1539" spans="7:14">
      <c r="G1539" s="24">
        <v>1538</v>
      </c>
      <c r="H1539" s="25">
        <f>S0_</f>
        <v>100</v>
      </c>
      <c r="I1539" s="25">
        <f ca="1">S0_*EXP((mu_-sigma_^2/2)*Dt_+sigma_*SQRT(Dt_)*_xlfn.NORM.INV(RAND(),0,1))</f>
        <v>106.758134283711</v>
      </c>
      <c r="J1539" s="25">
        <f ca="1">MAX(k_-I1539,0)*EXP(-rs_*T_)</f>
        <v>0</v>
      </c>
      <c r="K1539" s="25">
        <v>6.56168125130015</v>
      </c>
      <c r="L1539" s="25">
        <v>5.99168125130015</v>
      </c>
      <c r="M1539" s="28">
        <v>0</v>
      </c>
      <c r="N1539" s="28">
        <v>0</v>
      </c>
    </row>
    <row r="1540" spans="7:14">
      <c r="G1540" s="24">
        <v>1539</v>
      </c>
      <c r="H1540" s="25">
        <f>S0_</f>
        <v>100</v>
      </c>
      <c r="I1540" s="25">
        <f ca="1">S0_*EXP((mu_-sigma_^2/2)*Dt_+sigma_*SQRT(Dt_)*_xlfn.NORM.INV(RAND(),0,1))</f>
        <v>118.229226212579</v>
      </c>
      <c r="J1540" s="25">
        <f ca="1">MAX(k_-I1540,0)*EXP(-rs_*T_)</f>
        <v>0</v>
      </c>
      <c r="K1540" s="25">
        <v>17.6993186052994</v>
      </c>
      <c r="L1540" s="25">
        <v>17.1293186052994</v>
      </c>
      <c r="M1540" s="28">
        <v>0</v>
      </c>
      <c r="N1540" s="28">
        <v>0</v>
      </c>
    </row>
    <row r="1541" spans="7:14">
      <c r="G1541" s="24">
        <v>1540</v>
      </c>
      <c r="H1541" s="25">
        <f>S0_</f>
        <v>100</v>
      </c>
      <c r="I1541" s="25">
        <f ca="1">S0_*EXP((mu_-sigma_^2/2)*Dt_+sigma_*SQRT(Dt_)*_xlfn.NORM.INV(RAND(),0,1))</f>
        <v>114.534590527272</v>
      </c>
      <c r="J1541" s="25">
        <f ca="1">MAX(k_-I1541,0)*EXP(-rs_*T_)</f>
        <v>0</v>
      </c>
      <c r="K1541" s="25">
        <v>14.1120827368</v>
      </c>
      <c r="L1541" s="25">
        <v>13.5420827368</v>
      </c>
      <c r="M1541" s="28">
        <v>0</v>
      </c>
      <c r="N1541" s="28">
        <v>0</v>
      </c>
    </row>
    <row r="1542" spans="7:14">
      <c r="G1542" s="24">
        <v>1541</v>
      </c>
      <c r="H1542" s="25">
        <f>S0_</f>
        <v>100</v>
      </c>
      <c r="I1542" s="25">
        <f ca="1">S0_*EXP((mu_-sigma_^2/2)*Dt_+sigma_*SQRT(Dt_)*_xlfn.NORM.INV(RAND(),0,1))</f>
        <v>94.6584225870854</v>
      </c>
      <c r="J1542" s="25">
        <f ca="1">MAX(k_-I1542,0)*EXP(-rs_*T_)</f>
        <v>2.27350981258596</v>
      </c>
      <c r="K1542" s="25">
        <v>-5.18630244550954</v>
      </c>
      <c r="L1542" s="25">
        <v>-3.48279263292358</v>
      </c>
      <c r="M1542" s="28">
        <v>1</v>
      </c>
      <c r="N1542" s="28">
        <v>1</v>
      </c>
    </row>
    <row r="1543" spans="7:14">
      <c r="G1543" s="24">
        <v>1542</v>
      </c>
      <c r="H1543" s="25">
        <f>S0_</f>
        <v>100</v>
      </c>
      <c r="I1543" s="25">
        <f ca="1">S0_*EXP((mu_-sigma_^2/2)*Dt_+sigma_*SQRT(Dt_)*_xlfn.NORM.INV(RAND(),0,1))</f>
        <v>110.439636344717</v>
      </c>
      <c r="J1543" s="25">
        <f ca="1">MAX(k_-I1543,0)*EXP(-rs_*T_)</f>
        <v>0</v>
      </c>
      <c r="K1543" s="25">
        <v>10.1361652784308</v>
      </c>
      <c r="L1543" s="25">
        <v>9.56616527843075</v>
      </c>
      <c r="M1543" s="28">
        <v>0</v>
      </c>
      <c r="N1543" s="28">
        <v>0</v>
      </c>
    </row>
    <row r="1544" spans="7:14">
      <c r="G1544" s="24">
        <v>1543</v>
      </c>
      <c r="H1544" s="25">
        <f>S0_</f>
        <v>100</v>
      </c>
      <c r="I1544" s="25">
        <f ca="1">S0_*EXP((mu_-sigma_^2/2)*Dt_+sigma_*SQRT(Dt_)*_xlfn.NORM.INV(RAND(),0,1))</f>
        <v>104.974323990095</v>
      </c>
      <c r="J1544" s="25">
        <f ca="1">MAX(k_-I1544,0)*EXP(-rs_*T_)</f>
        <v>0</v>
      </c>
      <c r="K1544" s="25">
        <v>4.82972475737412</v>
      </c>
      <c r="L1544" s="25">
        <v>4.25972475737412</v>
      </c>
      <c r="M1544" s="28">
        <v>0</v>
      </c>
      <c r="N1544" s="28">
        <v>0</v>
      </c>
    </row>
    <row r="1545" spans="7:14">
      <c r="G1545" s="24">
        <v>1544</v>
      </c>
      <c r="H1545" s="25">
        <f>S0_</f>
        <v>100</v>
      </c>
      <c r="I1545" s="25">
        <f ca="1">S0_*EXP((mu_-sigma_^2/2)*Dt_+sigma_*SQRT(Dt_)*_xlfn.NORM.INV(RAND(),0,1))</f>
        <v>95.4243385994422</v>
      </c>
      <c r="J1545" s="25">
        <f ca="1">MAX(k_-I1545,0)*EXP(-rs_*T_)</f>
        <v>1.52985830650896</v>
      </c>
      <c r="K1545" s="25">
        <v>-4.44265093943254</v>
      </c>
      <c r="L1545" s="25">
        <v>-3.48279263292358</v>
      </c>
      <c r="M1545" s="28">
        <v>1</v>
      </c>
      <c r="N1545" s="28">
        <v>1</v>
      </c>
    </row>
    <row r="1546" spans="7:14">
      <c r="G1546" s="24">
        <v>1545</v>
      </c>
      <c r="H1546" s="25">
        <f>S0_</f>
        <v>100</v>
      </c>
      <c r="I1546" s="25">
        <f ca="1">S0_*EXP((mu_-sigma_^2/2)*Dt_+sigma_*SQRT(Dt_)*_xlfn.NORM.INV(RAND(),0,1))</f>
        <v>105.087239228036</v>
      </c>
      <c r="J1546" s="25">
        <f ca="1">MAX(k_-I1546,0)*EXP(-rs_*T_)</f>
        <v>0</v>
      </c>
      <c r="K1546" s="25">
        <v>4.93935764844803</v>
      </c>
      <c r="L1546" s="25">
        <v>4.36935764844803</v>
      </c>
      <c r="M1546" s="28">
        <v>0</v>
      </c>
      <c r="N1546" s="28">
        <v>0</v>
      </c>
    </row>
    <row r="1547" spans="7:14">
      <c r="G1547" s="24">
        <v>1546</v>
      </c>
      <c r="H1547" s="25">
        <f>S0_</f>
        <v>100</v>
      </c>
      <c r="I1547" s="25">
        <f ca="1">S0_*EXP((mu_-sigma_^2/2)*Dt_+sigma_*SQRT(Dt_)*_xlfn.NORM.INV(RAND(),0,1))</f>
        <v>100.917277313221</v>
      </c>
      <c r="J1547" s="25">
        <f ca="1">MAX(k_-I1547,0)*EXP(-rs_*T_)</f>
        <v>0</v>
      </c>
      <c r="K1547" s="25">
        <v>0.890612866766277</v>
      </c>
      <c r="L1547" s="25">
        <v>0.320612866766277</v>
      </c>
      <c r="M1547" s="28">
        <v>0</v>
      </c>
      <c r="N1547" s="28">
        <v>0</v>
      </c>
    </row>
    <row r="1548" spans="7:14">
      <c r="G1548" s="24">
        <v>1547</v>
      </c>
      <c r="H1548" s="25">
        <f>S0_</f>
        <v>100</v>
      </c>
      <c r="I1548" s="25">
        <f ca="1">S0_*EXP((mu_-sigma_^2/2)*Dt_+sigma_*SQRT(Dt_)*_xlfn.NORM.INV(RAND(),0,1))</f>
        <v>83.2997519027126</v>
      </c>
      <c r="J1548" s="25">
        <f ca="1">MAX(k_-I1548,0)*EXP(-rs_*T_)</f>
        <v>13.3019939090013</v>
      </c>
      <c r="K1548" s="25">
        <v>-16.2147865419249</v>
      </c>
      <c r="L1548" s="25">
        <v>-3.48279263292358</v>
      </c>
      <c r="M1548" s="28">
        <v>1</v>
      </c>
      <c r="N1548" s="28">
        <v>1</v>
      </c>
    </row>
    <row r="1549" spans="7:14">
      <c r="G1549" s="24">
        <v>1548</v>
      </c>
      <c r="H1549" s="25">
        <f>S0_</f>
        <v>100</v>
      </c>
      <c r="I1549" s="25">
        <f ca="1">S0_*EXP((mu_-sigma_^2/2)*Dt_+sigma_*SQRT(Dt_)*_xlfn.NORM.INV(RAND(),0,1))</f>
        <v>101.453600463175</v>
      </c>
      <c r="J1549" s="25">
        <f ca="1">MAX(k_-I1549,0)*EXP(-rs_*T_)</f>
        <v>0</v>
      </c>
      <c r="K1549" s="25">
        <v>1.41134557345029</v>
      </c>
      <c r="L1549" s="25">
        <v>0.841345573450294</v>
      </c>
      <c r="M1549" s="28">
        <v>0</v>
      </c>
      <c r="N1549" s="28">
        <v>0</v>
      </c>
    </row>
    <row r="1550" spans="7:14">
      <c r="G1550" s="24">
        <v>1549</v>
      </c>
      <c r="H1550" s="25">
        <f>S0_</f>
        <v>100</v>
      </c>
      <c r="I1550" s="25">
        <f ca="1">S0_*EXP((mu_-sigma_^2/2)*Dt_+sigma_*SQRT(Dt_)*_xlfn.NORM.INV(RAND(),0,1))</f>
        <v>105.184971915675</v>
      </c>
      <c r="J1550" s="25">
        <f ca="1">MAX(k_-I1550,0)*EXP(-rs_*T_)</f>
        <v>0</v>
      </c>
      <c r="K1550" s="25">
        <v>5.0342493326308</v>
      </c>
      <c r="L1550" s="25">
        <v>4.4642493326308</v>
      </c>
      <c r="M1550" s="28">
        <v>0</v>
      </c>
      <c r="N1550" s="28">
        <v>0</v>
      </c>
    </row>
    <row r="1551" spans="7:14">
      <c r="G1551" s="24">
        <v>1550</v>
      </c>
      <c r="H1551" s="25">
        <f>S0_</f>
        <v>100</v>
      </c>
      <c r="I1551" s="25">
        <f ca="1">S0_*EXP((mu_-sigma_^2/2)*Dt_+sigma_*SQRT(Dt_)*_xlfn.NORM.INV(RAND(),0,1))</f>
        <v>103.356528395484</v>
      </c>
      <c r="J1551" s="25">
        <f ca="1">MAX(k_-I1551,0)*EXP(-rs_*T_)</f>
        <v>0</v>
      </c>
      <c r="K1551" s="25">
        <v>3.25895706085533</v>
      </c>
      <c r="L1551" s="25">
        <v>2.68895706085533</v>
      </c>
      <c r="M1551" s="28">
        <v>0</v>
      </c>
      <c r="N1551" s="28">
        <v>0</v>
      </c>
    </row>
    <row r="1552" spans="7:14">
      <c r="G1552" s="24">
        <v>1551</v>
      </c>
      <c r="H1552" s="25">
        <f>S0_</f>
        <v>100</v>
      </c>
      <c r="I1552" s="25">
        <f ca="1">S0_*EXP((mu_-sigma_^2/2)*Dt_+sigma_*SQRT(Dt_)*_xlfn.NORM.INV(RAND(),0,1))</f>
        <v>111.508469570594</v>
      </c>
      <c r="J1552" s="25">
        <f ca="1">MAX(k_-I1552,0)*EXP(-rs_*T_)</f>
        <v>0</v>
      </c>
      <c r="K1552" s="25">
        <v>11.1739284604839</v>
      </c>
      <c r="L1552" s="25">
        <v>10.6039284604839</v>
      </c>
      <c r="M1552" s="28">
        <v>0</v>
      </c>
      <c r="N1552" s="28">
        <v>0</v>
      </c>
    </row>
    <row r="1553" spans="7:14">
      <c r="G1553" s="24">
        <v>1552</v>
      </c>
      <c r="H1553" s="25">
        <f>S0_</f>
        <v>100</v>
      </c>
      <c r="I1553" s="25">
        <f ca="1">S0_*EXP((mu_-sigma_^2/2)*Dt_+sigma_*SQRT(Dt_)*_xlfn.NORM.INV(RAND(),0,1))</f>
        <v>105.980225634993</v>
      </c>
      <c r="J1553" s="25">
        <f ca="1">MAX(k_-I1553,0)*EXP(-rs_*T_)</f>
        <v>0</v>
      </c>
      <c r="K1553" s="25">
        <v>5.8063857242757</v>
      </c>
      <c r="L1553" s="25">
        <v>5.2363857242757</v>
      </c>
      <c r="M1553" s="28">
        <v>0</v>
      </c>
      <c r="N1553" s="28">
        <v>0</v>
      </c>
    </row>
    <row r="1554" spans="7:14">
      <c r="G1554" s="24">
        <v>1553</v>
      </c>
      <c r="H1554" s="25">
        <f>S0_</f>
        <v>100</v>
      </c>
      <c r="I1554" s="25">
        <f ca="1">S0_*EXP((mu_-sigma_^2/2)*Dt_+sigma_*SQRT(Dt_)*_xlfn.NORM.INV(RAND(),0,1))</f>
        <v>98.5738689557021</v>
      </c>
      <c r="J1554" s="25">
        <f ca="1">MAX(k_-I1554,0)*EXP(-rs_*T_)</f>
        <v>0</v>
      </c>
      <c r="K1554" s="25">
        <v>-1.38467466647156</v>
      </c>
      <c r="L1554" s="25">
        <v>-1.95467466647156</v>
      </c>
      <c r="M1554" s="28">
        <v>1</v>
      </c>
      <c r="N1554" s="28">
        <v>1</v>
      </c>
    </row>
    <row r="1555" spans="7:14">
      <c r="G1555" s="24">
        <v>1554</v>
      </c>
      <c r="H1555" s="25">
        <f>S0_</f>
        <v>100</v>
      </c>
      <c r="I1555" s="25">
        <f ca="1">S0_*EXP((mu_-sigma_^2/2)*Dt_+sigma_*SQRT(Dt_)*_xlfn.NORM.INV(RAND(),0,1))</f>
        <v>95.4336081600057</v>
      </c>
      <c r="J1555" s="25">
        <f ca="1">MAX(k_-I1555,0)*EXP(-rs_*T_)</f>
        <v>1.52085820393569</v>
      </c>
      <c r="K1555" s="25">
        <v>-4.43365083685928</v>
      </c>
      <c r="L1555" s="25">
        <v>-3.48279263292358</v>
      </c>
      <c r="M1555" s="28">
        <v>1</v>
      </c>
      <c r="N1555" s="28">
        <v>1</v>
      </c>
    </row>
    <row r="1556" spans="7:14">
      <c r="G1556" s="24">
        <v>1555</v>
      </c>
      <c r="H1556" s="25">
        <f>S0_</f>
        <v>100</v>
      </c>
      <c r="I1556" s="25">
        <f ca="1">S0_*EXP((mu_-sigma_^2/2)*Dt_+sigma_*SQRT(Dt_)*_xlfn.NORM.INV(RAND(),0,1))</f>
        <v>105.525995381197</v>
      </c>
      <c r="J1556" s="25">
        <f ca="1">MAX(k_-I1556,0)*EXP(-rs_*T_)</f>
        <v>0</v>
      </c>
      <c r="K1556" s="25">
        <v>5.36535954530704</v>
      </c>
      <c r="L1556" s="25">
        <v>4.79535954530704</v>
      </c>
      <c r="M1556" s="28">
        <v>0</v>
      </c>
      <c r="N1556" s="28">
        <v>0</v>
      </c>
    </row>
    <row r="1557" spans="7:14">
      <c r="G1557" s="24">
        <v>1556</v>
      </c>
      <c r="H1557" s="25">
        <f>S0_</f>
        <v>100</v>
      </c>
      <c r="I1557" s="25">
        <f ca="1">S0_*EXP((mu_-sigma_^2/2)*Dt_+sigma_*SQRT(Dt_)*_xlfn.NORM.INV(RAND(),0,1))</f>
        <v>100.69786623191</v>
      </c>
      <c r="J1557" s="25">
        <f ca="1">MAX(k_-I1557,0)*EXP(-rs_*T_)</f>
        <v>0</v>
      </c>
      <c r="K1557" s="25">
        <v>0.677579873024721</v>
      </c>
      <c r="L1557" s="25">
        <v>0.107579873024721</v>
      </c>
      <c r="M1557" s="28">
        <v>0</v>
      </c>
      <c r="N1557" s="28">
        <v>0</v>
      </c>
    </row>
    <row r="1558" spans="7:14">
      <c r="G1558" s="24">
        <v>1557</v>
      </c>
      <c r="H1558" s="25">
        <f>S0_</f>
        <v>100</v>
      </c>
      <c r="I1558" s="25">
        <f ca="1">S0_*EXP((mu_-sigma_^2/2)*Dt_+sigma_*SQRT(Dt_)*_xlfn.NORM.INV(RAND(),0,1))</f>
        <v>88.0762102218921</v>
      </c>
      <c r="J1558" s="25">
        <f ca="1">MAX(k_-I1558,0)*EXP(-rs_*T_)</f>
        <v>8.66438304114381</v>
      </c>
      <c r="K1558" s="25">
        <v>-11.5771756740674</v>
      </c>
      <c r="L1558" s="25">
        <v>-3.48279263292358</v>
      </c>
      <c r="M1558" s="28">
        <v>1</v>
      </c>
      <c r="N1558" s="28">
        <v>1</v>
      </c>
    </row>
    <row r="1559" spans="7:14">
      <c r="G1559" s="24">
        <v>1558</v>
      </c>
      <c r="H1559" s="25">
        <f>S0_</f>
        <v>100</v>
      </c>
      <c r="I1559" s="25">
        <f ca="1">S0_*EXP((mu_-sigma_^2/2)*Dt_+sigma_*SQRT(Dt_)*_xlfn.NORM.INV(RAND(),0,1))</f>
        <v>84.9776688323752</v>
      </c>
      <c r="J1559" s="25">
        <f ca="1">MAX(k_-I1559,0)*EXP(-rs_*T_)</f>
        <v>11.6728525518751</v>
      </c>
      <c r="K1559" s="25">
        <v>-14.5856451847987</v>
      </c>
      <c r="L1559" s="25">
        <v>-3.48279263292358</v>
      </c>
      <c r="M1559" s="28">
        <v>1</v>
      </c>
      <c r="N1559" s="28">
        <v>1</v>
      </c>
    </row>
    <row r="1560" spans="7:14">
      <c r="G1560" s="24">
        <v>1559</v>
      </c>
      <c r="H1560" s="25">
        <f>S0_</f>
        <v>100</v>
      </c>
      <c r="I1560" s="25">
        <f ca="1">S0_*EXP((mu_-sigma_^2/2)*Dt_+sigma_*SQRT(Dt_)*_xlfn.NORM.INV(RAND(),0,1))</f>
        <v>88.050896447026</v>
      </c>
      <c r="J1560" s="25">
        <f ca="1">MAX(k_-I1560,0)*EXP(-rs_*T_)</f>
        <v>8.68896096679097</v>
      </c>
      <c r="K1560" s="25">
        <v>-11.6017535997146</v>
      </c>
      <c r="L1560" s="25">
        <v>-3.48279263292358</v>
      </c>
      <c r="M1560" s="28">
        <v>1</v>
      </c>
      <c r="N1560" s="28">
        <v>1</v>
      </c>
    </row>
    <row r="1561" spans="7:14">
      <c r="G1561" s="24">
        <v>1560</v>
      </c>
      <c r="H1561" s="25">
        <f>S0_</f>
        <v>100</v>
      </c>
      <c r="I1561" s="25">
        <f ca="1">S0_*EXP((mu_-sigma_^2/2)*Dt_+sigma_*SQRT(Dt_)*_xlfn.NORM.INV(RAND(),0,1))</f>
        <v>94.7727427299908</v>
      </c>
      <c r="J1561" s="25">
        <f ca="1">MAX(k_-I1561,0)*EXP(-rs_*T_)</f>
        <v>2.16251285590275</v>
      </c>
      <c r="K1561" s="25">
        <v>-5.07530548882634</v>
      </c>
      <c r="L1561" s="25">
        <v>-3.48279263292358</v>
      </c>
      <c r="M1561" s="28">
        <v>1</v>
      </c>
      <c r="N1561" s="28">
        <v>1</v>
      </c>
    </row>
    <row r="1562" spans="7:14">
      <c r="G1562" s="24">
        <v>1561</v>
      </c>
      <c r="H1562" s="25">
        <f>S0_</f>
        <v>100</v>
      </c>
      <c r="I1562" s="25">
        <f ca="1">S0_*EXP((mu_-sigma_^2/2)*Dt_+sigma_*SQRT(Dt_)*_xlfn.NORM.INV(RAND(),0,1))</f>
        <v>98.0007804221852</v>
      </c>
      <c r="J1562" s="25">
        <f ca="1">MAX(k_-I1562,0)*EXP(-rs_*T_)</f>
        <v>0</v>
      </c>
      <c r="K1562" s="25">
        <v>-1.94110401928514</v>
      </c>
      <c r="L1562" s="25">
        <v>-2.51110401928514</v>
      </c>
      <c r="M1562" s="28">
        <v>1</v>
      </c>
      <c r="N1562" s="28">
        <v>1</v>
      </c>
    </row>
    <row r="1563" spans="7:14">
      <c r="G1563" s="24">
        <v>1562</v>
      </c>
      <c r="H1563" s="25">
        <f>S0_</f>
        <v>100</v>
      </c>
      <c r="I1563" s="25">
        <f ca="1">S0_*EXP((mu_-sigma_^2/2)*Dt_+sigma_*SQRT(Dt_)*_xlfn.NORM.INV(RAND(),0,1))</f>
        <v>108.153628800522</v>
      </c>
      <c r="J1563" s="25">
        <f ca="1">MAX(k_-I1563,0)*EXP(-rs_*T_)</f>
        <v>0</v>
      </c>
      <c r="K1563" s="25">
        <v>7.91660996725143</v>
      </c>
      <c r="L1563" s="25">
        <v>7.34660996725143</v>
      </c>
      <c r="M1563" s="28">
        <v>0</v>
      </c>
      <c r="N1563" s="28">
        <v>0</v>
      </c>
    </row>
    <row r="1564" spans="7:14">
      <c r="G1564" s="24">
        <v>1563</v>
      </c>
      <c r="H1564" s="25">
        <f>S0_</f>
        <v>100</v>
      </c>
      <c r="I1564" s="25">
        <f ca="1">S0_*EXP((mu_-sigma_^2/2)*Dt_+sigma_*SQRT(Dt_)*_xlfn.NORM.INV(RAND(),0,1))</f>
        <v>99.6470373085278</v>
      </c>
      <c r="J1564" s="25">
        <f ca="1">MAX(k_-I1564,0)*EXP(-rs_*T_)</f>
        <v>0</v>
      </c>
      <c r="K1564" s="25">
        <v>-0.342702375805674</v>
      </c>
      <c r="L1564" s="25">
        <v>-0.912702375805674</v>
      </c>
      <c r="M1564" s="28">
        <v>1</v>
      </c>
      <c r="N1564" s="28">
        <v>1</v>
      </c>
    </row>
    <row r="1565" spans="7:14">
      <c r="G1565" s="24">
        <v>1564</v>
      </c>
      <c r="H1565" s="25">
        <f>S0_</f>
        <v>100</v>
      </c>
      <c r="I1565" s="25">
        <f ca="1">S0_*EXP((mu_-sigma_^2/2)*Dt_+sigma_*SQRT(Dt_)*_xlfn.NORM.INV(RAND(),0,1))</f>
        <v>99.3963381364744</v>
      </c>
      <c r="J1565" s="25">
        <f ca="1">MAX(k_-I1565,0)*EXP(-rs_*T_)</f>
        <v>0</v>
      </c>
      <c r="K1565" s="25">
        <v>-0.58611394295139</v>
      </c>
      <c r="L1565" s="25">
        <v>-1.15611394295139</v>
      </c>
      <c r="M1565" s="28">
        <v>1</v>
      </c>
      <c r="N1565" s="28">
        <v>1</v>
      </c>
    </row>
    <row r="1566" spans="7:14">
      <c r="G1566" s="24">
        <v>1565</v>
      </c>
      <c r="H1566" s="25">
        <f>S0_</f>
        <v>100</v>
      </c>
      <c r="I1566" s="25">
        <f ca="1">S0_*EXP((mu_-sigma_^2/2)*Dt_+sigma_*SQRT(Dt_)*_xlfn.NORM.INV(RAND(),0,1))</f>
        <v>87.0840001882347</v>
      </c>
      <c r="J1566" s="25">
        <f ca="1">MAX(k_-I1566,0)*EXP(-rs_*T_)</f>
        <v>9.62775039992722</v>
      </c>
      <c r="K1566" s="25">
        <v>-12.5405430328508</v>
      </c>
      <c r="L1566" s="25">
        <v>-3.48279263292358</v>
      </c>
      <c r="M1566" s="28">
        <v>1</v>
      </c>
      <c r="N1566" s="28">
        <v>1</v>
      </c>
    </row>
    <row r="1567" spans="7:14">
      <c r="G1567" s="24">
        <v>1566</v>
      </c>
      <c r="H1567" s="25">
        <f>S0_</f>
        <v>100</v>
      </c>
      <c r="I1567" s="25">
        <f ca="1">S0_*EXP((mu_-sigma_^2/2)*Dt_+sigma_*SQRT(Dt_)*_xlfn.NORM.INV(RAND(),0,1))</f>
        <v>112.434433639011</v>
      </c>
      <c r="J1567" s="25">
        <f ca="1">MAX(k_-I1567,0)*EXP(-rs_*T_)</f>
        <v>0</v>
      </c>
      <c r="K1567" s="25">
        <v>12.0729755660962</v>
      </c>
      <c r="L1567" s="25">
        <v>11.5029755660962</v>
      </c>
      <c r="M1567" s="28">
        <v>0</v>
      </c>
      <c r="N1567" s="28">
        <v>0</v>
      </c>
    </row>
    <row r="1568" spans="7:14">
      <c r="G1568" s="24">
        <v>1567</v>
      </c>
      <c r="H1568" s="25">
        <f>S0_</f>
        <v>100</v>
      </c>
      <c r="I1568" s="25">
        <f ca="1">S0_*EXP((mu_-sigma_^2/2)*Dt_+sigma_*SQRT(Dt_)*_xlfn.NORM.INV(RAND(),0,1))</f>
        <v>98.9906895970285</v>
      </c>
      <c r="J1568" s="25">
        <f ca="1">MAX(k_-I1568,0)*EXP(-rs_*T_)</f>
        <v>0</v>
      </c>
      <c r="K1568" s="25">
        <v>-0.9799706353695</v>
      </c>
      <c r="L1568" s="25">
        <v>-1.5499706353695</v>
      </c>
      <c r="M1568" s="28">
        <v>1</v>
      </c>
      <c r="N1568" s="28">
        <v>1</v>
      </c>
    </row>
    <row r="1569" spans="7:14">
      <c r="G1569" s="24">
        <v>1568</v>
      </c>
      <c r="H1569" s="25">
        <f>S0_</f>
        <v>100</v>
      </c>
      <c r="I1569" s="25">
        <f ca="1">S0_*EXP((mu_-sigma_^2/2)*Dt_+sigma_*SQRT(Dt_)*_xlfn.NORM.INV(RAND(),0,1))</f>
        <v>94.1882804968818</v>
      </c>
      <c r="J1569" s="25">
        <f ca="1">MAX(k_-I1569,0)*EXP(-rs_*T_)</f>
        <v>2.72998528484337</v>
      </c>
      <c r="K1569" s="25">
        <v>-5.64277791776696</v>
      </c>
      <c r="L1569" s="25">
        <v>-3.48279263292358</v>
      </c>
      <c r="M1569" s="28">
        <v>1</v>
      </c>
      <c r="N1569" s="28">
        <v>1</v>
      </c>
    </row>
    <row r="1570" spans="7:14">
      <c r="G1570" s="24">
        <v>1569</v>
      </c>
      <c r="H1570" s="25">
        <f>S0_</f>
        <v>100</v>
      </c>
      <c r="I1570" s="25">
        <f ca="1">S0_*EXP((mu_-sigma_^2/2)*Dt_+sigma_*SQRT(Dt_)*_xlfn.NORM.INV(RAND(),0,1))</f>
        <v>107.489119533893</v>
      </c>
      <c r="J1570" s="25">
        <f ca="1">MAX(k_-I1570,0)*EXP(-rs_*T_)</f>
        <v>0</v>
      </c>
      <c r="K1570" s="25">
        <v>7.27141740180299</v>
      </c>
      <c r="L1570" s="25">
        <v>6.70141740180299</v>
      </c>
      <c r="M1570" s="28">
        <v>0</v>
      </c>
      <c r="N1570" s="28">
        <v>0</v>
      </c>
    </row>
    <row r="1571" spans="7:14">
      <c r="G1571" s="24">
        <v>1570</v>
      </c>
      <c r="H1571" s="25">
        <f>S0_</f>
        <v>100</v>
      </c>
      <c r="I1571" s="25">
        <f ca="1">S0_*EXP((mu_-sigma_^2/2)*Dt_+sigma_*SQRT(Dt_)*_xlfn.NORM.INV(RAND(),0,1))</f>
        <v>103.886691351407</v>
      </c>
      <c r="J1571" s="25">
        <f ca="1">MAX(k_-I1571,0)*EXP(-rs_*T_)</f>
        <v>0</v>
      </c>
      <c r="K1571" s="25">
        <v>3.77370864494223</v>
      </c>
      <c r="L1571" s="25">
        <v>3.20370864494223</v>
      </c>
      <c r="M1571" s="28">
        <v>0</v>
      </c>
      <c r="N1571" s="28">
        <v>0</v>
      </c>
    </row>
    <row r="1572" spans="7:14">
      <c r="G1572" s="24">
        <v>1571</v>
      </c>
      <c r="H1572" s="25">
        <f>S0_</f>
        <v>100</v>
      </c>
      <c r="I1572" s="25">
        <f ca="1">S0_*EXP((mu_-sigma_^2/2)*Dt_+sigma_*SQRT(Dt_)*_xlfn.NORM.INV(RAND(),0,1))</f>
        <v>82.5950086670101</v>
      </c>
      <c r="J1572" s="25">
        <f ca="1">MAX(k_-I1572,0)*EXP(-rs_*T_)</f>
        <v>13.9862508773537</v>
      </c>
      <c r="K1572" s="25">
        <v>-16.8990435102773</v>
      </c>
      <c r="L1572" s="25">
        <v>-3.48279263292358</v>
      </c>
      <c r="M1572" s="28">
        <v>1</v>
      </c>
      <c r="N1572" s="28">
        <v>1</v>
      </c>
    </row>
    <row r="1573" spans="7:14">
      <c r="G1573" s="24">
        <v>1572</v>
      </c>
      <c r="H1573" s="25">
        <f>S0_</f>
        <v>100</v>
      </c>
      <c r="I1573" s="25">
        <f ca="1">S0_*EXP((mu_-sigma_^2/2)*Dt_+sigma_*SQRT(Dt_)*_xlfn.NORM.INV(RAND(),0,1))</f>
        <v>108.293251180702</v>
      </c>
      <c r="J1573" s="25">
        <f ca="1">MAX(k_-I1573,0)*EXP(-rs_*T_)</f>
        <v>0</v>
      </c>
      <c r="K1573" s="25">
        <v>8.05217364737768</v>
      </c>
      <c r="L1573" s="25">
        <v>7.48217364737768</v>
      </c>
      <c r="M1573" s="28">
        <v>0</v>
      </c>
      <c r="N1573" s="28">
        <v>0</v>
      </c>
    </row>
    <row r="1574" spans="7:14">
      <c r="G1574" s="24">
        <v>1573</v>
      </c>
      <c r="H1574" s="25">
        <f>S0_</f>
        <v>100</v>
      </c>
      <c r="I1574" s="25">
        <f ca="1">S0_*EXP((mu_-sigma_^2/2)*Dt_+sigma_*SQRT(Dt_)*_xlfn.NORM.INV(RAND(),0,1))</f>
        <v>101.102685347205</v>
      </c>
      <c r="J1574" s="25">
        <f ca="1">MAX(k_-I1574,0)*EXP(-rs_*T_)</f>
        <v>0</v>
      </c>
      <c r="K1574" s="25">
        <v>1.07063125192365</v>
      </c>
      <c r="L1574" s="25">
        <v>0.500631251923653</v>
      </c>
      <c r="M1574" s="28">
        <v>0</v>
      </c>
      <c r="N1574" s="28">
        <v>0</v>
      </c>
    </row>
    <row r="1575" spans="7:14">
      <c r="G1575" s="24">
        <v>1574</v>
      </c>
      <c r="H1575" s="25">
        <f>S0_</f>
        <v>100</v>
      </c>
      <c r="I1575" s="25">
        <f ca="1">S0_*EXP((mu_-sigma_^2/2)*Dt_+sigma_*SQRT(Dt_)*_xlfn.NORM.INV(RAND(),0,1))</f>
        <v>95.5942800510989</v>
      </c>
      <c r="J1575" s="25">
        <f ca="1">MAX(k_-I1575,0)*EXP(-rs_*T_)</f>
        <v>1.36485690370426</v>
      </c>
      <c r="K1575" s="25">
        <v>-4.27764953662784</v>
      </c>
      <c r="L1575" s="25">
        <v>-3.48279263292358</v>
      </c>
      <c r="M1575" s="28">
        <v>1</v>
      </c>
      <c r="N1575" s="28">
        <v>1</v>
      </c>
    </row>
    <row r="1576" spans="7:14">
      <c r="G1576" s="24">
        <v>1575</v>
      </c>
      <c r="H1576" s="25">
        <f>S0_</f>
        <v>100</v>
      </c>
      <c r="I1576" s="25">
        <f ca="1">S0_*EXP((mu_-sigma_^2/2)*Dt_+sigma_*SQRT(Dt_)*_xlfn.NORM.INV(RAND(),0,1))</f>
        <v>99.8604351207588</v>
      </c>
      <c r="J1576" s="25">
        <f ca="1">MAX(k_-I1576,0)*EXP(-rs_*T_)</f>
        <v>0</v>
      </c>
      <c r="K1576" s="25">
        <v>-0.13550785068951</v>
      </c>
      <c r="L1576" s="25">
        <v>-0.70550785068951</v>
      </c>
      <c r="M1576" s="28">
        <v>1</v>
      </c>
      <c r="N1576" s="28">
        <v>1</v>
      </c>
    </row>
    <row r="1577" spans="7:14">
      <c r="G1577" s="24">
        <v>1576</v>
      </c>
      <c r="H1577" s="25">
        <f>S0_</f>
        <v>100</v>
      </c>
      <c r="I1577" s="25">
        <f ca="1">S0_*EXP((mu_-sigma_^2/2)*Dt_+sigma_*SQRT(Dt_)*_xlfn.NORM.INV(RAND(),0,1))</f>
        <v>95.2407608898554</v>
      </c>
      <c r="J1577" s="25">
        <f ca="1">MAX(k_-I1577,0)*EXP(-rs_*T_)</f>
        <v>1.7080995731934</v>
      </c>
      <c r="K1577" s="25">
        <v>-4.62089220611698</v>
      </c>
      <c r="L1577" s="25">
        <v>-3.48279263292358</v>
      </c>
      <c r="M1577" s="28">
        <v>1</v>
      </c>
      <c r="N1577" s="28">
        <v>1</v>
      </c>
    </row>
    <row r="1578" spans="7:14">
      <c r="G1578" s="24">
        <v>1577</v>
      </c>
      <c r="H1578" s="25">
        <f>S0_</f>
        <v>100</v>
      </c>
      <c r="I1578" s="25">
        <f ca="1">S0_*EXP((mu_-sigma_^2/2)*Dt_+sigma_*SQRT(Dt_)*_xlfn.NORM.INV(RAND(),0,1))</f>
        <v>130.001742300654</v>
      </c>
      <c r="J1578" s="25">
        <f ca="1">MAX(k_-I1578,0)*EXP(-rs_*T_)</f>
        <v>0</v>
      </c>
      <c r="K1578" s="25">
        <v>29.129617982739</v>
      </c>
      <c r="L1578" s="25">
        <v>28.559617982739</v>
      </c>
      <c r="M1578" s="28">
        <v>0</v>
      </c>
      <c r="N1578" s="28">
        <v>0</v>
      </c>
    </row>
    <row r="1579" spans="7:14">
      <c r="G1579" s="24">
        <v>1578</v>
      </c>
      <c r="H1579" s="25">
        <f>S0_</f>
        <v>100</v>
      </c>
      <c r="I1579" s="25">
        <f ca="1">S0_*EXP((mu_-sigma_^2/2)*Dt_+sigma_*SQRT(Dt_)*_xlfn.NORM.INV(RAND(),0,1))</f>
        <v>96.2661726709231</v>
      </c>
      <c r="J1579" s="25">
        <f ca="1">MAX(k_-I1579,0)*EXP(-rs_*T_)</f>
        <v>0.712495612657758</v>
      </c>
      <c r="K1579" s="25">
        <v>-3.62528824558134</v>
      </c>
      <c r="L1579" s="25">
        <v>-3.48279263292358</v>
      </c>
      <c r="M1579" s="28">
        <v>1</v>
      </c>
      <c r="N1579" s="28">
        <v>1</v>
      </c>
    </row>
    <row r="1580" spans="7:14">
      <c r="G1580" s="24">
        <v>1579</v>
      </c>
      <c r="H1580" s="25">
        <f>S0_</f>
        <v>100</v>
      </c>
      <c r="I1580" s="25">
        <f ca="1">S0_*EXP((mu_-sigma_^2/2)*Dt_+sigma_*SQRT(Dt_)*_xlfn.NORM.INV(RAND(),0,1))</f>
        <v>101.821521389145</v>
      </c>
      <c r="J1580" s="25">
        <f ca="1">MAX(k_-I1580,0)*EXP(-rs_*T_)</f>
        <v>0</v>
      </c>
      <c r="K1580" s="25">
        <v>1.76857136100517</v>
      </c>
      <c r="L1580" s="25">
        <v>1.19857136100517</v>
      </c>
      <c r="M1580" s="28">
        <v>0</v>
      </c>
      <c r="N1580" s="28">
        <v>0</v>
      </c>
    </row>
    <row r="1581" spans="7:14">
      <c r="G1581" s="24">
        <v>1580</v>
      </c>
      <c r="H1581" s="25">
        <f>S0_</f>
        <v>100</v>
      </c>
      <c r="I1581" s="25">
        <f ca="1">S0_*EXP((mu_-sigma_^2/2)*Dt_+sigma_*SQRT(Dt_)*_xlfn.NORM.INV(RAND(),0,1))</f>
        <v>110.699558769032</v>
      </c>
      <c r="J1581" s="25">
        <f ca="1">MAX(k_-I1581,0)*EXP(-rs_*T_)</f>
        <v>0</v>
      </c>
      <c r="K1581" s="25">
        <v>10.3885319859902</v>
      </c>
      <c r="L1581" s="25">
        <v>9.81853198599024</v>
      </c>
      <c r="M1581" s="28">
        <v>0</v>
      </c>
      <c r="N1581" s="28">
        <v>0</v>
      </c>
    </row>
    <row r="1582" spans="7:14">
      <c r="G1582" s="24">
        <v>1581</v>
      </c>
      <c r="H1582" s="25">
        <f>S0_</f>
        <v>100</v>
      </c>
      <c r="I1582" s="25">
        <f ca="1">S0_*EXP((mu_-sigma_^2/2)*Dt_+sigma_*SQRT(Dt_)*_xlfn.NORM.INV(RAND(),0,1))</f>
        <v>95.3525472558234</v>
      </c>
      <c r="J1582" s="25">
        <f ca="1">MAX(k_-I1582,0)*EXP(-rs_*T_)</f>
        <v>1.59956273877576</v>
      </c>
      <c r="K1582" s="25">
        <v>-4.51235537169934</v>
      </c>
      <c r="L1582" s="25">
        <v>-3.48279263292358</v>
      </c>
      <c r="M1582" s="28">
        <v>1</v>
      </c>
      <c r="N1582" s="28">
        <v>1</v>
      </c>
    </row>
    <row r="1583" spans="7:14">
      <c r="G1583" s="24">
        <v>1582</v>
      </c>
      <c r="H1583" s="25">
        <f>S0_</f>
        <v>100</v>
      </c>
      <c r="I1583" s="25">
        <f ca="1">S0_*EXP((mu_-sigma_^2/2)*Dt_+sigma_*SQRT(Dt_)*_xlfn.NORM.INV(RAND(),0,1))</f>
        <v>107.295436849331</v>
      </c>
      <c r="J1583" s="25">
        <f ca="1">MAX(k_-I1583,0)*EXP(-rs_*T_)</f>
        <v>0</v>
      </c>
      <c r="K1583" s="25">
        <v>7.08336490289706</v>
      </c>
      <c r="L1583" s="25">
        <v>6.51336490289706</v>
      </c>
      <c r="M1583" s="28">
        <v>0</v>
      </c>
      <c r="N1583" s="28">
        <v>0</v>
      </c>
    </row>
    <row r="1584" spans="7:14">
      <c r="G1584" s="24">
        <v>1583</v>
      </c>
      <c r="H1584" s="25">
        <f>S0_</f>
        <v>100</v>
      </c>
      <c r="I1584" s="25">
        <f ca="1">S0_*EXP((mu_-sigma_^2/2)*Dt_+sigma_*SQRT(Dt_)*_xlfn.NORM.INV(RAND(),0,1))</f>
        <v>96.350827038231</v>
      </c>
      <c r="J1584" s="25">
        <f ca="1">MAX(k_-I1584,0)*EXP(-rs_*T_)</f>
        <v>0.630302073511264</v>
      </c>
      <c r="K1584" s="25">
        <v>-3.54309470643485</v>
      </c>
      <c r="L1584" s="25">
        <v>-3.48279263292358</v>
      </c>
      <c r="M1584" s="28">
        <v>1</v>
      </c>
      <c r="N1584" s="28">
        <v>1</v>
      </c>
    </row>
    <row r="1585" spans="7:14">
      <c r="G1585" s="24">
        <v>1584</v>
      </c>
      <c r="H1585" s="25">
        <f>S0_</f>
        <v>100</v>
      </c>
      <c r="I1585" s="25">
        <f ca="1">S0_*EXP((mu_-sigma_^2/2)*Dt_+sigma_*SQRT(Dt_)*_xlfn.NORM.INV(RAND(),0,1))</f>
        <v>105.746740667181</v>
      </c>
      <c r="J1585" s="25">
        <f ca="1">MAX(k_-I1585,0)*EXP(-rs_*T_)</f>
        <v>0</v>
      </c>
      <c r="K1585" s="25">
        <v>5.57968795956225</v>
      </c>
      <c r="L1585" s="25">
        <v>5.00968795956225</v>
      </c>
      <c r="M1585" s="28">
        <v>0</v>
      </c>
      <c r="N1585" s="28">
        <v>0</v>
      </c>
    </row>
    <row r="1586" spans="7:14">
      <c r="G1586" s="24">
        <v>1585</v>
      </c>
      <c r="H1586" s="25">
        <f>S0_</f>
        <v>100</v>
      </c>
      <c r="I1586" s="25">
        <f ca="1">S0_*EXP((mu_-sigma_^2/2)*Dt_+sigma_*SQRT(Dt_)*_xlfn.NORM.INV(RAND(),0,1))</f>
        <v>88.881499113663</v>
      </c>
      <c r="J1586" s="25">
        <f ca="1">MAX(k_-I1586,0)*EXP(-rs_*T_)</f>
        <v>7.88250319070201</v>
      </c>
      <c r="K1586" s="25">
        <v>-10.7952958236256</v>
      </c>
      <c r="L1586" s="25">
        <v>-3.48279263292358</v>
      </c>
      <c r="M1586" s="28">
        <v>1</v>
      </c>
      <c r="N1586" s="28">
        <v>1</v>
      </c>
    </row>
    <row r="1587" spans="7:14">
      <c r="G1587" s="24">
        <v>1586</v>
      </c>
      <c r="H1587" s="25">
        <f>S0_</f>
        <v>100</v>
      </c>
      <c r="I1587" s="25">
        <f ca="1">S0_*EXP((mu_-sigma_^2/2)*Dt_+sigma_*SQRT(Dt_)*_xlfn.NORM.INV(RAND(),0,1))</f>
        <v>113.211237934038</v>
      </c>
      <c r="J1587" s="25">
        <f ca="1">MAX(k_-I1587,0)*EXP(-rs_*T_)</f>
        <v>0</v>
      </c>
      <c r="K1587" s="25">
        <v>12.8271988420225</v>
      </c>
      <c r="L1587" s="25">
        <v>12.2571988420225</v>
      </c>
      <c r="M1587" s="28">
        <v>0</v>
      </c>
      <c r="N1587" s="28">
        <v>0</v>
      </c>
    </row>
    <row r="1588" spans="7:14">
      <c r="G1588" s="24">
        <v>1587</v>
      </c>
      <c r="H1588" s="25">
        <f>S0_</f>
        <v>100</v>
      </c>
      <c r="I1588" s="25">
        <f ca="1">S0_*EXP((mu_-sigma_^2/2)*Dt_+sigma_*SQRT(Dt_)*_xlfn.NORM.INV(RAND(),0,1))</f>
        <v>109.271265369225</v>
      </c>
      <c r="J1588" s="25">
        <f ca="1">MAX(k_-I1588,0)*EXP(-rs_*T_)</f>
        <v>0</v>
      </c>
      <c r="K1588" s="25">
        <v>9.00175782178559</v>
      </c>
      <c r="L1588" s="25">
        <v>8.43175782178559</v>
      </c>
      <c r="M1588" s="28">
        <v>0</v>
      </c>
      <c r="N1588" s="28">
        <v>0</v>
      </c>
    </row>
    <row r="1589" spans="7:14">
      <c r="G1589" s="24">
        <v>1588</v>
      </c>
      <c r="H1589" s="25">
        <f>S0_</f>
        <v>100</v>
      </c>
      <c r="I1589" s="25">
        <f ca="1">S0_*EXP((mu_-sigma_^2/2)*Dt_+sigma_*SQRT(Dt_)*_xlfn.NORM.INV(RAND(),0,1))</f>
        <v>90.4689732550971</v>
      </c>
      <c r="J1589" s="25">
        <f ca="1">MAX(k_-I1589,0)*EXP(-rs_*T_)</f>
        <v>6.34117552932673</v>
      </c>
      <c r="K1589" s="25">
        <v>-9.25396816225031</v>
      </c>
      <c r="L1589" s="25">
        <v>-3.48279263292358</v>
      </c>
      <c r="M1589" s="28">
        <v>1</v>
      </c>
      <c r="N1589" s="28">
        <v>1</v>
      </c>
    </row>
    <row r="1590" spans="7:14">
      <c r="G1590" s="24">
        <v>1589</v>
      </c>
      <c r="H1590" s="25">
        <f>S0_</f>
        <v>100</v>
      </c>
      <c r="I1590" s="25">
        <f ca="1">S0_*EXP((mu_-sigma_^2/2)*Dt_+sigma_*SQRT(Dt_)*_xlfn.NORM.INV(RAND(),0,1))</f>
        <v>110.851303056564</v>
      </c>
      <c r="J1590" s="25">
        <f ca="1">MAX(k_-I1590,0)*EXP(-rs_*T_)</f>
        <v>0</v>
      </c>
      <c r="K1590" s="25">
        <v>10.5358652002603</v>
      </c>
      <c r="L1590" s="25">
        <v>9.96586520026035</v>
      </c>
      <c r="M1590" s="28">
        <v>0</v>
      </c>
      <c r="N1590" s="28">
        <v>0</v>
      </c>
    </row>
    <row r="1591" spans="7:14">
      <c r="G1591" s="24">
        <v>1590</v>
      </c>
      <c r="H1591" s="25">
        <f>S0_</f>
        <v>100</v>
      </c>
      <c r="I1591" s="25">
        <f ca="1">S0_*EXP((mu_-sigma_^2/2)*Dt_+sigma_*SQRT(Dt_)*_xlfn.NORM.INV(RAND(),0,1))</f>
        <v>118.34707158024</v>
      </c>
      <c r="J1591" s="25">
        <f ca="1">MAX(k_-I1591,0)*EXP(-rs_*T_)</f>
        <v>0</v>
      </c>
      <c r="K1591" s="25">
        <v>17.8137383115483</v>
      </c>
      <c r="L1591" s="25">
        <v>17.2437383115483</v>
      </c>
      <c r="M1591" s="28">
        <v>0</v>
      </c>
      <c r="N1591" s="28">
        <v>0</v>
      </c>
    </row>
    <row r="1592" spans="7:14">
      <c r="G1592" s="24">
        <v>1591</v>
      </c>
      <c r="H1592" s="25">
        <f>S0_</f>
        <v>100</v>
      </c>
      <c r="I1592" s="25">
        <f ca="1">S0_*EXP((mu_-sigma_^2/2)*Dt_+sigma_*SQRT(Dt_)*_xlfn.NORM.INV(RAND(),0,1))</f>
        <v>105.37720251015</v>
      </c>
      <c r="J1592" s="25">
        <f ca="1">MAX(k_-I1592,0)*EXP(-rs_*T_)</f>
        <v>0</v>
      </c>
      <c r="K1592" s="25">
        <v>5.22089195243432</v>
      </c>
      <c r="L1592" s="25">
        <v>4.65089195243432</v>
      </c>
      <c r="M1592" s="28">
        <v>0</v>
      </c>
      <c r="N1592" s="28">
        <v>0</v>
      </c>
    </row>
    <row r="1593" spans="7:14">
      <c r="G1593" s="24">
        <v>1592</v>
      </c>
      <c r="H1593" s="25">
        <f>S0_</f>
        <v>100</v>
      </c>
      <c r="I1593" s="25">
        <f ca="1">S0_*EXP((mu_-sigma_^2/2)*Dt_+sigma_*SQRT(Dt_)*_xlfn.NORM.INV(RAND(),0,1))</f>
        <v>109.80819843507</v>
      </c>
      <c r="J1593" s="25">
        <f ca="1">MAX(k_-I1593,0)*EXP(-rs_*T_)</f>
        <v>0</v>
      </c>
      <c r="K1593" s="25">
        <v>9.52308271464169</v>
      </c>
      <c r="L1593" s="25">
        <v>8.95308271464169</v>
      </c>
      <c r="M1593" s="28">
        <v>0</v>
      </c>
      <c r="N1593" s="28">
        <v>0</v>
      </c>
    </row>
    <row r="1594" spans="7:14">
      <c r="G1594" s="24">
        <v>1593</v>
      </c>
      <c r="H1594" s="25">
        <f>S0_</f>
        <v>100</v>
      </c>
      <c r="I1594" s="25">
        <f ca="1">S0_*EXP((mu_-sigma_^2/2)*Dt_+sigma_*SQRT(Dt_)*_xlfn.NORM.INV(RAND(),0,1))</f>
        <v>94.4656853110681</v>
      </c>
      <c r="J1594" s="25">
        <f ca="1">MAX(k_-I1594,0)*EXP(-rs_*T_)</f>
        <v>2.46064438514366</v>
      </c>
      <c r="K1594" s="25">
        <v>-5.37343701806724</v>
      </c>
      <c r="L1594" s="25">
        <v>-3.48279263292358</v>
      </c>
      <c r="M1594" s="28">
        <v>1</v>
      </c>
      <c r="N1594" s="28">
        <v>1</v>
      </c>
    </row>
    <row r="1595" spans="7:14">
      <c r="G1595" s="24">
        <v>1594</v>
      </c>
      <c r="H1595" s="25">
        <f>S0_</f>
        <v>100</v>
      </c>
      <c r="I1595" s="25">
        <f ca="1">S0_*EXP((mu_-sigma_^2/2)*Dt_+sigma_*SQRT(Dt_)*_xlfn.NORM.INV(RAND(),0,1))</f>
        <v>99.2113521639183</v>
      </c>
      <c r="J1595" s="25">
        <f ca="1">MAX(k_-I1595,0)*EXP(-rs_*T_)</f>
        <v>0</v>
      </c>
      <c r="K1595" s="25">
        <v>-0.765722535636641</v>
      </c>
      <c r="L1595" s="25">
        <v>-1.33572253563664</v>
      </c>
      <c r="M1595" s="28">
        <v>1</v>
      </c>
      <c r="N1595" s="28">
        <v>1</v>
      </c>
    </row>
    <row r="1596" spans="7:14">
      <c r="G1596" s="24">
        <v>1595</v>
      </c>
      <c r="H1596" s="25">
        <f>S0_</f>
        <v>100</v>
      </c>
      <c r="I1596" s="25">
        <f ca="1">S0_*EXP((mu_-sigma_^2/2)*Dt_+sigma_*SQRT(Dt_)*_xlfn.NORM.INV(RAND(),0,1))</f>
        <v>108.201339825753</v>
      </c>
      <c r="J1596" s="25">
        <f ca="1">MAX(k_-I1596,0)*EXP(-rs_*T_)</f>
        <v>0</v>
      </c>
      <c r="K1596" s="25">
        <v>7.96293407485227</v>
      </c>
      <c r="L1596" s="25">
        <v>7.39293407485227</v>
      </c>
      <c r="M1596" s="28">
        <v>0</v>
      </c>
      <c r="N1596" s="28">
        <v>0</v>
      </c>
    </row>
    <row r="1597" spans="7:14">
      <c r="G1597" s="24">
        <v>1596</v>
      </c>
      <c r="H1597" s="25">
        <f>S0_</f>
        <v>100</v>
      </c>
      <c r="I1597" s="25">
        <f ca="1">S0_*EXP((mu_-sigma_^2/2)*Dt_+sigma_*SQRT(Dt_)*_xlfn.NORM.INV(RAND(),0,1))</f>
        <v>124.288986590613</v>
      </c>
      <c r="J1597" s="25">
        <f ca="1">MAX(k_-I1597,0)*EXP(-rs_*T_)</f>
        <v>0</v>
      </c>
      <c r="K1597" s="25">
        <v>23.5829270674394</v>
      </c>
      <c r="L1597" s="25">
        <v>23.0129270674394</v>
      </c>
      <c r="M1597" s="28">
        <v>0</v>
      </c>
      <c r="N1597" s="28">
        <v>0</v>
      </c>
    </row>
    <row r="1598" spans="7:14">
      <c r="G1598" s="24">
        <v>1597</v>
      </c>
      <c r="H1598" s="25">
        <f>S0_</f>
        <v>100</v>
      </c>
      <c r="I1598" s="25">
        <f ca="1">S0_*EXP((mu_-sigma_^2/2)*Dt_+sigma_*SQRT(Dt_)*_xlfn.NORM.INV(RAND(),0,1))</f>
        <v>94.810295301643</v>
      </c>
      <c r="J1598" s="25">
        <f ca="1">MAX(k_-I1598,0)*EXP(-rs_*T_)</f>
        <v>2.12605190455081</v>
      </c>
      <c r="K1598" s="25">
        <v>-5.0388445374744</v>
      </c>
      <c r="L1598" s="25">
        <v>-3.48279263292358</v>
      </c>
      <c r="M1598" s="28">
        <v>1</v>
      </c>
      <c r="N1598" s="28">
        <v>1</v>
      </c>
    </row>
    <row r="1599" spans="7:14">
      <c r="G1599" s="24">
        <v>1598</v>
      </c>
      <c r="H1599" s="25">
        <f>S0_</f>
        <v>100</v>
      </c>
      <c r="I1599" s="25">
        <f ca="1">S0_*EXP((mu_-sigma_^2/2)*Dt_+sigma_*SQRT(Dt_)*_xlfn.NORM.INV(RAND(),0,1))</f>
        <v>117.999745587999</v>
      </c>
      <c r="J1599" s="25">
        <f ca="1">MAX(k_-I1599,0)*EXP(-rs_*T_)</f>
        <v>0</v>
      </c>
      <c r="K1599" s="25">
        <v>17.4765087810742</v>
      </c>
      <c r="L1599" s="25">
        <v>16.9065087810742</v>
      </c>
      <c r="M1599" s="28">
        <v>0</v>
      </c>
      <c r="N1599" s="28">
        <v>0</v>
      </c>
    </row>
    <row r="1600" spans="7:14">
      <c r="G1600" s="24">
        <v>1599</v>
      </c>
      <c r="H1600" s="25">
        <f>S0_</f>
        <v>100</v>
      </c>
      <c r="I1600" s="25">
        <f ca="1">S0_*EXP((mu_-sigma_^2/2)*Dt_+sigma_*SQRT(Dt_)*_xlfn.NORM.INV(RAND(),0,1))</f>
        <v>118.733447122162</v>
      </c>
      <c r="J1600" s="25">
        <f ca="1">MAX(k_-I1600,0)*EXP(-rs_*T_)</f>
        <v>0</v>
      </c>
      <c r="K1600" s="25">
        <v>18.188882255566</v>
      </c>
      <c r="L1600" s="25">
        <v>17.618882255566</v>
      </c>
      <c r="M1600" s="28">
        <v>0</v>
      </c>
      <c r="N1600" s="28">
        <v>0</v>
      </c>
    </row>
    <row r="1601" spans="7:14">
      <c r="G1601" s="24">
        <v>1600</v>
      </c>
      <c r="H1601" s="25">
        <f>S0_</f>
        <v>100</v>
      </c>
      <c r="I1601" s="25">
        <f ca="1">S0_*EXP((mu_-sigma_^2/2)*Dt_+sigma_*SQRT(Dt_)*_xlfn.NORM.INV(RAND(),0,1))</f>
        <v>104.893732424251</v>
      </c>
      <c r="J1601" s="25">
        <f ca="1">MAX(k_-I1601,0)*EXP(-rs_*T_)</f>
        <v>0</v>
      </c>
      <c r="K1601" s="25">
        <v>4.75147591761876</v>
      </c>
      <c r="L1601" s="25">
        <v>4.18147591761876</v>
      </c>
      <c r="M1601" s="28">
        <v>0</v>
      </c>
      <c r="N1601" s="28">
        <v>0</v>
      </c>
    </row>
    <row r="1602" spans="7:14">
      <c r="G1602" s="24">
        <v>1601</v>
      </c>
      <c r="H1602" s="25">
        <f>S0_</f>
        <v>100</v>
      </c>
      <c r="I1602" s="25">
        <f ca="1">S0_*EXP((mu_-sigma_^2/2)*Dt_+sigma_*SQRT(Dt_)*_xlfn.NORM.INV(RAND(),0,1))</f>
        <v>101.620366398829</v>
      </c>
      <c r="J1602" s="25">
        <f ca="1">MAX(k_-I1602,0)*EXP(-rs_*T_)</f>
        <v>0</v>
      </c>
      <c r="K1602" s="25">
        <v>1.57326376971565</v>
      </c>
      <c r="L1602" s="25">
        <v>1.00326376971565</v>
      </c>
      <c r="M1602" s="28">
        <v>0</v>
      </c>
      <c r="N1602" s="28">
        <v>0</v>
      </c>
    </row>
    <row r="1603" spans="7:14">
      <c r="G1603" s="24">
        <v>1602</v>
      </c>
      <c r="H1603" s="25">
        <f>S0_</f>
        <v>100</v>
      </c>
      <c r="I1603" s="25">
        <f ca="1">S0_*EXP((mu_-sigma_^2/2)*Dt_+sigma_*SQRT(Dt_)*_xlfn.NORM.INV(RAND(),0,1))</f>
        <v>107.688404077667</v>
      </c>
      <c r="J1603" s="25">
        <f ca="1">MAX(k_-I1603,0)*EXP(-rs_*T_)</f>
        <v>0</v>
      </c>
      <c r="K1603" s="25">
        <v>7.46490891878947</v>
      </c>
      <c r="L1603" s="25">
        <v>6.89490891878947</v>
      </c>
      <c r="M1603" s="28">
        <v>0</v>
      </c>
      <c r="N1603" s="28">
        <v>0</v>
      </c>
    </row>
    <row r="1604" spans="7:14">
      <c r="G1604" s="24">
        <v>1603</v>
      </c>
      <c r="H1604" s="25">
        <f>S0_</f>
        <v>100</v>
      </c>
      <c r="I1604" s="25">
        <f ca="1">S0_*EXP((mu_-sigma_^2/2)*Dt_+sigma_*SQRT(Dt_)*_xlfn.NORM.INV(RAND(),0,1))</f>
        <v>106.16538791605</v>
      </c>
      <c r="J1604" s="25">
        <f ca="1">MAX(k_-I1604,0)*EXP(-rs_*T_)</f>
        <v>0</v>
      </c>
      <c r="K1604" s="25">
        <v>5.9861655003286</v>
      </c>
      <c r="L1604" s="25">
        <v>5.4161655003286</v>
      </c>
      <c r="M1604" s="28">
        <v>0</v>
      </c>
      <c r="N1604" s="28">
        <v>0</v>
      </c>
    </row>
    <row r="1605" spans="7:14">
      <c r="G1605" s="24">
        <v>1604</v>
      </c>
      <c r="H1605" s="25">
        <f>S0_</f>
        <v>100</v>
      </c>
      <c r="I1605" s="25">
        <f ca="1">S0_*EXP((mu_-sigma_^2/2)*Dt_+sigma_*SQRT(Dt_)*_xlfn.NORM.INV(RAND(),0,1))</f>
        <v>98.9956081779026</v>
      </c>
      <c r="J1605" s="25">
        <f ca="1">MAX(k_-I1605,0)*EXP(-rs_*T_)</f>
        <v>0</v>
      </c>
      <c r="K1605" s="25">
        <v>-0.975195033324656</v>
      </c>
      <c r="L1605" s="25">
        <v>-1.54519503332466</v>
      </c>
      <c r="M1605" s="28">
        <v>1</v>
      </c>
      <c r="N1605" s="28">
        <v>1</v>
      </c>
    </row>
    <row r="1606" spans="7:14">
      <c r="G1606" s="24">
        <v>1605</v>
      </c>
      <c r="H1606" s="25">
        <f>S0_</f>
        <v>100</v>
      </c>
      <c r="I1606" s="25">
        <f ca="1">S0_*EXP((mu_-sigma_^2/2)*Dt_+sigma_*SQRT(Dt_)*_xlfn.NORM.INV(RAND(),0,1))</f>
        <v>100.743385126513</v>
      </c>
      <c r="J1606" s="25">
        <f ca="1">MAX(k_-I1606,0)*EXP(-rs_*T_)</f>
        <v>0</v>
      </c>
      <c r="K1606" s="25">
        <v>0.721775573310516</v>
      </c>
      <c r="L1606" s="25">
        <v>0.151775573310516</v>
      </c>
      <c r="M1606" s="28">
        <v>0</v>
      </c>
      <c r="N1606" s="28">
        <v>0</v>
      </c>
    </row>
    <row r="1607" spans="7:14">
      <c r="G1607" s="24">
        <v>1606</v>
      </c>
      <c r="H1607" s="25">
        <f>S0_</f>
        <v>100</v>
      </c>
      <c r="I1607" s="25">
        <f ca="1">S0_*EXP((mu_-sigma_^2/2)*Dt_+sigma_*SQRT(Dt_)*_xlfn.NORM.INV(RAND(),0,1))</f>
        <v>97.9872009376789</v>
      </c>
      <c r="J1607" s="25">
        <f ca="1">MAX(k_-I1607,0)*EXP(-rs_*T_)</f>
        <v>0</v>
      </c>
      <c r="K1607" s="25">
        <v>-1.95428876009479</v>
      </c>
      <c r="L1607" s="25">
        <v>-2.52428876009479</v>
      </c>
      <c r="M1607" s="28">
        <v>1</v>
      </c>
      <c r="N1607" s="28">
        <v>1</v>
      </c>
    </row>
    <row r="1608" spans="7:14">
      <c r="G1608" s="24">
        <v>1607</v>
      </c>
      <c r="H1608" s="25">
        <f>S0_</f>
        <v>100</v>
      </c>
      <c r="I1608" s="25">
        <f ca="1">S0_*EXP((mu_-sigma_^2/2)*Dt_+sigma_*SQRT(Dt_)*_xlfn.NORM.INV(RAND(),0,1))</f>
        <v>106.943219669764</v>
      </c>
      <c r="J1608" s="25">
        <f ca="1">MAX(k_-I1608,0)*EXP(-rs_*T_)</f>
        <v>0</v>
      </c>
      <c r="K1608" s="25">
        <v>6.74138636761947</v>
      </c>
      <c r="L1608" s="25">
        <v>6.17138636761947</v>
      </c>
      <c r="M1608" s="28">
        <v>0</v>
      </c>
      <c r="N1608" s="28">
        <v>0</v>
      </c>
    </row>
    <row r="1609" spans="7:14">
      <c r="G1609" s="24">
        <v>1608</v>
      </c>
      <c r="H1609" s="25">
        <f>S0_</f>
        <v>100</v>
      </c>
      <c r="I1609" s="25">
        <f ca="1">S0_*EXP((mu_-sigma_^2/2)*Dt_+sigma_*SQRT(Dt_)*_xlfn.NORM.INV(RAND(),0,1))</f>
        <v>118.999974752993</v>
      </c>
      <c r="J1609" s="25">
        <f ca="1">MAX(k_-I1609,0)*EXP(-rs_*T_)</f>
        <v>0</v>
      </c>
      <c r="K1609" s="25">
        <v>18.4476621620845</v>
      </c>
      <c r="L1609" s="25">
        <v>17.8776621620845</v>
      </c>
      <c r="M1609" s="28">
        <v>0</v>
      </c>
      <c r="N1609" s="28">
        <v>0</v>
      </c>
    </row>
    <row r="1610" spans="7:14">
      <c r="G1610" s="24">
        <v>1609</v>
      </c>
      <c r="H1610" s="25">
        <f>S0_</f>
        <v>100</v>
      </c>
      <c r="I1610" s="25">
        <f ca="1">S0_*EXP((mu_-sigma_^2/2)*Dt_+sigma_*SQRT(Dt_)*_xlfn.NORM.INV(RAND(),0,1))</f>
        <v>95.586347682684</v>
      </c>
      <c r="J1610" s="25">
        <f ca="1">MAX(k_-I1610,0)*EXP(-rs_*T_)</f>
        <v>1.37255868513115</v>
      </c>
      <c r="K1610" s="25">
        <v>-4.28535131805473</v>
      </c>
      <c r="L1610" s="25">
        <v>-3.48279263292358</v>
      </c>
      <c r="M1610" s="28">
        <v>1</v>
      </c>
      <c r="N1610" s="28">
        <v>1</v>
      </c>
    </row>
    <row r="1611" spans="7:14">
      <c r="G1611" s="24">
        <v>1610</v>
      </c>
      <c r="H1611" s="25">
        <f>S0_</f>
        <v>100</v>
      </c>
      <c r="I1611" s="25">
        <f ca="1">S0_*EXP((mu_-sigma_^2/2)*Dt_+sigma_*SQRT(Dt_)*_xlfn.NORM.INV(RAND(),0,1))</f>
        <v>120.364372394502</v>
      </c>
      <c r="J1611" s="25">
        <f ca="1">MAX(k_-I1611,0)*EXP(-rs_*T_)</f>
        <v>0</v>
      </c>
      <c r="K1611" s="25">
        <v>19.7723979616056</v>
      </c>
      <c r="L1611" s="25">
        <v>19.2023979616056</v>
      </c>
      <c r="M1611" s="28">
        <v>0</v>
      </c>
      <c r="N1611" s="28">
        <v>0</v>
      </c>
    </row>
    <row r="1612" spans="7:14">
      <c r="G1612" s="24">
        <v>1611</v>
      </c>
      <c r="H1612" s="25">
        <f>S0_</f>
        <v>100</v>
      </c>
      <c r="I1612" s="25">
        <f ca="1">S0_*EXP((mu_-sigma_^2/2)*Dt_+sigma_*SQRT(Dt_)*_xlfn.NORM.INV(RAND(),0,1))</f>
        <v>102.684610688145</v>
      </c>
      <c r="J1612" s="25">
        <f ca="1">MAX(k_-I1612,0)*EXP(-rs_*T_)</f>
        <v>0</v>
      </c>
      <c r="K1612" s="25">
        <v>2.60657141156535</v>
      </c>
      <c r="L1612" s="25">
        <v>2.03657141156535</v>
      </c>
      <c r="M1612" s="28">
        <v>0</v>
      </c>
      <c r="N1612" s="28">
        <v>0</v>
      </c>
    </row>
    <row r="1613" spans="7:14">
      <c r="G1613" s="24">
        <v>1612</v>
      </c>
      <c r="H1613" s="25">
        <f>S0_</f>
        <v>100</v>
      </c>
      <c r="I1613" s="25">
        <f ca="1">S0_*EXP((mu_-sigma_^2/2)*Dt_+sigma_*SQRT(Dt_)*_xlfn.NORM.INV(RAND(),0,1))</f>
        <v>107.512382270579</v>
      </c>
      <c r="J1613" s="25">
        <f ca="1">MAX(k_-I1613,0)*EXP(-rs_*T_)</f>
        <v>0</v>
      </c>
      <c r="K1613" s="25">
        <v>7.29400391114894</v>
      </c>
      <c r="L1613" s="25">
        <v>6.72400391114894</v>
      </c>
      <c r="M1613" s="28">
        <v>0</v>
      </c>
      <c r="N1613" s="28">
        <v>0</v>
      </c>
    </row>
    <row r="1614" spans="7:14">
      <c r="G1614" s="24">
        <v>1613</v>
      </c>
      <c r="H1614" s="25">
        <f>S0_</f>
        <v>100</v>
      </c>
      <c r="I1614" s="25">
        <f ca="1">S0_*EXP((mu_-sigma_^2/2)*Dt_+sigma_*SQRT(Dt_)*_xlfn.NORM.INV(RAND(),0,1))</f>
        <v>106.0368969116</v>
      </c>
      <c r="J1614" s="25">
        <f ca="1">MAX(k_-I1614,0)*EXP(-rs_*T_)</f>
        <v>0</v>
      </c>
      <c r="K1614" s="25">
        <v>5.86140961660921</v>
      </c>
      <c r="L1614" s="25">
        <v>5.29140961660921</v>
      </c>
      <c r="M1614" s="28">
        <v>0</v>
      </c>
      <c r="N1614" s="28">
        <v>0</v>
      </c>
    </row>
    <row r="1615" spans="7:14">
      <c r="G1615" s="24">
        <v>1614</v>
      </c>
      <c r="H1615" s="25">
        <f>S0_</f>
        <v>100</v>
      </c>
      <c r="I1615" s="25">
        <f ca="1">S0_*EXP((mu_-sigma_^2/2)*Dt_+sigma_*SQRT(Dt_)*_xlfn.NORM.INV(RAND(),0,1))</f>
        <v>90.9960592594218</v>
      </c>
      <c r="J1615" s="25">
        <f ca="1">MAX(k_-I1615,0)*EXP(-rs_*T_)</f>
        <v>5.82941145255529</v>
      </c>
      <c r="K1615" s="25">
        <v>-8.74220408547887</v>
      </c>
      <c r="L1615" s="25">
        <v>-3.48279263292358</v>
      </c>
      <c r="M1615" s="28">
        <v>1</v>
      </c>
      <c r="N1615" s="28">
        <v>1</v>
      </c>
    </row>
    <row r="1616" spans="7:14">
      <c r="G1616" s="24">
        <v>1615</v>
      </c>
      <c r="H1616" s="25">
        <f>S0_</f>
        <v>100</v>
      </c>
      <c r="I1616" s="25">
        <f ca="1">S0_*EXP((mu_-sigma_^2/2)*Dt_+sigma_*SQRT(Dt_)*_xlfn.NORM.INV(RAND(),0,1))</f>
        <v>109.169454202118</v>
      </c>
      <c r="J1616" s="25">
        <f ca="1">MAX(k_-I1616,0)*EXP(-rs_*T_)</f>
        <v>0</v>
      </c>
      <c r="K1616" s="25">
        <v>8.902906215953</v>
      </c>
      <c r="L1616" s="25">
        <v>8.332906215953</v>
      </c>
      <c r="M1616" s="28">
        <v>0</v>
      </c>
      <c r="N1616" s="28">
        <v>0</v>
      </c>
    </row>
    <row r="1617" spans="7:14">
      <c r="G1617" s="24">
        <v>1616</v>
      </c>
      <c r="H1617" s="25">
        <f>S0_</f>
        <v>100</v>
      </c>
      <c r="I1617" s="25">
        <f ca="1">S0_*EXP((mu_-sigma_^2/2)*Dt_+sigma_*SQRT(Dt_)*_xlfn.NORM.INV(RAND(),0,1))</f>
        <v>96.905128051353</v>
      </c>
      <c r="J1617" s="25">
        <f ca="1">MAX(k_-I1617,0)*EXP(-rs_*T_)</f>
        <v>0.0921141043633866</v>
      </c>
      <c r="K1617" s="25">
        <v>-3.00490673728697</v>
      </c>
      <c r="L1617" s="25">
        <v>-3.48279263292358</v>
      </c>
      <c r="M1617" s="28">
        <v>1</v>
      </c>
      <c r="N1617" s="28">
        <v>1</v>
      </c>
    </row>
    <row r="1618" spans="7:14">
      <c r="G1618" s="24">
        <v>1617</v>
      </c>
      <c r="H1618" s="25">
        <f>S0_</f>
        <v>100</v>
      </c>
      <c r="I1618" s="25">
        <f ca="1">S0_*EXP((mu_-sigma_^2/2)*Dt_+sigma_*SQRT(Dt_)*_xlfn.NORM.INV(RAND(),0,1))</f>
        <v>103.95922047622</v>
      </c>
      <c r="J1618" s="25">
        <f ca="1">MAX(k_-I1618,0)*EXP(-rs_*T_)</f>
        <v>0</v>
      </c>
      <c r="K1618" s="25">
        <v>3.84412941175105</v>
      </c>
      <c r="L1618" s="25">
        <v>3.27412941175105</v>
      </c>
      <c r="M1618" s="28">
        <v>0</v>
      </c>
      <c r="N1618" s="28">
        <v>0</v>
      </c>
    </row>
    <row r="1619" spans="7:14">
      <c r="G1619" s="24">
        <v>1618</v>
      </c>
      <c r="H1619" s="25">
        <f>S0_</f>
        <v>100</v>
      </c>
      <c r="I1619" s="25">
        <f ca="1">S0_*EXP((mu_-sigma_^2/2)*Dt_+sigma_*SQRT(Dt_)*_xlfn.NORM.INV(RAND(),0,1))</f>
        <v>113.3107105755</v>
      </c>
      <c r="J1619" s="25">
        <f ca="1">MAX(k_-I1619,0)*EXP(-rs_*T_)</f>
        <v>0</v>
      </c>
      <c r="K1619" s="25">
        <v>12.9237799010979</v>
      </c>
      <c r="L1619" s="25">
        <v>12.3537799010979</v>
      </c>
      <c r="M1619" s="28">
        <v>0</v>
      </c>
      <c r="N1619" s="28">
        <v>0</v>
      </c>
    </row>
    <row r="1620" spans="7:14">
      <c r="G1620" s="24">
        <v>1619</v>
      </c>
      <c r="H1620" s="25">
        <f>S0_</f>
        <v>100</v>
      </c>
      <c r="I1620" s="25">
        <f ca="1">S0_*EXP((mu_-sigma_^2/2)*Dt_+sigma_*SQRT(Dt_)*_xlfn.NORM.INV(RAND(),0,1))</f>
        <v>115.642868993892</v>
      </c>
      <c r="J1620" s="25">
        <f ca="1">MAX(k_-I1620,0)*EXP(-rs_*T_)</f>
        <v>0</v>
      </c>
      <c r="K1620" s="25">
        <v>15.1881445210662</v>
      </c>
      <c r="L1620" s="25">
        <v>14.6181445210662</v>
      </c>
      <c r="M1620" s="28">
        <v>0</v>
      </c>
      <c r="N1620" s="28">
        <v>0</v>
      </c>
    </row>
    <row r="1621" spans="7:14">
      <c r="G1621" s="24">
        <v>1620</v>
      </c>
      <c r="H1621" s="25">
        <f>S0_</f>
        <v>100</v>
      </c>
      <c r="I1621" s="25">
        <f ca="1">S0_*EXP((mu_-sigma_^2/2)*Dt_+sigma_*SQRT(Dt_)*_xlfn.NORM.INV(RAND(),0,1))</f>
        <v>102.743763740946</v>
      </c>
      <c r="J1621" s="25">
        <f ca="1">MAX(k_-I1621,0)*EXP(-rs_*T_)</f>
        <v>0</v>
      </c>
      <c r="K1621" s="25">
        <v>2.66400493703653</v>
      </c>
      <c r="L1621" s="25">
        <v>2.09400493703653</v>
      </c>
      <c r="M1621" s="28">
        <v>0</v>
      </c>
      <c r="N1621" s="28">
        <v>0</v>
      </c>
    </row>
    <row r="1622" spans="7:14">
      <c r="G1622" s="24">
        <v>1621</v>
      </c>
      <c r="H1622" s="25">
        <f>S0_</f>
        <v>100</v>
      </c>
      <c r="I1622" s="25">
        <f ca="1">S0_*EXP((mu_-sigma_^2/2)*Dt_+sigma_*SQRT(Dt_)*_xlfn.NORM.INV(RAND(),0,1))</f>
        <v>116.338025302821</v>
      </c>
      <c r="J1622" s="25">
        <f ca="1">MAX(k_-I1622,0)*EXP(-rs_*T_)</f>
        <v>0</v>
      </c>
      <c r="K1622" s="25">
        <v>15.8630932461918</v>
      </c>
      <c r="L1622" s="25">
        <v>15.2930932461918</v>
      </c>
      <c r="M1622" s="28">
        <v>0</v>
      </c>
      <c r="N1622" s="28">
        <v>0</v>
      </c>
    </row>
    <row r="1623" spans="7:14">
      <c r="G1623" s="24">
        <v>1622</v>
      </c>
      <c r="H1623" s="25">
        <f>S0_</f>
        <v>100</v>
      </c>
      <c r="I1623" s="25">
        <f ca="1">S0_*EXP((mu_-sigma_^2/2)*Dt_+sigma_*SQRT(Dt_)*_xlfn.NORM.INV(RAND(),0,1))</f>
        <v>116.182140227822</v>
      </c>
      <c r="J1623" s="25">
        <f ca="1">MAX(k_-I1623,0)*EXP(-rs_*T_)</f>
        <v>0</v>
      </c>
      <c r="K1623" s="25">
        <v>15.7117396135125</v>
      </c>
      <c r="L1623" s="25">
        <v>15.1417396135125</v>
      </c>
      <c r="M1623" s="28">
        <v>0</v>
      </c>
      <c r="N1623" s="28">
        <v>0</v>
      </c>
    </row>
    <row r="1624" spans="7:14">
      <c r="G1624" s="24">
        <v>1623</v>
      </c>
      <c r="H1624" s="25">
        <f>S0_</f>
        <v>100</v>
      </c>
      <c r="I1624" s="25">
        <f ca="1">S0_*EXP((mu_-sigma_^2/2)*Dt_+sigma_*SQRT(Dt_)*_xlfn.NORM.INV(RAND(),0,1))</f>
        <v>92.2238771176434</v>
      </c>
      <c r="J1624" s="25">
        <f ca="1">MAX(k_-I1624,0)*EXP(-rs_*T_)</f>
        <v>4.63728518188864</v>
      </c>
      <c r="K1624" s="25">
        <v>-7.55007781481223</v>
      </c>
      <c r="L1624" s="25">
        <v>-3.48279263292358</v>
      </c>
      <c r="M1624" s="28">
        <v>1</v>
      </c>
      <c r="N1624" s="28">
        <v>1</v>
      </c>
    </row>
    <row r="1625" spans="7:14">
      <c r="G1625" s="24">
        <v>1624</v>
      </c>
      <c r="H1625" s="25">
        <f>S0_</f>
        <v>100</v>
      </c>
      <c r="I1625" s="25">
        <f ca="1">S0_*EXP((mu_-sigma_^2/2)*Dt_+sigma_*SQRT(Dt_)*_xlfn.NORM.INV(RAND(),0,1))</f>
        <v>100.947228618376</v>
      </c>
      <c r="J1625" s="25">
        <f ca="1">MAX(k_-I1625,0)*EXP(-rs_*T_)</f>
        <v>0</v>
      </c>
      <c r="K1625" s="25">
        <v>0.919693513766267</v>
      </c>
      <c r="L1625" s="25">
        <v>0.349693513766267</v>
      </c>
      <c r="M1625" s="28">
        <v>0</v>
      </c>
      <c r="N1625" s="28">
        <v>0</v>
      </c>
    </row>
    <row r="1626" spans="7:14">
      <c r="G1626" s="24">
        <v>1625</v>
      </c>
      <c r="H1626" s="25">
        <f>S0_</f>
        <v>100</v>
      </c>
      <c r="I1626" s="25">
        <f ca="1">S0_*EXP((mu_-sigma_^2/2)*Dt_+sigma_*SQRT(Dt_)*_xlfn.NORM.INV(RAND(),0,1))</f>
        <v>111.743718833087</v>
      </c>
      <c r="J1626" s="25">
        <f ca="1">MAX(k_-I1626,0)*EXP(-rs_*T_)</f>
        <v>0</v>
      </c>
      <c r="K1626" s="25">
        <v>11.4023392333803</v>
      </c>
      <c r="L1626" s="25">
        <v>10.8323392333803</v>
      </c>
      <c r="M1626" s="28">
        <v>0</v>
      </c>
      <c r="N1626" s="28">
        <v>0</v>
      </c>
    </row>
    <row r="1627" spans="7:14">
      <c r="G1627" s="24">
        <v>1626</v>
      </c>
      <c r="H1627" s="25">
        <f>S0_</f>
        <v>100</v>
      </c>
      <c r="I1627" s="25">
        <f ca="1">S0_*EXP((mu_-sigma_^2/2)*Dt_+sigma_*SQRT(Dt_)*_xlfn.NORM.INV(RAND(),0,1))</f>
        <v>94.9901274283473</v>
      </c>
      <c r="J1627" s="25">
        <f ca="1">MAX(k_-I1627,0)*EXP(-rs_*T_)</f>
        <v>1.95144733994174</v>
      </c>
      <c r="K1627" s="25">
        <v>-4.86423997286532</v>
      </c>
      <c r="L1627" s="25">
        <v>-3.48279263292358</v>
      </c>
      <c r="M1627" s="28">
        <v>1</v>
      </c>
      <c r="N1627" s="28">
        <v>1</v>
      </c>
    </row>
    <row r="1628" spans="7:14">
      <c r="G1628" s="24">
        <v>1627</v>
      </c>
      <c r="H1628" s="25">
        <f>S0_</f>
        <v>100</v>
      </c>
      <c r="I1628" s="25">
        <f ca="1">S0_*EXP((mu_-sigma_^2/2)*Dt_+sigma_*SQRT(Dt_)*_xlfn.NORM.INV(RAND(),0,1))</f>
        <v>117.489739185395</v>
      </c>
      <c r="J1628" s="25">
        <f ca="1">MAX(k_-I1628,0)*EXP(-rs_*T_)</f>
        <v>0</v>
      </c>
      <c r="K1628" s="25">
        <v>16.9813278169916</v>
      </c>
      <c r="L1628" s="25">
        <v>16.4113278169916</v>
      </c>
      <c r="M1628" s="28">
        <v>0</v>
      </c>
      <c r="N1628" s="28">
        <v>0</v>
      </c>
    </row>
    <row r="1629" spans="7:14">
      <c r="G1629" s="24">
        <v>1628</v>
      </c>
      <c r="H1629" s="25">
        <f>S0_</f>
        <v>100</v>
      </c>
      <c r="I1629" s="25">
        <f ca="1">S0_*EXP((mu_-sigma_^2/2)*Dt_+sigma_*SQRT(Dt_)*_xlfn.NORM.INV(RAND(),0,1))</f>
        <v>103.677751557935</v>
      </c>
      <c r="J1629" s="25">
        <f ca="1">MAX(k_-I1629,0)*EXP(-rs_*T_)</f>
        <v>0</v>
      </c>
      <c r="K1629" s="25">
        <v>3.57084254789211</v>
      </c>
      <c r="L1629" s="25">
        <v>3.00084254789211</v>
      </c>
      <c r="M1629" s="28">
        <v>0</v>
      </c>
      <c r="N1629" s="28">
        <v>0</v>
      </c>
    </row>
    <row r="1630" spans="7:14">
      <c r="G1630" s="24">
        <v>1629</v>
      </c>
      <c r="H1630" s="25">
        <f>S0_</f>
        <v>100</v>
      </c>
      <c r="I1630" s="25">
        <f ca="1">S0_*EXP((mu_-sigma_^2/2)*Dt_+sigma_*SQRT(Dt_)*_xlfn.NORM.INV(RAND(),0,1))</f>
        <v>104.166544380759</v>
      </c>
      <c r="J1630" s="25">
        <f ca="1">MAX(k_-I1630,0)*EXP(-rs_*T_)</f>
        <v>0</v>
      </c>
      <c r="K1630" s="25">
        <v>4.04542659234098</v>
      </c>
      <c r="L1630" s="25">
        <v>3.47542659234098</v>
      </c>
      <c r="M1630" s="28">
        <v>0</v>
      </c>
      <c r="N1630" s="28">
        <v>0</v>
      </c>
    </row>
    <row r="1631" spans="7:14">
      <c r="G1631" s="24">
        <v>1630</v>
      </c>
      <c r="H1631" s="25">
        <f>S0_</f>
        <v>100</v>
      </c>
      <c r="I1631" s="25">
        <f ca="1">S0_*EXP((mu_-sigma_^2/2)*Dt_+sigma_*SQRT(Dt_)*_xlfn.NORM.INV(RAND(),0,1))</f>
        <v>95.1329652136247</v>
      </c>
      <c r="J1631" s="25">
        <f ca="1">MAX(k_-I1631,0)*EXP(-rs_*T_)</f>
        <v>1.81276172372197</v>
      </c>
      <c r="K1631" s="25">
        <v>-4.72555435664555</v>
      </c>
      <c r="L1631" s="25">
        <v>-3.48279263292358</v>
      </c>
      <c r="M1631" s="28">
        <v>1</v>
      </c>
      <c r="N1631" s="28">
        <v>1</v>
      </c>
    </row>
    <row r="1632" spans="7:14">
      <c r="G1632" s="24">
        <v>1631</v>
      </c>
      <c r="H1632" s="25">
        <f>S0_</f>
        <v>100</v>
      </c>
      <c r="I1632" s="25">
        <f ca="1">S0_*EXP((mu_-sigma_^2/2)*Dt_+sigma_*SQRT(Dt_)*_xlfn.NORM.INV(RAND(),0,1))</f>
        <v>113.099223024582</v>
      </c>
      <c r="J1632" s="25">
        <f ca="1">MAX(k_-I1632,0)*EXP(-rs_*T_)</f>
        <v>0</v>
      </c>
      <c r="K1632" s="25">
        <v>12.7184401076751</v>
      </c>
      <c r="L1632" s="25">
        <v>12.1484401076751</v>
      </c>
      <c r="M1632" s="28">
        <v>0</v>
      </c>
      <c r="N1632" s="28">
        <v>0</v>
      </c>
    </row>
    <row r="1633" spans="7:14">
      <c r="G1633" s="24">
        <v>1632</v>
      </c>
      <c r="H1633" s="25">
        <f>S0_</f>
        <v>100</v>
      </c>
      <c r="I1633" s="25">
        <f ca="1">S0_*EXP((mu_-sigma_^2/2)*Dt_+sigma_*SQRT(Dt_)*_xlfn.NORM.INV(RAND(),0,1))</f>
        <v>123.710972568814</v>
      </c>
      <c r="J1633" s="25">
        <f ca="1">MAX(k_-I1633,0)*EXP(-rs_*T_)</f>
        <v>0</v>
      </c>
      <c r="K1633" s="25">
        <v>23.0217154059653</v>
      </c>
      <c r="L1633" s="25">
        <v>22.4517154059653</v>
      </c>
      <c r="M1633" s="28">
        <v>0</v>
      </c>
      <c r="N1633" s="28">
        <v>0</v>
      </c>
    </row>
    <row r="1634" spans="7:14">
      <c r="G1634" s="24">
        <v>1633</v>
      </c>
      <c r="H1634" s="25">
        <f>S0_</f>
        <v>100</v>
      </c>
      <c r="I1634" s="25">
        <f ca="1">S0_*EXP((mu_-sigma_^2/2)*Dt_+sigma_*SQRT(Dt_)*_xlfn.NORM.INV(RAND(),0,1))</f>
        <v>116.691205456209</v>
      </c>
      <c r="J1634" s="25">
        <f ca="1">MAX(k_-I1634,0)*EXP(-rs_*T_)</f>
        <v>0</v>
      </c>
      <c r="K1634" s="25">
        <v>16.206006762486</v>
      </c>
      <c r="L1634" s="25">
        <v>15.636006762486</v>
      </c>
      <c r="M1634" s="28">
        <v>0</v>
      </c>
      <c r="N1634" s="28">
        <v>0</v>
      </c>
    </row>
    <row r="1635" spans="7:14">
      <c r="G1635" s="24">
        <v>1634</v>
      </c>
      <c r="H1635" s="25">
        <f>S0_</f>
        <v>100</v>
      </c>
      <c r="I1635" s="25">
        <f ca="1">S0_*EXP((mu_-sigma_^2/2)*Dt_+sigma_*SQRT(Dt_)*_xlfn.NORM.INV(RAND(),0,1))</f>
        <v>100.897246833854</v>
      </c>
      <c r="J1635" s="25">
        <f ca="1">MAX(k_-I1635,0)*EXP(-rs_*T_)</f>
        <v>0</v>
      </c>
      <c r="K1635" s="25">
        <v>0.871164655854742</v>
      </c>
      <c r="L1635" s="25">
        <v>0.301164655854742</v>
      </c>
      <c r="M1635" s="28">
        <v>0</v>
      </c>
      <c r="N1635" s="28">
        <v>0</v>
      </c>
    </row>
    <row r="1636" spans="7:14">
      <c r="G1636" s="24">
        <v>1635</v>
      </c>
      <c r="H1636" s="25">
        <f>S0_</f>
        <v>100</v>
      </c>
      <c r="I1636" s="25">
        <f ca="1">S0_*EXP((mu_-sigma_^2/2)*Dt_+sigma_*SQRT(Dt_)*_xlfn.NORM.INV(RAND(),0,1))</f>
        <v>93.8898748996819</v>
      </c>
      <c r="J1636" s="25">
        <f ca="1">MAX(k_-I1636,0)*EXP(-rs_*T_)</f>
        <v>3.01971649322575</v>
      </c>
      <c r="K1636" s="25">
        <v>-5.93250912614933</v>
      </c>
      <c r="L1636" s="25">
        <v>-3.48279263292358</v>
      </c>
      <c r="M1636" s="28">
        <v>1</v>
      </c>
      <c r="N1636" s="28">
        <v>1</v>
      </c>
    </row>
    <row r="1637" spans="7:14">
      <c r="G1637" s="24">
        <v>1636</v>
      </c>
      <c r="H1637" s="25">
        <f>S0_</f>
        <v>100</v>
      </c>
      <c r="I1637" s="25">
        <f ca="1">S0_*EXP((mu_-sigma_^2/2)*Dt_+sigma_*SQRT(Dt_)*_xlfn.NORM.INV(RAND(),0,1))</f>
        <v>102.335483136377</v>
      </c>
      <c r="J1637" s="25">
        <f ca="1">MAX(k_-I1637,0)*EXP(-rs_*T_)</f>
        <v>0</v>
      </c>
      <c r="K1637" s="25">
        <v>2.26759269131874</v>
      </c>
      <c r="L1637" s="25">
        <v>1.69759269131874</v>
      </c>
      <c r="M1637" s="28">
        <v>0</v>
      </c>
      <c r="N1637" s="28">
        <v>0</v>
      </c>
    </row>
    <row r="1638" spans="7:14">
      <c r="G1638" s="24">
        <v>1637</v>
      </c>
      <c r="H1638" s="25">
        <f>S0_</f>
        <v>100</v>
      </c>
      <c r="I1638" s="25">
        <f ca="1">S0_*EXP((mu_-sigma_^2/2)*Dt_+sigma_*SQRT(Dt_)*_xlfn.NORM.INV(RAND(),0,1))</f>
        <v>110.239646512812</v>
      </c>
      <c r="J1638" s="25">
        <f ca="1">MAX(k_-I1638,0)*EXP(-rs_*T_)</f>
        <v>0</v>
      </c>
      <c r="K1638" s="25">
        <v>9.94198897542004</v>
      </c>
      <c r="L1638" s="25">
        <v>9.37198897542004</v>
      </c>
      <c r="M1638" s="28">
        <v>0</v>
      </c>
      <c r="N1638" s="28">
        <v>0</v>
      </c>
    </row>
    <row r="1639" spans="7:14">
      <c r="G1639" s="24">
        <v>1638</v>
      </c>
      <c r="H1639" s="25">
        <f>S0_</f>
        <v>100</v>
      </c>
      <c r="I1639" s="25">
        <f ca="1">S0_*EXP((mu_-sigma_^2/2)*Dt_+sigma_*SQRT(Dt_)*_xlfn.NORM.INV(RAND(),0,1))</f>
        <v>99.3423859770066</v>
      </c>
      <c r="J1639" s="25">
        <f ca="1">MAX(k_-I1639,0)*EXP(-rs_*T_)</f>
        <v>0</v>
      </c>
      <c r="K1639" s="25">
        <v>-0.638497760494152</v>
      </c>
      <c r="L1639" s="25">
        <v>-1.20849776049415</v>
      </c>
      <c r="M1639" s="28">
        <v>1</v>
      </c>
      <c r="N1639" s="28">
        <v>1</v>
      </c>
    </row>
    <row r="1640" spans="7:14">
      <c r="G1640" s="24">
        <v>1639</v>
      </c>
      <c r="H1640" s="25">
        <f>S0_</f>
        <v>100</v>
      </c>
      <c r="I1640" s="25">
        <f ca="1">S0_*EXP((mu_-sigma_^2/2)*Dt_+sigma_*SQRT(Dt_)*_xlfn.NORM.INV(RAND(),0,1))</f>
        <v>94.9938502926638</v>
      </c>
      <c r="J1640" s="25">
        <f ca="1">MAX(k_-I1640,0)*EXP(-rs_*T_)</f>
        <v>1.9478326960236</v>
      </c>
      <c r="K1640" s="25">
        <v>-4.86062532894718</v>
      </c>
      <c r="L1640" s="25">
        <v>-3.48279263292358</v>
      </c>
      <c r="M1640" s="28">
        <v>1</v>
      </c>
      <c r="N1640" s="28">
        <v>1</v>
      </c>
    </row>
    <row r="1641" spans="7:14">
      <c r="G1641" s="24">
        <v>1640</v>
      </c>
      <c r="H1641" s="25">
        <f>S0_</f>
        <v>100</v>
      </c>
      <c r="I1641" s="25">
        <f ca="1">S0_*EXP((mu_-sigma_^2/2)*Dt_+sigma_*SQRT(Dt_)*_xlfn.NORM.INV(RAND(),0,1))</f>
        <v>98.6382770352787</v>
      </c>
      <c r="J1641" s="25">
        <f ca="1">MAX(k_-I1641,0)*EXP(-rs_*T_)</f>
        <v>0</v>
      </c>
      <c r="K1641" s="25">
        <v>-1.32213887324104</v>
      </c>
      <c r="L1641" s="25">
        <v>-1.89213887324104</v>
      </c>
      <c r="M1641" s="28">
        <v>1</v>
      </c>
      <c r="N1641" s="28">
        <v>1</v>
      </c>
    </row>
    <row r="1642" spans="7:14">
      <c r="G1642" s="24">
        <v>1641</v>
      </c>
      <c r="H1642" s="25">
        <f>S0_</f>
        <v>100</v>
      </c>
      <c r="I1642" s="25">
        <f ca="1">S0_*EXP((mu_-sigma_^2/2)*Dt_+sigma_*SQRT(Dt_)*_xlfn.NORM.INV(RAND(),0,1))</f>
        <v>112.036915022993</v>
      </c>
      <c r="J1642" s="25">
        <f ca="1">MAX(k_-I1642,0)*EXP(-rs_*T_)</f>
        <v>0</v>
      </c>
      <c r="K1642" s="25">
        <v>11.6870124673674</v>
      </c>
      <c r="L1642" s="25">
        <v>11.1170124673674</v>
      </c>
      <c r="M1642" s="28">
        <v>0</v>
      </c>
      <c r="N1642" s="28">
        <v>0</v>
      </c>
    </row>
    <row r="1643" spans="7:14">
      <c r="G1643" s="24">
        <v>1642</v>
      </c>
      <c r="H1643" s="25">
        <f>S0_</f>
        <v>100</v>
      </c>
      <c r="I1643" s="25">
        <f ca="1">S0_*EXP((mu_-sigma_^2/2)*Dt_+sigma_*SQRT(Dt_)*_xlfn.NORM.INV(RAND(),0,1))</f>
        <v>92.5422681940559</v>
      </c>
      <c r="J1643" s="25">
        <f ca="1">MAX(k_-I1643,0)*EXP(-rs_*T_)</f>
        <v>4.32814945463436</v>
      </c>
      <c r="K1643" s="25">
        <v>-7.24094208755795</v>
      </c>
      <c r="L1643" s="25">
        <v>-3.48279263292358</v>
      </c>
      <c r="M1643" s="28">
        <v>1</v>
      </c>
      <c r="N1643" s="28">
        <v>1</v>
      </c>
    </row>
    <row r="1644" spans="7:14">
      <c r="G1644" s="24">
        <v>1643</v>
      </c>
      <c r="H1644" s="25">
        <f>S0_</f>
        <v>100</v>
      </c>
      <c r="I1644" s="25">
        <f ca="1">S0_*EXP((mu_-sigma_^2/2)*Dt_+sigma_*SQRT(Dt_)*_xlfn.NORM.INV(RAND(),0,1))</f>
        <v>107.231200755704</v>
      </c>
      <c r="J1644" s="25">
        <f ca="1">MAX(k_-I1644,0)*EXP(-rs_*T_)</f>
        <v>0</v>
      </c>
      <c r="K1644" s="25">
        <v>7.02099609613514</v>
      </c>
      <c r="L1644" s="25">
        <v>6.45099609613514</v>
      </c>
      <c r="M1644" s="28">
        <v>0</v>
      </c>
      <c r="N1644" s="28">
        <v>0</v>
      </c>
    </row>
    <row r="1645" spans="7:14">
      <c r="G1645" s="24">
        <v>1644</v>
      </c>
      <c r="H1645" s="25">
        <f>S0_</f>
        <v>100</v>
      </c>
      <c r="I1645" s="25">
        <f ca="1">S0_*EXP((mu_-sigma_^2/2)*Dt_+sigma_*SQRT(Dt_)*_xlfn.NORM.INV(RAND(),0,1))</f>
        <v>112.15488730805</v>
      </c>
      <c r="J1645" s="25">
        <f ca="1">MAX(k_-I1645,0)*EXP(-rs_*T_)</f>
        <v>0</v>
      </c>
      <c r="K1645" s="25">
        <v>11.8015554016347</v>
      </c>
      <c r="L1645" s="25">
        <v>11.2315554016347</v>
      </c>
      <c r="M1645" s="28">
        <v>0</v>
      </c>
      <c r="N1645" s="28">
        <v>0</v>
      </c>
    </row>
    <row r="1646" spans="7:14">
      <c r="G1646" s="24">
        <v>1645</v>
      </c>
      <c r="H1646" s="25">
        <f>S0_</f>
        <v>100</v>
      </c>
      <c r="I1646" s="25">
        <f ca="1">S0_*EXP((mu_-sigma_^2/2)*Dt_+sigma_*SQRT(Dt_)*_xlfn.NORM.INV(RAND(),0,1))</f>
        <v>101.929603120604</v>
      </c>
      <c r="J1646" s="25">
        <f ca="1">MAX(k_-I1646,0)*EXP(-rs_*T_)</f>
        <v>0</v>
      </c>
      <c r="K1646" s="25">
        <v>1.87351125138762</v>
      </c>
      <c r="L1646" s="25">
        <v>1.30351125138762</v>
      </c>
      <c r="M1646" s="28">
        <v>0</v>
      </c>
      <c r="N1646" s="28">
        <v>0</v>
      </c>
    </row>
    <row r="1647" spans="7:14">
      <c r="G1647" s="24">
        <v>1646</v>
      </c>
      <c r="H1647" s="25">
        <f>S0_</f>
        <v>100</v>
      </c>
      <c r="I1647" s="25">
        <f ca="1">S0_*EXP((mu_-sigma_^2/2)*Dt_+sigma_*SQRT(Dt_)*_xlfn.NORM.INV(RAND(),0,1))</f>
        <v>91.2419025223319</v>
      </c>
      <c r="J1647" s="25">
        <f ca="1">MAX(k_-I1647,0)*EXP(-rs_*T_)</f>
        <v>5.59071463753584</v>
      </c>
      <c r="K1647" s="25">
        <v>-8.50350727045942</v>
      </c>
      <c r="L1647" s="25">
        <v>-3.48279263292358</v>
      </c>
      <c r="M1647" s="28">
        <v>1</v>
      </c>
      <c r="N1647" s="28">
        <v>1</v>
      </c>
    </row>
    <row r="1648" spans="7:14">
      <c r="G1648" s="24">
        <v>1647</v>
      </c>
      <c r="H1648" s="25">
        <f>S0_</f>
        <v>100</v>
      </c>
      <c r="I1648" s="25">
        <f ca="1">S0_*EXP((mu_-sigma_^2/2)*Dt_+sigma_*SQRT(Dt_)*_xlfn.NORM.INV(RAND(),0,1))</f>
        <v>108.864021775705</v>
      </c>
      <c r="J1648" s="25">
        <f ca="1">MAX(k_-I1648,0)*EXP(-rs_*T_)</f>
        <v>0</v>
      </c>
      <c r="K1648" s="25">
        <v>8.60635244211583</v>
      </c>
      <c r="L1648" s="25">
        <v>8.03635244211583</v>
      </c>
      <c r="M1648" s="28">
        <v>0</v>
      </c>
      <c r="N1648" s="28">
        <v>0</v>
      </c>
    </row>
    <row r="1649" spans="7:14">
      <c r="G1649" s="24">
        <v>1648</v>
      </c>
      <c r="H1649" s="25">
        <f>S0_</f>
        <v>100</v>
      </c>
      <c r="I1649" s="25">
        <f ca="1">S0_*EXP((mu_-sigma_^2/2)*Dt_+sigma_*SQRT(Dt_)*_xlfn.NORM.INV(RAND(),0,1))</f>
        <v>86.6240578477657</v>
      </c>
      <c r="J1649" s="25">
        <f ca="1">MAX(k_-I1649,0)*EXP(-rs_*T_)</f>
        <v>10.0743226202231</v>
      </c>
      <c r="K1649" s="25">
        <v>-12.9871152531467</v>
      </c>
      <c r="L1649" s="25">
        <v>-3.48279263292358</v>
      </c>
      <c r="M1649" s="28">
        <v>1</v>
      </c>
      <c r="N1649" s="28">
        <v>1</v>
      </c>
    </row>
    <row r="1650" spans="7:14">
      <c r="G1650" s="24">
        <v>1649</v>
      </c>
      <c r="H1650" s="25">
        <f>S0_</f>
        <v>100</v>
      </c>
      <c r="I1650" s="25">
        <f ca="1">S0_*EXP((mu_-sigma_^2/2)*Dt_+sigma_*SQRT(Dt_)*_xlfn.NORM.INV(RAND(),0,1))</f>
        <v>108.403857849184</v>
      </c>
      <c r="J1650" s="25">
        <f ca="1">MAX(k_-I1650,0)*EXP(-rs_*T_)</f>
        <v>0</v>
      </c>
      <c r="K1650" s="25">
        <v>8.15956507708052</v>
      </c>
      <c r="L1650" s="25">
        <v>7.58956507708052</v>
      </c>
      <c r="M1650" s="28">
        <v>0</v>
      </c>
      <c r="N1650" s="28">
        <v>0</v>
      </c>
    </row>
    <row r="1651" spans="7:14">
      <c r="G1651" s="24">
        <v>1650</v>
      </c>
      <c r="H1651" s="25">
        <f>S0_</f>
        <v>100</v>
      </c>
      <c r="I1651" s="25">
        <f ca="1">S0_*EXP((mu_-sigma_^2/2)*Dt_+sigma_*SQRT(Dt_)*_xlfn.NORM.INV(RAND(),0,1))</f>
        <v>114.032452618339</v>
      </c>
      <c r="J1651" s="25">
        <f ca="1">MAX(k_-I1651,0)*EXP(-rs_*T_)</f>
        <v>0</v>
      </c>
      <c r="K1651" s="25">
        <v>13.6245415361823</v>
      </c>
      <c r="L1651" s="25">
        <v>13.0545415361823</v>
      </c>
      <c r="M1651" s="28">
        <v>0</v>
      </c>
      <c r="N1651" s="28">
        <v>0</v>
      </c>
    </row>
    <row r="1652" spans="7:14">
      <c r="G1652" s="24">
        <v>1651</v>
      </c>
      <c r="H1652" s="25">
        <f>S0_</f>
        <v>100</v>
      </c>
      <c r="I1652" s="25">
        <f ca="1">S0_*EXP((mu_-sigma_^2/2)*Dt_+sigma_*SQRT(Dt_)*_xlfn.NORM.INV(RAND(),0,1))</f>
        <v>107.423214275018</v>
      </c>
      <c r="J1652" s="25">
        <f ca="1">MAX(k_-I1652,0)*EXP(-rs_*T_)</f>
        <v>0</v>
      </c>
      <c r="K1652" s="25">
        <v>7.20742795096206</v>
      </c>
      <c r="L1652" s="25">
        <v>6.63742795096206</v>
      </c>
      <c r="M1652" s="28">
        <v>0</v>
      </c>
      <c r="N1652" s="28">
        <v>0</v>
      </c>
    </row>
    <row r="1653" spans="7:14">
      <c r="G1653" s="24">
        <v>1652</v>
      </c>
      <c r="H1653" s="25">
        <f>S0_</f>
        <v>100</v>
      </c>
      <c r="I1653" s="25">
        <f ca="1">S0_*EXP((mu_-sigma_^2/2)*Dt_+sigma_*SQRT(Dt_)*_xlfn.NORM.INV(RAND(),0,1))</f>
        <v>111.187603592377</v>
      </c>
      <c r="J1653" s="25">
        <f ca="1">MAX(k_-I1653,0)*EXP(-rs_*T_)</f>
        <v>0</v>
      </c>
      <c r="K1653" s="25">
        <v>10.8623897746481</v>
      </c>
      <c r="L1653" s="25">
        <v>10.2923897746481</v>
      </c>
      <c r="M1653" s="28">
        <v>0</v>
      </c>
      <c r="N1653" s="28">
        <v>0</v>
      </c>
    </row>
    <row r="1654" spans="7:14">
      <c r="G1654" s="24">
        <v>1653</v>
      </c>
      <c r="H1654" s="25">
        <f>S0_</f>
        <v>100</v>
      </c>
      <c r="I1654" s="25">
        <f ca="1">S0_*EXP((mu_-sigma_^2/2)*Dt_+sigma_*SQRT(Dt_)*_xlfn.NORM.INV(RAND(),0,1))</f>
        <v>96.8215472517525</v>
      </c>
      <c r="J1654" s="25">
        <f ca="1">MAX(k_-I1654,0)*EXP(-rs_*T_)</f>
        <v>0.173265283473409</v>
      </c>
      <c r="K1654" s="25">
        <v>-3.08605791639699</v>
      </c>
      <c r="L1654" s="25">
        <v>-3.48279263292358</v>
      </c>
      <c r="M1654" s="28">
        <v>1</v>
      </c>
      <c r="N1654" s="28">
        <v>1</v>
      </c>
    </row>
    <row r="1655" spans="7:14">
      <c r="G1655" s="24">
        <v>1654</v>
      </c>
      <c r="H1655" s="25">
        <f>S0_</f>
        <v>100</v>
      </c>
      <c r="I1655" s="25">
        <f ca="1">S0_*EXP((mu_-sigma_^2/2)*Dt_+sigma_*SQRT(Dt_)*_xlfn.NORM.INV(RAND(),0,1))</f>
        <v>102.447243195493</v>
      </c>
      <c r="J1655" s="25">
        <f ca="1">MAX(k_-I1655,0)*EXP(-rs_*T_)</f>
        <v>0</v>
      </c>
      <c r="K1655" s="25">
        <v>2.37610398360123</v>
      </c>
      <c r="L1655" s="25">
        <v>1.80610398360123</v>
      </c>
      <c r="M1655" s="28">
        <v>0</v>
      </c>
      <c r="N1655" s="28">
        <v>0</v>
      </c>
    </row>
    <row r="1656" spans="7:14">
      <c r="G1656" s="24">
        <v>1655</v>
      </c>
      <c r="H1656" s="25">
        <f>S0_</f>
        <v>100</v>
      </c>
      <c r="I1656" s="25">
        <f ca="1">S0_*EXP((mu_-sigma_^2/2)*Dt_+sigma_*SQRT(Dt_)*_xlfn.NORM.INV(RAND(),0,1))</f>
        <v>110.701722245287</v>
      </c>
      <c r="J1656" s="25">
        <f ca="1">MAX(k_-I1656,0)*EXP(-rs_*T_)</f>
        <v>0</v>
      </c>
      <c r="K1656" s="25">
        <v>10.390632571889</v>
      </c>
      <c r="L1656" s="25">
        <v>9.82063257188898</v>
      </c>
      <c r="M1656" s="28">
        <v>0</v>
      </c>
      <c r="N1656" s="28">
        <v>0</v>
      </c>
    </row>
    <row r="1657" spans="7:14">
      <c r="G1657" s="24">
        <v>1656</v>
      </c>
      <c r="H1657" s="25">
        <f>S0_</f>
        <v>100</v>
      </c>
      <c r="I1657" s="25">
        <f ca="1">S0_*EXP((mu_-sigma_^2/2)*Dt_+sigma_*SQRT(Dt_)*_xlfn.NORM.INV(RAND(),0,1))</f>
        <v>119.291705034675</v>
      </c>
      <c r="J1657" s="25">
        <f ca="1">MAX(k_-I1657,0)*EXP(-rs_*T_)</f>
        <v>0</v>
      </c>
      <c r="K1657" s="25">
        <v>18.7309121005116</v>
      </c>
      <c r="L1657" s="25">
        <v>18.1609121005116</v>
      </c>
      <c r="M1657" s="28">
        <v>0</v>
      </c>
      <c r="N1657" s="28">
        <v>0</v>
      </c>
    </row>
    <row r="1658" spans="7:14">
      <c r="G1658" s="24">
        <v>1657</v>
      </c>
      <c r="H1658" s="25">
        <f>S0_</f>
        <v>100</v>
      </c>
      <c r="I1658" s="25">
        <f ca="1">S0_*EXP((mu_-sigma_^2/2)*Dt_+sigma_*SQRT(Dt_)*_xlfn.NORM.INV(RAND(),0,1))</f>
        <v>107.993908948143</v>
      </c>
      <c r="J1658" s="25">
        <f ca="1">MAX(k_-I1658,0)*EXP(-rs_*T_)</f>
        <v>0</v>
      </c>
      <c r="K1658" s="25">
        <v>7.76153303080471</v>
      </c>
      <c r="L1658" s="25">
        <v>7.19153303080471</v>
      </c>
      <c r="M1658" s="28">
        <v>0</v>
      </c>
      <c r="N1658" s="28">
        <v>0</v>
      </c>
    </row>
    <row r="1659" spans="7:14">
      <c r="G1659" s="24">
        <v>1658</v>
      </c>
      <c r="H1659" s="25">
        <f>S0_</f>
        <v>100</v>
      </c>
      <c r="I1659" s="25">
        <f ca="1">S0_*EXP((mu_-sigma_^2/2)*Dt_+sigma_*SQRT(Dt_)*_xlfn.NORM.INV(RAND(),0,1))</f>
        <v>103.168707304696</v>
      </c>
      <c r="J1659" s="25">
        <f ca="1">MAX(k_-I1659,0)*EXP(-rs_*T_)</f>
        <v>0</v>
      </c>
      <c r="K1659" s="25">
        <v>3.07659576433655</v>
      </c>
      <c r="L1659" s="25">
        <v>2.50659576433655</v>
      </c>
      <c r="M1659" s="28">
        <v>0</v>
      </c>
      <c r="N1659" s="28">
        <v>0</v>
      </c>
    </row>
    <row r="1660" spans="7:14">
      <c r="G1660" s="24">
        <v>1659</v>
      </c>
      <c r="H1660" s="25">
        <f>S0_</f>
        <v>100</v>
      </c>
      <c r="I1660" s="25">
        <f ca="1">S0_*EXP((mu_-sigma_^2/2)*Dt_+sigma_*SQRT(Dt_)*_xlfn.NORM.INV(RAND(),0,1))</f>
        <v>113.258685483295</v>
      </c>
      <c r="J1660" s="25">
        <f ca="1">MAX(k_-I1660,0)*EXP(-rs_*T_)</f>
        <v>0</v>
      </c>
      <c r="K1660" s="25">
        <v>12.8732671326644</v>
      </c>
      <c r="L1660" s="25">
        <v>12.3032671326644</v>
      </c>
      <c r="M1660" s="28">
        <v>0</v>
      </c>
      <c r="N1660" s="28">
        <v>0</v>
      </c>
    </row>
    <row r="1661" spans="7:14">
      <c r="G1661" s="24">
        <v>1660</v>
      </c>
      <c r="H1661" s="25">
        <f>S0_</f>
        <v>100</v>
      </c>
      <c r="I1661" s="25">
        <f ca="1">S0_*EXP((mu_-sigma_^2/2)*Dt_+sigma_*SQRT(Dt_)*_xlfn.NORM.INV(RAND(),0,1))</f>
        <v>100.504083580269</v>
      </c>
      <c r="J1661" s="25">
        <f ca="1">MAX(k_-I1661,0)*EXP(-rs_*T_)</f>
        <v>0</v>
      </c>
      <c r="K1661" s="25">
        <v>0.489430312995175</v>
      </c>
      <c r="L1661" s="25">
        <v>-0.0805696870048246</v>
      </c>
      <c r="M1661" s="28">
        <v>0</v>
      </c>
      <c r="N1661" s="28">
        <v>1</v>
      </c>
    </row>
    <row r="1662" spans="7:14">
      <c r="G1662" s="24">
        <v>1661</v>
      </c>
      <c r="H1662" s="25">
        <f>S0_</f>
        <v>100</v>
      </c>
      <c r="I1662" s="25">
        <f ca="1">S0_*EXP((mu_-sigma_^2/2)*Dt_+sigma_*SQRT(Dt_)*_xlfn.NORM.INV(RAND(),0,1))</f>
        <v>97.9385063194499</v>
      </c>
      <c r="J1662" s="25">
        <f ca="1">MAX(k_-I1662,0)*EXP(-rs_*T_)</f>
        <v>0</v>
      </c>
      <c r="K1662" s="25">
        <v>-2.00156786850824</v>
      </c>
      <c r="L1662" s="25">
        <v>-2.57156786850824</v>
      </c>
      <c r="M1662" s="28">
        <v>1</v>
      </c>
      <c r="N1662" s="28">
        <v>1</v>
      </c>
    </row>
    <row r="1663" spans="7:14">
      <c r="G1663" s="24">
        <v>1662</v>
      </c>
      <c r="H1663" s="25">
        <f>S0_</f>
        <v>100</v>
      </c>
      <c r="I1663" s="25">
        <f ca="1">S0_*EXP((mu_-sigma_^2/2)*Dt_+sigma_*SQRT(Dt_)*_xlfn.NORM.INV(RAND(),0,1))</f>
        <v>104.247252202495</v>
      </c>
      <c r="J1663" s="25">
        <f ca="1">MAX(k_-I1663,0)*EXP(-rs_*T_)</f>
        <v>0</v>
      </c>
      <c r="K1663" s="25">
        <v>4.12378830853183</v>
      </c>
      <c r="L1663" s="25">
        <v>3.55378830853183</v>
      </c>
      <c r="M1663" s="28">
        <v>0</v>
      </c>
      <c r="N1663" s="28">
        <v>0</v>
      </c>
    </row>
    <row r="1664" spans="7:14">
      <c r="G1664" s="24">
        <v>1663</v>
      </c>
      <c r="H1664" s="25">
        <f>S0_</f>
        <v>100</v>
      </c>
      <c r="I1664" s="25">
        <f ca="1">S0_*EXP((mu_-sigma_^2/2)*Dt_+sigma_*SQRT(Dt_)*_xlfn.NORM.INV(RAND(),0,1))</f>
        <v>107.248896425222</v>
      </c>
      <c r="J1664" s="25">
        <f ca="1">MAX(k_-I1664,0)*EXP(-rs_*T_)</f>
        <v>0</v>
      </c>
      <c r="K1664" s="25">
        <v>7.03817736807072</v>
      </c>
      <c r="L1664" s="25">
        <v>6.46817736807072</v>
      </c>
      <c r="M1664" s="28">
        <v>0</v>
      </c>
      <c r="N1664" s="28">
        <v>0</v>
      </c>
    </row>
    <row r="1665" spans="7:14">
      <c r="G1665" s="24">
        <v>1664</v>
      </c>
      <c r="H1665" s="25">
        <f>S0_</f>
        <v>100</v>
      </c>
      <c r="I1665" s="25">
        <f ca="1">S0_*EXP((mu_-sigma_^2/2)*Dt_+sigma_*SQRT(Dt_)*_xlfn.NORM.INV(RAND(),0,1))</f>
        <v>111.604599797207</v>
      </c>
      <c r="J1665" s="25">
        <f ca="1">MAX(k_-I1665,0)*EXP(-rs_*T_)</f>
        <v>0</v>
      </c>
      <c r="K1665" s="25">
        <v>11.267264265777</v>
      </c>
      <c r="L1665" s="25">
        <v>10.697264265777</v>
      </c>
      <c r="M1665" s="28">
        <v>0</v>
      </c>
      <c r="N1665" s="28">
        <v>0</v>
      </c>
    </row>
    <row r="1666" spans="7:14">
      <c r="G1666" s="24">
        <v>1665</v>
      </c>
      <c r="H1666" s="25">
        <f>S0_</f>
        <v>100</v>
      </c>
      <c r="I1666" s="25">
        <f ca="1">S0_*EXP((mu_-sigma_^2/2)*Dt_+sigma_*SQRT(Dt_)*_xlfn.NORM.INV(RAND(),0,1))</f>
        <v>104.745196861742</v>
      </c>
      <c r="J1666" s="25">
        <f ca="1">MAX(k_-I1666,0)*EXP(-rs_*T_)</f>
        <v>0</v>
      </c>
      <c r="K1666" s="25">
        <v>4.60725815355135</v>
      </c>
      <c r="L1666" s="25">
        <v>4.03725815355135</v>
      </c>
      <c r="M1666" s="28">
        <v>0</v>
      </c>
      <c r="N1666" s="28">
        <v>0</v>
      </c>
    </row>
    <row r="1667" spans="7:14">
      <c r="G1667" s="24">
        <v>1666</v>
      </c>
      <c r="H1667" s="25">
        <f>S0_</f>
        <v>100</v>
      </c>
      <c r="I1667" s="25">
        <f ca="1">S0_*EXP((mu_-sigma_^2/2)*Dt_+sigma_*SQRT(Dt_)*_xlfn.NORM.INV(RAND(),0,1))</f>
        <v>88.3612819025707</v>
      </c>
      <c r="J1667" s="25">
        <f ca="1">MAX(k_-I1667,0)*EXP(-rs_*T_)</f>
        <v>8.38759814403189</v>
      </c>
      <c r="K1667" s="25">
        <v>-11.3003907769555</v>
      </c>
      <c r="L1667" s="25">
        <v>-3.48279263292358</v>
      </c>
      <c r="M1667" s="28">
        <v>1</v>
      </c>
      <c r="N1667" s="28">
        <v>1</v>
      </c>
    </row>
    <row r="1668" spans="7:14">
      <c r="G1668" s="24">
        <v>1667</v>
      </c>
      <c r="H1668" s="25">
        <f>S0_</f>
        <v>100</v>
      </c>
      <c r="I1668" s="25">
        <f ca="1">S0_*EXP((mu_-sigma_^2/2)*Dt_+sigma_*SQRT(Dt_)*_xlfn.NORM.INV(RAND(),0,1))</f>
        <v>111.859791262238</v>
      </c>
      <c r="J1668" s="25">
        <f ca="1">MAX(k_-I1668,0)*EXP(-rs_*T_)</f>
        <v>0</v>
      </c>
      <c r="K1668" s="25">
        <v>11.5150375388859</v>
      </c>
      <c r="L1668" s="25">
        <v>10.9450375388859</v>
      </c>
      <c r="M1668" s="28">
        <v>0</v>
      </c>
      <c r="N1668" s="28">
        <v>0</v>
      </c>
    </row>
    <row r="1669" spans="7:14">
      <c r="G1669" s="24">
        <v>1668</v>
      </c>
      <c r="H1669" s="25">
        <f>S0_</f>
        <v>100</v>
      </c>
      <c r="I1669" s="25">
        <f ca="1">S0_*EXP((mu_-sigma_^2/2)*Dt_+sigma_*SQRT(Dt_)*_xlfn.NORM.INV(RAND(),0,1))</f>
        <v>104.569632907817</v>
      </c>
      <c r="J1669" s="25">
        <f ca="1">MAX(k_-I1669,0)*EXP(-rs_*T_)</f>
        <v>0</v>
      </c>
      <c r="K1669" s="25">
        <v>4.4367976896846</v>
      </c>
      <c r="L1669" s="25">
        <v>3.8667976896846</v>
      </c>
      <c r="M1669" s="28">
        <v>0</v>
      </c>
      <c r="N1669" s="28">
        <v>0</v>
      </c>
    </row>
    <row r="1670" spans="7:14">
      <c r="G1670" s="24">
        <v>1669</v>
      </c>
      <c r="H1670" s="25">
        <f>S0_</f>
        <v>100</v>
      </c>
      <c r="I1670" s="25">
        <f ca="1">S0_*EXP((mu_-sigma_^2/2)*Dt_+sigma_*SQRT(Dt_)*_xlfn.NORM.INV(RAND(),0,1))</f>
        <v>95.8427443987448</v>
      </c>
      <c r="J1670" s="25">
        <f ca="1">MAX(k_-I1670,0)*EXP(-rs_*T_)</f>
        <v>1.12361519658186</v>
      </c>
      <c r="K1670" s="25">
        <v>-4.03640782950544</v>
      </c>
      <c r="L1670" s="25">
        <v>-3.48279263292358</v>
      </c>
      <c r="M1670" s="28">
        <v>1</v>
      </c>
      <c r="N1670" s="28">
        <v>1</v>
      </c>
    </row>
    <row r="1671" spans="7:14">
      <c r="G1671" s="24">
        <v>1670</v>
      </c>
      <c r="H1671" s="25">
        <f>S0_</f>
        <v>100</v>
      </c>
      <c r="I1671" s="25">
        <f ca="1">S0_*EXP((mu_-sigma_^2/2)*Dt_+sigma_*SQRT(Dt_)*_xlfn.NORM.INV(RAND(),0,1))</f>
        <v>109.573087826074</v>
      </c>
      <c r="J1671" s="25">
        <f ca="1">MAX(k_-I1671,0)*EXP(-rs_*T_)</f>
        <v>0</v>
      </c>
      <c r="K1671" s="25">
        <v>9.29480656470581</v>
      </c>
      <c r="L1671" s="25">
        <v>8.72480656470581</v>
      </c>
      <c r="M1671" s="28">
        <v>0</v>
      </c>
      <c r="N1671" s="28">
        <v>0</v>
      </c>
    </row>
    <row r="1672" spans="7:14">
      <c r="G1672" s="24">
        <v>1671</v>
      </c>
      <c r="H1672" s="25">
        <f>S0_</f>
        <v>100</v>
      </c>
      <c r="I1672" s="25">
        <f ca="1">S0_*EXP((mu_-sigma_^2/2)*Dt_+sigma_*SQRT(Dt_)*_xlfn.NORM.INV(RAND(),0,1))</f>
        <v>88.3068600221243</v>
      </c>
      <c r="J1672" s="25">
        <f ca="1">MAX(k_-I1672,0)*EXP(-rs_*T_)</f>
        <v>8.44043802817663</v>
      </c>
      <c r="K1672" s="25">
        <v>-11.3532306611002</v>
      </c>
      <c r="L1672" s="25">
        <v>-3.48279263292358</v>
      </c>
      <c r="M1672" s="28">
        <v>1</v>
      </c>
      <c r="N1672" s="28">
        <v>1</v>
      </c>
    </row>
    <row r="1673" spans="7:14">
      <c r="G1673" s="24">
        <v>1672</v>
      </c>
      <c r="H1673" s="25">
        <f>S0_</f>
        <v>100</v>
      </c>
      <c r="I1673" s="25">
        <f ca="1">S0_*EXP((mu_-sigma_^2/2)*Dt_+sigma_*SQRT(Dt_)*_xlfn.NORM.INV(RAND(),0,1))</f>
        <v>99.2860577025571</v>
      </c>
      <c r="J1673" s="25">
        <f ca="1">MAX(k_-I1673,0)*EXP(-rs_*T_)</f>
        <v>0</v>
      </c>
      <c r="K1673" s="25">
        <v>-0.693188621441362</v>
      </c>
      <c r="L1673" s="25">
        <v>-1.26318862144136</v>
      </c>
      <c r="M1673" s="28">
        <v>1</v>
      </c>
      <c r="N1673" s="28">
        <v>1</v>
      </c>
    </row>
    <row r="1674" spans="7:14">
      <c r="G1674" s="24">
        <v>1673</v>
      </c>
      <c r="H1674" s="25">
        <f>S0_</f>
        <v>100</v>
      </c>
      <c r="I1674" s="25">
        <f ca="1">S0_*EXP((mu_-sigma_^2/2)*Dt_+sigma_*SQRT(Dt_)*_xlfn.NORM.INV(RAND(),0,1))</f>
        <v>93.6177041376642</v>
      </c>
      <c r="J1674" s="25">
        <f ca="1">MAX(k_-I1674,0)*EXP(-rs_*T_)</f>
        <v>3.28397549005986</v>
      </c>
      <c r="K1674" s="25">
        <v>-6.19676812298344</v>
      </c>
      <c r="L1674" s="25">
        <v>-3.48279263292358</v>
      </c>
      <c r="M1674" s="28">
        <v>1</v>
      </c>
      <c r="N1674" s="28">
        <v>1</v>
      </c>
    </row>
    <row r="1675" spans="7:14">
      <c r="G1675" s="24">
        <v>1674</v>
      </c>
      <c r="H1675" s="25">
        <f>S0_</f>
        <v>100</v>
      </c>
      <c r="I1675" s="25">
        <f ca="1">S0_*EXP((mu_-sigma_^2/2)*Dt_+sigma_*SQRT(Dt_)*_xlfn.NORM.INV(RAND(),0,1))</f>
        <v>103.395258764041</v>
      </c>
      <c r="J1675" s="25">
        <f ca="1">MAX(k_-I1675,0)*EXP(-rs_*T_)</f>
        <v>0</v>
      </c>
      <c r="K1675" s="25">
        <v>3.29656157158943</v>
      </c>
      <c r="L1675" s="25">
        <v>2.72656157158943</v>
      </c>
      <c r="M1675" s="28">
        <v>0</v>
      </c>
      <c r="N1675" s="28">
        <v>0</v>
      </c>
    </row>
    <row r="1676" spans="7:14">
      <c r="G1676" s="24">
        <v>1675</v>
      </c>
      <c r="H1676" s="25">
        <f>S0_</f>
        <v>100</v>
      </c>
      <c r="I1676" s="25">
        <f ca="1">S0_*EXP((mu_-sigma_^2/2)*Dt_+sigma_*SQRT(Dt_)*_xlfn.NORM.INV(RAND(),0,1))</f>
        <v>113.702867799119</v>
      </c>
      <c r="J1676" s="25">
        <f ca="1">MAX(k_-I1676,0)*EXP(-rs_*T_)</f>
        <v>0</v>
      </c>
      <c r="K1676" s="25">
        <v>13.3045374583999</v>
      </c>
      <c r="L1676" s="25">
        <v>12.7345374583999</v>
      </c>
      <c r="M1676" s="28">
        <v>0</v>
      </c>
      <c r="N1676" s="28">
        <v>0</v>
      </c>
    </row>
    <row r="1677" spans="7:14">
      <c r="G1677" s="24">
        <v>1676</v>
      </c>
      <c r="H1677" s="25">
        <f>S0_</f>
        <v>100</v>
      </c>
      <c r="I1677" s="25">
        <f ca="1">S0_*EXP((mu_-sigma_^2/2)*Dt_+sigma_*SQRT(Dt_)*_xlfn.NORM.INV(RAND(),0,1))</f>
        <v>110.287003218914</v>
      </c>
      <c r="J1677" s="25">
        <f ca="1">MAX(k_-I1677,0)*EXP(-rs_*T_)</f>
        <v>0</v>
      </c>
      <c r="K1677" s="25">
        <v>9.98796906363841</v>
      </c>
      <c r="L1677" s="25">
        <v>9.41796906363841</v>
      </c>
      <c r="M1677" s="28">
        <v>0</v>
      </c>
      <c r="N1677" s="28">
        <v>0</v>
      </c>
    </row>
    <row r="1678" spans="7:14">
      <c r="G1678" s="24">
        <v>1677</v>
      </c>
      <c r="H1678" s="25">
        <f>S0_</f>
        <v>100</v>
      </c>
      <c r="I1678" s="25">
        <f ca="1">S0_*EXP((mu_-sigma_^2/2)*Dt_+sigma_*SQRT(Dt_)*_xlfn.NORM.INV(RAND(),0,1))</f>
        <v>100.88926555624</v>
      </c>
      <c r="J1678" s="25">
        <f ca="1">MAX(k_-I1678,0)*EXP(-rs_*T_)</f>
        <v>0</v>
      </c>
      <c r="K1678" s="25">
        <v>0.863415386976165</v>
      </c>
      <c r="L1678" s="25">
        <v>0.293415386976165</v>
      </c>
      <c r="M1678" s="28">
        <v>0</v>
      </c>
      <c r="N1678" s="28">
        <v>0</v>
      </c>
    </row>
    <row r="1679" spans="7:14">
      <c r="G1679" s="24">
        <v>1678</v>
      </c>
      <c r="H1679" s="25">
        <f>S0_</f>
        <v>100</v>
      </c>
      <c r="I1679" s="25">
        <f ca="1">S0_*EXP((mu_-sigma_^2/2)*Dt_+sigma_*SQRT(Dt_)*_xlfn.NORM.INV(RAND(),0,1))</f>
        <v>106.525210442515</v>
      </c>
      <c r="J1679" s="25">
        <f ca="1">MAX(k_-I1679,0)*EXP(-rs_*T_)</f>
        <v>0</v>
      </c>
      <c r="K1679" s="25">
        <v>6.33552830174429</v>
      </c>
      <c r="L1679" s="25">
        <v>5.76552830174429</v>
      </c>
      <c r="M1679" s="28">
        <v>0</v>
      </c>
      <c r="N1679" s="28">
        <v>0</v>
      </c>
    </row>
    <row r="1680" spans="7:14">
      <c r="G1680" s="24">
        <v>1679</v>
      </c>
      <c r="H1680" s="25">
        <f>S0_</f>
        <v>100</v>
      </c>
      <c r="I1680" s="25">
        <f ca="1">S0_*EXP((mu_-sigma_^2/2)*Dt_+sigma_*SQRT(Dt_)*_xlfn.NORM.INV(RAND(),0,1))</f>
        <v>96.3479690957222</v>
      </c>
      <c r="J1680" s="25">
        <f ca="1">MAX(k_-I1680,0)*EXP(-rs_*T_)</f>
        <v>0.633076938139579</v>
      </c>
      <c r="K1680" s="25">
        <v>-3.54586957106316</v>
      </c>
      <c r="L1680" s="25">
        <v>-3.48279263292358</v>
      </c>
      <c r="M1680" s="28">
        <v>1</v>
      </c>
      <c r="N1680" s="28">
        <v>1</v>
      </c>
    </row>
    <row r="1681" spans="7:14">
      <c r="G1681" s="24">
        <v>1680</v>
      </c>
      <c r="H1681" s="25">
        <f>S0_</f>
        <v>100</v>
      </c>
      <c r="I1681" s="25">
        <f ca="1">S0_*EXP((mu_-sigma_^2/2)*Dt_+sigma_*SQRT(Dt_)*_xlfn.NORM.INV(RAND(),0,1))</f>
        <v>91.6237446473622</v>
      </c>
      <c r="J1681" s="25">
        <f ca="1">MAX(k_-I1681,0)*EXP(-rs_*T_)</f>
        <v>5.21997232795979</v>
      </c>
      <c r="K1681" s="25">
        <v>-8.13276496088337</v>
      </c>
      <c r="L1681" s="25">
        <v>-3.48279263292358</v>
      </c>
      <c r="M1681" s="28">
        <v>1</v>
      </c>
      <c r="N1681" s="28">
        <v>1</v>
      </c>
    </row>
    <row r="1682" spans="7:14">
      <c r="G1682" s="24">
        <v>1681</v>
      </c>
      <c r="H1682" s="25">
        <f>S0_</f>
        <v>100</v>
      </c>
      <c r="I1682" s="25">
        <f ca="1">S0_*EXP((mu_-sigma_^2/2)*Dt_+sigma_*SQRT(Dt_)*_xlfn.NORM.INV(RAND(),0,1))</f>
        <v>105.379328500903</v>
      </c>
      <c r="J1682" s="25">
        <f ca="1">MAX(k_-I1682,0)*EXP(-rs_*T_)</f>
        <v>0</v>
      </c>
      <c r="K1682" s="25">
        <v>5.22295614250198</v>
      </c>
      <c r="L1682" s="25">
        <v>4.65295614250198</v>
      </c>
      <c r="M1682" s="28">
        <v>0</v>
      </c>
      <c r="N1682" s="28">
        <v>0</v>
      </c>
    </row>
    <row r="1683" spans="7:14">
      <c r="G1683" s="24">
        <v>1682</v>
      </c>
      <c r="H1683" s="25">
        <f>S0_</f>
        <v>100</v>
      </c>
      <c r="I1683" s="25">
        <f ca="1">S0_*EXP((mu_-sigma_^2/2)*Dt_+sigma_*SQRT(Dt_)*_xlfn.NORM.INV(RAND(),0,1))</f>
        <v>106.329624683191</v>
      </c>
      <c r="J1683" s="25">
        <f ca="1">MAX(k_-I1683,0)*EXP(-rs_*T_)</f>
        <v>0</v>
      </c>
      <c r="K1683" s="25">
        <v>6.14562804879011</v>
      </c>
      <c r="L1683" s="25">
        <v>5.57562804879011</v>
      </c>
      <c r="M1683" s="28">
        <v>0</v>
      </c>
      <c r="N1683" s="28">
        <v>0</v>
      </c>
    </row>
    <row r="1684" spans="7:14">
      <c r="G1684" s="24">
        <v>1683</v>
      </c>
      <c r="H1684" s="25">
        <f>S0_</f>
        <v>100</v>
      </c>
      <c r="I1684" s="25">
        <f ca="1">S0_*EXP((mu_-sigma_^2/2)*Dt_+sigma_*SQRT(Dt_)*_xlfn.NORM.INV(RAND(),0,1))</f>
        <v>93.2092022593814</v>
      </c>
      <c r="J1684" s="25">
        <f ca="1">MAX(k_-I1684,0)*EXP(-rs_*T_)</f>
        <v>3.68060257725905</v>
      </c>
      <c r="K1684" s="25">
        <v>-6.59339521018263</v>
      </c>
      <c r="L1684" s="25">
        <v>-3.48279263292358</v>
      </c>
      <c r="M1684" s="28">
        <v>1</v>
      </c>
      <c r="N1684" s="28">
        <v>1</v>
      </c>
    </row>
    <row r="1685" spans="7:14">
      <c r="G1685" s="24">
        <v>1684</v>
      </c>
      <c r="H1685" s="25">
        <f>S0_</f>
        <v>100</v>
      </c>
      <c r="I1685" s="25">
        <f ca="1">S0_*EXP((mu_-sigma_^2/2)*Dt_+sigma_*SQRT(Dt_)*_xlfn.NORM.INV(RAND(),0,1))</f>
        <v>96.5360848637918</v>
      </c>
      <c r="J1685" s="25">
        <f ca="1">MAX(k_-I1685,0)*EXP(-rs_*T_)</f>
        <v>0.450429530349662</v>
      </c>
      <c r="K1685" s="25">
        <v>-3.36322216327324</v>
      </c>
      <c r="L1685" s="25">
        <v>-3.48279263292358</v>
      </c>
      <c r="M1685" s="28">
        <v>1</v>
      </c>
      <c r="N1685" s="28">
        <v>1</v>
      </c>
    </row>
    <row r="1686" spans="7:14">
      <c r="G1686" s="24">
        <v>1685</v>
      </c>
      <c r="H1686" s="25">
        <f>S0_</f>
        <v>100</v>
      </c>
      <c r="I1686" s="25">
        <f ca="1">S0_*EXP((mu_-sigma_^2/2)*Dt_+sigma_*SQRT(Dt_)*_xlfn.NORM.INV(RAND(),0,1))</f>
        <v>91.627014358879</v>
      </c>
      <c r="J1686" s="25">
        <f ca="1">MAX(k_-I1686,0)*EXP(-rs_*T_)</f>
        <v>5.21679766408711</v>
      </c>
      <c r="K1686" s="25">
        <v>-8.12959029701069</v>
      </c>
      <c r="L1686" s="25">
        <v>-3.48279263292358</v>
      </c>
      <c r="M1686" s="28">
        <v>1</v>
      </c>
      <c r="N1686" s="28">
        <v>1</v>
      </c>
    </row>
    <row r="1687" spans="7:14">
      <c r="G1687" s="24">
        <v>1686</v>
      </c>
      <c r="H1687" s="25">
        <f>S0_</f>
        <v>100</v>
      </c>
      <c r="I1687" s="25">
        <f ca="1">S0_*EXP((mu_-sigma_^2/2)*Dt_+sigma_*SQRT(Dt_)*_xlfn.NORM.INV(RAND(),0,1))</f>
        <v>100.069408379124</v>
      </c>
      <c r="J1687" s="25">
        <f ca="1">MAX(k_-I1687,0)*EXP(-rs_*T_)</f>
        <v>0</v>
      </c>
      <c r="K1687" s="25">
        <v>0.0673907384580342</v>
      </c>
      <c r="L1687" s="25">
        <v>-0.502609261541966</v>
      </c>
      <c r="M1687" s="28">
        <v>0</v>
      </c>
      <c r="N1687" s="28">
        <v>1</v>
      </c>
    </row>
    <row r="1688" spans="7:14">
      <c r="G1688" s="24">
        <v>1687</v>
      </c>
      <c r="H1688" s="25">
        <f>S0_</f>
        <v>100</v>
      </c>
      <c r="I1688" s="25">
        <f ca="1">S0_*EXP((mu_-sigma_^2/2)*Dt_+sigma_*SQRT(Dt_)*_xlfn.NORM.INV(RAND(),0,1))</f>
        <v>104.043278524856</v>
      </c>
      <c r="J1688" s="25">
        <f ca="1">MAX(k_-I1688,0)*EXP(-rs_*T_)</f>
        <v>0</v>
      </c>
      <c r="K1688" s="25">
        <v>3.92574396668648</v>
      </c>
      <c r="L1688" s="25">
        <v>3.35574396668648</v>
      </c>
      <c r="M1688" s="28">
        <v>0</v>
      </c>
      <c r="N1688" s="28">
        <v>0</v>
      </c>
    </row>
    <row r="1689" spans="7:14">
      <c r="G1689" s="24">
        <v>1688</v>
      </c>
      <c r="H1689" s="25">
        <f>S0_</f>
        <v>100</v>
      </c>
      <c r="I1689" s="25">
        <f ca="1">S0_*EXP((mu_-sigma_^2/2)*Dt_+sigma_*SQRT(Dt_)*_xlfn.NORM.INV(RAND(),0,1))</f>
        <v>100.283153309595</v>
      </c>
      <c r="J1689" s="25">
        <f ca="1">MAX(k_-I1689,0)*EXP(-rs_*T_)</f>
        <v>0</v>
      </c>
      <c r="K1689" s="25">
        <v>0.274922291392545</v>
      </c>
      <c r="L1689" s="25">
        <v>-0.295077708607455</v>
      </c>
      <c r="M1689" s="28">
        <v>0</v>
      </c>
      <c r="N1689" s="28">
        <v>1</v>
      </c>
    </row>
    <row r="1690" spans="7:14">
      <c r="G1690" s="24">
        <v>1689</v>
      </c>
      <c r="H1690" s="25">
        <f>S0_</f>
        <v>100</v>
      </c>
      <c r="I1690" s="25">
        <f ca="1">S0_*EXP((mu_-sigma_^2/2)*Dt_+sigma_*SQRT(Dt_)*_xlfn.NORM.INV(RAND(),0,1))</f>
        <v>100.899496049385</v>
      </c>
      <c r="J1690" s="25">
        <f ca="1">MAX(k_-I1690,0)*EXP(-rs_*T_)</f>
        <v>0</v>
      </c>
      <c r="K1690" s="25">
        <v>0.873348488664158</v>
      </c>
      <c r="L1690" s="25">
        <v>0.303348488664158</v>
      </c>
      <c r="M1690" s="28">
        <v>0</v>
      </c>
      <c r="N1690" s="28">
        <v>0</v>
      </c>
    </row>
    <row r="1691" spans="7:14">
      <c r="G1691" s="24">
        <v>1690</v>
      </c>
      <c r="H1691" s="25">
        <f>S0_</f>
        <v>100</v>
      </c>
      <c r="I1691" s="25">
        <f ca="1">S0_*EXP((mu_-sigma_^2/2)*Dt_+sigma_*SQRT(Dt_)*_xlfn.NORM.INV(RAND(),0,1))</f>
        <v>118.725615436642</v>
      </c>
      <c r="J1691" s="25">
        <f ca="1">MAX(k_-I1691,0)*EXP(-rs_*T_)</f>
        <v>0</v>
      </c>
      <c r="K1691" s="25">
        <v>18.1812782302704</v>
      </c>
      <c r="L1691" s="25">
        <v>17.6112782302704</v>
      </c>
      <c r="M1691" s="28">
        <v>0</v>
      </c>
      <c r="N1691" s="28">
        <v>0</v>
      </c>
    </row>
    <row r="1692" spans="7:14">
      <c r="G1692" s="24">
        <v>1691</v>
      </c>
      <c r="H1692" s="25">
        <f>S0_</f>
        <v>100</v>
      </c>
      <c r="I1692" s="25">
        <f ca="1">S0_*EXP((mu_-sigma_^2/2)*Dt_+sigma_*SQRT(Dt_)*_xlfn.NORM.INV(RAND(),0,1))</f>
        <v>98.6367847100512</v>
      </c>
      <c r="J1692" s="25">
        <f ca="1">MAX(k_-I1692,0)*EXP(-rs_*T_)</f>
        <v>0</v>
      </c>
      <c r="K1692" s="25">
        <v>-1.32358781788385</v>
      </c>
      <c r="L1692" s="25">
        <v>-1.89358781788385</v>
      </c>
      <c r="M1692" s="28">
        <v>1</v>
      </c>
      <c r="N1692" s="28">
        <v>1</v>
      </c>
    </row>
    <row r="1693" spans="7:14">
      <c r="G1693" s="24">
        <v>1692</v>
      </c>
      <c r="H1693" s="25">
        <f>S0_</f>
        <v>100</v>
      </c>
      <c r="I1693" s="25">
        <f ca="1">S0_*EXP((mu_-sigma_^2/2)*Dt_+sigma_*SQRT(Dt_)*_xlfn.NORM.INV(RAND(),0,1))</f>
        <v>99.0306268304081</v>
      </c>
      <c r="J1693" s="25">
        <f ca="1">MAX(k_-I1693,0)*EXP(-rs_*T_)</f>
        <v>0</v>
      </c>
      <c r="K1693" s="25">
        <v>-0.941194342313666</v>
      </c>
      <c r="L1693" s="25">
        <v>-1.51119434231367</v>
      </c>
      <c r="M1693" s="28">
        <v>1</v>
      </c>
      <c r="N1693" s="28">
        <v>1</v>
      </c>
    </row>
    <row r="1694" spans="7:14">
      <c r="G1694" s="24">
        <v>1693</v>
      </c>
      <c r="H1694" s="25">
        <f>S0_</f>
        <v>100</v>
      </c>
      <c r="I1694" s="25">
        <f ca="1">S0_*EXP((mu_-sigma_^2/2)*Dt_+sigma_*SQRT(Dt_)*_xlfn.NORM.INV(RAND(),0,1))</f>
        <v>103.644094265016</v>
      </c>
      <c r="J1694" s="25">
        <f ca="1">MAX(k_-I1694,0)*EXP(-rs_*T_)</f>
        <v>0</v>
      </c>
      <c r="K1694" s="25">
        <v>3.53816364293955</v>
      </c>
      <c r="L1694" s="25">
        <v>2.96816364293955</v>
      </c>
      <c r="M1694" s="28">
        <v>0</v>
      </c>
      <c r="N1694" s="28">
        <v>0</v>
      </c>
    </row>
    <row r="1695" spans="7:14">
      <c r="G1695" s="24">
        <v>1694</v>
      </c>
      <c r="H1695" s="25">
        <f>S0_</f>
        <v>100</v>
      </c>
      <c r="I1695" s="25">
        <f ca="1">S0_*EXP((mu_-sigma_^2/2)*Dt_+sigma_*SQRT(Dt_)*_xlfn.NORM.INV(RAND(),0,1))</f>
        <v>114.100818930393</v>
      </c>
      <c r="J1695" s="25">
        <f ca="1">MAX(k_-I1695,0)*EXP(-rs_*T_)</f>
        <v>0</v>
      </c>
      <c r="K1695" s="25">
        <v>13.6909204995457</v>
      </c>
      <c r="L1695" s="25">
        <v>13.1209204995457</v>
      </c>
      <c r="M1695" s="28">
        <v>0</v>
      </c>
      <c r="N1695" s="28">
        <v>0</v>
      </c>
    </row>
    <row r="1696" spans="7:14">
      <c r="G1696" s="24">
        <v>1695</v>
      </c>
      <c r="H1696" s="25">
        <f>S0_</f>
        <v>100</v>
      </c>
      <c r="I1696" s="25">
        <f ca="1">S0_*EXP((mu_-sigma_^2/2)*Dt_+sigma_*SQRT(Dt_)*_xlfn.NORM.INV(RAND(),0,1))</f>
        <v>109.227976186169</v>
      </c>
      <c r="J1696" s="25">
        <f ca="1">MAX(k_-I1696,0)*EXP(-rs_*T_)</f>
        <v>0</v>
      </c>
      <c r="K1696" s="25">
        <v>8.95972701728921</v>
      </c>
      <c r="L1696" s="25">
        <v>8.38972701728921</v>
      </c>
      <c r="M1696" s="28">
        <v>0</v>
      </c>
      <c r="N1696" s="28">
        <v>0</v>
      </c>
    </row>
    <row r="1697" spans="7:14">
      <c r="G1697" s="24">
        <v>1696</v>
      </c>
      <c r="H1697" s="25">
        <f>S0_</f>
        <v>100</v>
      </c>
      <c r="I1697" s="25">
        <f ca="1">S0_*EXP((mu_-sigma_^2/2)*Dt_+sigma_*SQRT(Dt_)*_xlfn.NORM.INV(RAND(),0,1))</f>
        <v>96.9127476827009</v>
      </c>
      <c r="J1697" s="25">
        <f ca="1">MAX(k_-I1697,0)*EXP(-rs_*T_)</f>
        <v>0.0847159690114744</v>
      </c>
      <c r="K1697" s="25">
        <v>-2.99750860193506</v>
      </c>
      <c r="L1697" s="25">
        <v>-3.48279263292358</v>
      </c>
      <c r="M1697" s="28">
        <v>1</v>
      </c>
      <c r="N1697" s="28">
        <v>1</v>
      </c>
    </row>
    <row r="1698" spans="7:14">
      <c r="G1698" s="24">
        <v>1697</v>
      </c>
      <c r="H1698" s="25">
        <f>S0_</f>
        <v>100</v>
      </c>
      <c r="I1698" s="25">
        <f ca="1">S0_*EXP((mu_-sigma_^2/2)*Dt_+sigma_*SQRT(Dt_)*_xlfn.NORM.INV(RAND(),0,1))</f>
        <v>107.756183995676</v>
      </c>
      <c r="J1698" s="25">
        <f ca="1">MAX(k_-I1698,0)*EXP(-rs_*T_)</f>
        <v>0</v>
      </c>
      <c r="K1698" s="25">
        <v>7.53071853406847</v>
      </c>
      <c r="L1698" s="25">
        <v>6.96071853406847</v>
      </c>
      <c r="M1698" s="28">
        <v>0</v>
      </c>
      <c r="N1698" s="28">
        <v>0</v>
      </c>
    </row>
    <row r="1699" spans="7:14">
      <c r="G1699" s="24">
        <v>1698</v>
      </c>
      <c r="H1699" s="25">
        <f>S0_</f>
        <v>100</v>
      </c>
      <c r="I1699" s="25">
        <f ca="1">S0_*EXP((mu_-sigma_^2/2)*Dt_+sigma_*SQRT(Dt_)*_xlfn.NORM.INV(RAND(),0,1))</f>
        <v>98.765403059255</v>
      </c>
      <c r="J1699" s="25">
        <f ca="1">MAX(k_-I1699,0)*EXP(-rs_*T_)</f>
        <v>0</v>
      </c>
      <c r="K1699" s="25">
        <v>-1.19870829121071</v>
      </c>
      <c r="L1699" s="25">
        <v>-1.76870829121071</v>
      </c>
      <c r="M1699" s="28">
        <v>1</v>
      </c>
      <c r="N1699" s="28">
        <v>1</v>
      </c>
    </row>
    <row r="1700" spans="7:14">
      <c r="G1700" s="24">
        <v>1699</v>
      </c>
      <c r="H1700" s="25">
        <f>S0_</f>
        <v>100</v>
      </c>
      <c r="I1700" s="25">
        <f ca="1">S0_*EXP((mu_-sigma_^2/2)*Dt_+sigma_*SQRT(Dt_)*_xlfn.NORM.INV(RAND(),0,1))</f>
        <v>98.3813834733302</v>
      </c>
      <c r="J1700" s="25">
        <f ca="1">MAX(k_-I1700,0)*EXP(-rs_*T_)</f>
        <v>0</v>
      </c>
      <c r="K1700" s="25">
        <v>-1.57156476480405</v>
      </c>
      <c r="L1700" s="25">
        <v>-2.14156476480405</v>
      </c>
      <c r="M1700" s="28">
        <v>1</v>
      </c>
      <c r="N1700" s="28">
        <v>1</v>
      </c>
    </row>
    <row r="1701" spans="7:14">
      <c r="G1701" s="24">
        <v>1700</v>
      </c>
      <c r="H1701" s="25">
        <f>S0_</f>
        <v>100</v>
      </c>
      <c r="I1701" s="25">
        <f ca="1">S0_*EXP((mu_-sigma_^2/2)*Dt_+sigma_*SQRT(Dt_)*_xlfn.NORM.INV(RAND(),0,1))</f>
        <v>120.50669680104</v>
      </c>
      <c r="J1701" s="25">
        <f ca="1">MAX(k_-I1701,0)*EXP(-rs_*T_)</f>
        <v>0</v>
      </c>
      <c r="K1701" s="25">
        <v>19.9105851225555</v>
      </c>
      <c r="L1701" s="25">
        <v>19.3405851225555</v>
      </c>
      <c r="M1701" s="28">
        <v>0</v>
      </c>
      <c r="N1701" s="28">
        <v>0</v>
      </c>
    </row>
    <row r="1702" spans="7:14">
      <c r="G1702" s="24">
        <v>1701</v>
      </c>
      <c r="H1702" s="25">
        <f>S0_</f>
        <v>100</v>
      </c>
      <c r="I1702" s="25">
        <f ca="1">S0_*EXP((mu_-sigma_^2/2)*Dt_+sigma_*SQRT(Dt_)*_xlfn.NORM.INV(RAND(),0,1))</f>
        <v>107.849610483965</v>
      </c>
      <c r="J1702" s="25">
        <f ca="1">MAX(k_-I1702,0)*EXP(-rs_*T_)</f>
        <v>0</v>
      </c>
      <c r="K1702" s="25">
        <v>7.62142919633807</v>
      </c>
      <c r="L1702" s="25">
        <v>7.05142919633807</v>
      </c>
      <c r="M1702" s="28">
        <v>0</v>
      </c>
      <c r="N1702" s="28">
        <v>0</v>
      </c>
    </row>
    <row r="1703" spans="7:14">
      <c r="G1703" s="24">
        <v>1702</v>
      </c>
      <c r="H1703" s="25">
        <f>S0_</f>
        <v>100</v>
      </c>
      <c r="I1703" s="25">
        <f ca="1">S0_*EXP((mu_-sigma_^2/2)*Dt_+sigma_*SQRT(Dt_)*_xlfn.NORM.INV(RAND(),0,1))</f>
        <v>111.589848363213</v>
      </c>
      <c r="J1703" s="25">
        <f ca="1">MAX(k_-I1703,0)*EXP(-rs_*T_)</f>
        <v>0</v>
      </c>
      <c r="K1703" s="25">
        <v>11.2529416430228</v>
      </c>
      <c r="L1703" s="25">
        <v>10.6829416430228</v>
      </c>
      <c r="M1703" s="28">
        <v>0</v>
      </c>
      <c r="N1703" s="28">
        <v>0</v>
      </c>
    </row>
    <row r="1704" spans="7:14">
      <c r="G1704" s="24">
        <v>1703</v>
      </c>
      <c r="H1704" s="25">
        <f>S0_</f>
        <v>100</v>
      </c>
      <c r="I1704" s="25">
        <f ca="1">S0_*EXP((mu_-sigma_^2/2)*Dt_+sigma_*SQRT(Dt_)*_xlfn.NORM.INV(RAND(),0,1))</f>
        <v>108.447833985057</v>
      </c>
      <c r="J1704" s="25">
        <f ca="1">MAX(k_-I1704,0)*EXP(-rs_*T_)</f>
        <v>0</v>
      </c>
      <c r="K1704" s="25">
        <v>8.20226286527831</v>
      </c>
      <c r="L1704" s="25">
        <v>7.63226286527831</v>
      </c>
      <c r="M1704" s="28">
        <v>0</v>
      </c>
      <c r="N1704" s="28">
        <v>0</v>
      </c>
    </row>
    <row r="1705" spans="7:14">
      <c r="G1705" s="24">
        <v>1704</v>
      </c>
      <c r="H1705" s="25">
        <f>S0_</f>
        <v>100</v>
      </c>
      <c r="I1705" s="25">
        <f ca="1">S0_*EXP((mu_-sigma_^2/2)*Dt_+sigma_*SQRT(Dt_)*_xlfn.NORM.INV(RAND(),0,1))</f>
        <v>116.581280195392</v>
      </c>
      <c r="J1705" s="25">
        <f ca="1">MAX(k_-I1705,0)*EXP(-rs_*T_)</f>
        <v>0</v>
      </c>
      <c r="K1705" s="25">
        <v>16.0992769325264</v>
      </c>
      <c r="L1705" s="25">
        <v>15.5292769325264</v>
      </c>
      <c r="M1705" s="28">
        <v>0</v>
      </c>
      <c r="N1705" s="28">
        <v>0</v>
      </c>
    </row>
    <row r="1706" spans="7:14">
      <c r="G1706" s="24">
        <v>1705</v>
      </c>
      <c r="H1706" s="25">
        <f>S0_</f>
        <v>100</v>
      </c>
      <c r="I1706" s="25">
        <f ca="1">S0_*EXP((mu_-sigma_^2/2)*Dt_+sigma_*SQRT(Dt_)*_xlfn.NORM.INV(RAND(),0,1))</f>
        <v>85.9403676822928</v>
      </c>
      <c r="J1706" s="25">
        <f ca="1">MAX(k_-I1706,0)*EXP(-rs_*T_)</f>
        <v>10.7381385126204</v>
      </c>
      <c r="K1706" s="25">
        <v>-13.6509311455439</v>
      </c>
      <c r="L1706" s="25">
        <v>-3.48279263292358</v>
      </c>
      <c r="M1706" s="28">
        <v>1</v>
      </c>
      <c r="N1706" s="28">
        <v>1</v>
      </c>
    </row>
    <row r="1707" spans="7:14">
      <c r="G1707" s="24">
        <v>1706</v>
      </c>
      <c r="H1707" s="25">
        <f>S0_</f>
        <v>100</v>
      </c>
      <c r="I1707" s="25">
        <f ca="1">S0_*EXP((mu_-sigma_^2/2)*Dt_+sigma_*SQRT(Dt_)*_xlfn.NORM.INV(RAND(),0,1))</f>
        <v>88.4215192232932</v>
      </c>
      <c r="J1707" s="25">
        <f ca="1">MAX(k_-I1707,0)*EXP(-rs_*T_)</f>
        <v>8.32911186935604</v>
      </c>
      <c r="K1707" s="25">
        <v>-11.2419045022796</v>
      </c>
      <c r="L1707" s="25">
        <v>-3.48279263292358</v>
      </c>
      <c r="M1707" s="28">
        <v>1</v>
      </c>
      <c r="N1707" s="28">
        <v>1</v>
      </c>
    </row>
    <row r="1708" spans="7:14">
      <c r="G1708" s="24">
        <v>1707</v>
      </c>
      <c r="H1708" s="25">
        <f>S0_</f>
        <v>100</v>
      </c>
      <c r="I1708" s="25">
        <f ca="1">S0_*EXP((mu_-sigma_^2/2)*Dt_+sigma_*SQRT(Dt_)*_xlfn.NORM.INV(RAND(),0,1))</f>
        <v>94.1445631268467</v>
      </c>
      <c r="J1708" s="25">
        <f ca="1">MAX(k_-I1708,0)*EXP(-rs_*T_)</f>
        <v>2.77243182929973</v>
      </c>
      <c r="K1708" s="25">
        <v>-5.68522446222331</v>
      </c>
      <c r="L1708" s="25">
        <v>-3.48279263292358</v>
      </c>
      <c r="M1708" s="28">
        <v>1</v>
      </c>
      <c r="N1708" s="28">
        <v>1</v>
      </c>
    </row>
    <row r="1709" spans="7:14">
      <c r="G1709" s="24">
        <v>1708</v>
      </c>
      <c r="H1709" s="25">
        <f>S0_</f>
        <v>100</v>
      </c>
      <c r="I1709" s="25">
        <f ca="1">S0_*EXP((mu_-sigma_^2/2)*Dt_+sigma_*SQRT(Dt_)*_xlfn.NORM.INV(RAND(),0,1))</f>
        <v>89.5474152563988</v>
      </c>
      <c r="J1709" s="25">
        <f ca="1">MAX(k_-I1709,0)*EXP(-rs_*T_)</f>
        <v>7.23594464580008</v>
      </c>
      <c r="K1709" s="25">
        <v>-10.1487372787237</v>
      </c>
      <c r="L1709" s="25">
        <v>-3.48279263292358</v>
      </c>
      <c r="M1709" s="28">
        <v>1</v>
      </c>
      <c r="N1709" s="28">
        <v>1</v>
      </c>
    </row>
    <row r="1710" spans="7:14">
      <c r="G1710" s="24">
        <v>1709</v>
      </c>
      <c r="H1710" s="25">
        <f>S0_</f>
        <v>100</v>
      </c>
      <c r="I1710" s="25">
        <f ca="1">S0_*EXP((mu_-sigma_^2/2)*Dt_+sigma_*SQRT(Dt_)*_xlfn.NORM.INV(RAND(),0,1))</f>
        <v>117.948830919614</v>
      </c>
      <c r="J1710" s="25">
        <f ca="1">MAX(k_-I1710,0)*EXP(-rs_*T_)</f>
        <v>0</v>
      </c>
      <c r="K1710" s="25">
        <v>17.4270741574147</v>
      </c>
      <c r="L1710" s="25">
        <v>16.8570741574147</v>
      </c>
      <c r="M1710" s="28">
        <v>0</v>
      </c>
      <c r="N1710" s="28">
        <v>0</v>
      </c>
    </row>
    <row r="1711" spans="7:14">
      <c r="G1711" s="24">
        <v>1710</v>
      </c>
      <c r="H1711" s="25">
        <f>S0_</f>
        <v>100</v>
      </c>
      <c r="I1711" s="25">
        <f ca="1">S0_*EXP((mu_-sigma_^2/2)*Dt_+sigma_*SQRT(Dt_)*_xlfn.NORM.INV(RAND(),0,1))</f>
        <v>116.072007295373</v>
      </c>
      <c r="J1711" s="25">
        <f ca="1">MAX(k_-I1711,0)*EXP(-rs_*T_)</f>
        <v>0</v>
      </c>
      <c r="K1711" s="25">
        <v>15.6048081487525</v>
      </c>
      <c r="L1711" s="25">
        <v>15.0348081487525</v>
      </c>
      <c r="M1711" s="28">
        <v>0</v>
      </c>
      <c r="N1711" s="28">
        <v>0</v>
      </c>
    </row>
    <row r="1712" spans="7:14">
      <c r="G1712" s="24">
        <v>1711</v>
      </c>
      <c r="H1712" s="25">
        <f>S0_</f>
        <v>100</v>
      </c>
      <c r="I1712" s="25">
        <f ca="1">S0_*EXP((mu_-sigma_^2/2)*Dt_+sigma_*SQRT(Dt_)*_xlfn.NORM.INV(RAND(),0,1))</f>
        <v>110.891999613919</v>
      </c>
      <c r="J1712" s="25">
        <f ca="1">MAX(k_-I1712,0)*EXP(-rs_*T_)</f>
        <v>0</v>
      </c>
      <c r="K1712" s="25">
        <v>10.5753787444097</v>
      </c>
      <c r="L1712" s="25">
        <v>10.0053787444097</v>
      </c>
      <c r="M1712" s="28">
        <v>0</v>
      </c>
      <c r="N1712" s="28">
        <v>0</v>
      </c>
    </row>
    <row r="1713" spans="7:14">
      <c r="G1713" s="24">
        <v>1712</v>
      </c>
      <c r="H1713" s="25">
        <f>S0_</f>
        <v>100</v>
      </c>
      <c r="I1713" s="25">
        <f ca="1">S0_*EXP((mu_-sigma_^2/2)*Dt_+sigma_*SQRT(Dt_)*_xlfn.NORM.INV(RAND(),0,1))</f>
        <v>101.152511923266</v>
      </c>
      <c r="J1713" s="25">
        <f ca="1">MAX(k_-I1713,0)*EXP(-rs_*T_)</f>
        <v>0</v>
      </c>
      <c r="K1713" s="25">
        <v>1.11900941314816</v>
      </c>
      <c r="L1713" s="25">
        <v>0.549009413148161</v>
      </c>
      <c r="M1713" s="28">
        <v>0</v>
      </c>
      <c r="N1713" s="28">
        <v>0</v>
      </c>
    </row>
    <row r="1714" spans="7:14">
      <c r="G1714" s="24">
        <v>1713</v>
      </c>
      <c r="H1714" s="25">
        <f>S0_</f>
        <v>100</v>
      </c>
      <c r="I1714" s="25">
        <f ca="1">S0_*EXP((mu_-sigma_^2/2)*Dt_+sigma_*SQRT(Dt_)*_xlfn.NORM.INV(RAND(),0,1))</f>
        <v>103.265263964656</v>
      </c>
      <c r="J1714" s="25">
        <f ca="1">MAX(k_-I1714,0)*EXP(-rs_*T_)</f>
        <v>0</v>
      </c>
      <c r="K1714" s="25">
        <v>3.17034560693326</v>
      </c>
      <c r="L1714" s="25">
        <v>2.60034560693326</v>
      </c>
      <c r="M1714" s="28">
        <v>0</v>
      </c>
      <c r="N1714" s="28">
        <v>0</v>
      </c>
    </row>
    <row r="1715" spans="7:14">
      <c r="G1715" s="24">
        <v>1714</v>
      </c>
      <c r="H1715" s="25">
        <f>S0_</f>
        <v>100</v>
      </c>
      <c r="I1715" s="25">
        <f ca="1">S0_*EXP((mu_-sigma_^2/2)*Dt_+sigma_*SQRT(Dt_)*_xlfn.NORM.INV(RAND(),0,1))</f>
        <v>101.079837558878</v>
      </c>
      <c r="J1715" s="25">
        <f ca="1">MAX(k_-I1715,0)*EXP(-rs_*T_)</f>
        <v>0</v>
      </c>
      <c r="K1715" s="25">
        <v>1.04844762875123</v>
      </c>
      <c r="L1715" s="25">
        <v>0.478447628751229</v>
      </c>
      <c r="M1715" s="28">
        <v>0</v>
      </c>
      <c r="N1715" s="28">
        <v>0</v>
      </c>
    </row>
    <row r="1716" spans="7:14">
      <c r="G1716" s="24">
        <v>1715</v>
      </c>
      <c r="H1716" s="25">
        <f>S0_</f>
        <v>100</v>
      </c>
      <c r="I1716" s="25">
        <f ca="1">S0_*EXP((mu_-sigma_^2/2)*Dt_+sigma_*SQRT(Dt_)*_xlfn.NORM.INV(RAND(),0,1))</f>
        <v>95.0914019713795</v>
      </c>
      <c r="J1716" s="25">
        <f ca="1">MAX(k_-I1716,0)*EXP(-rs_*T_)</f>
        <v>1.8531167589928</v>
      </c>
      <c r="K1716" s="25">
        <v>-4.76590939191638</v>
      </c>
      <c r="L1716" s="25">
        <v>-3.48279263292358</v>
      </c>
      <c r="M1716" s="28">
        <v>1</v>
      </c>
      <c r="N1716" s="28">
        <v>1</v>
      </c>
    </row>
    <row r="1717" spans="7:14">
      <c r="G1717" s="24">
        <v>1716</v>
      </c>
      <c r="H1717" s="25">
        <f>S0_</f>
        <v>100</v>
      </c>
      <c r="I1717" s="25">
        <f ca="1">S0_*EXP((mu_-sigma_^2/2)*Dt_+sigma_*SQRT(Dt_)*_xlfn.NORM.INV(RAND(),0,1))</f>
        <v>94.0282493708395</v>
      </c>
      <c r="J1717" s="25">
        <f ca="1">MAX(k_-I1717,0)*EXP(-rs_*T_)</f>
        <v>2.88536444650161</v>
      </c>
      <c r="K1717" s="25">
        <v>-5.7981570794252</v>
      </c>
      <c r="L1717" s="25">
        <v>-3.48279263292358</v>
      </c>
      <c r="M1717" s="28">
        <v>1</v>
      </c>
      <c r="N1717" s="28">
        <v>1</v>
      </c>
    </row>
    <row r="1718" spans="7:14">
      <c r="G1718" s="24">
        <v>1717</v>
      </c>
      <c r="H1718" s="25">
        <f>S0_</f>
        <v>100</v>
      </c>
      <c r="I1718" s="25">
        <f ca="1">S0_*EXP((mu_-sigma_^2/2)*Dt_+sigma_*SQRT(Dt_)*_xlfn.NORM.INV(RAND(),0,1))</f>
        <v>100.196350719691</v>
      </c>
      <c r="J1718" s="25">
        <f ca="1">MAX(k_-I1718,0)*EXP(-rs_*T_)</f>
        <v>0</v>
      </c>
      <c r="K1718" s="25">
        <v>0.190642976594839</v>
      </c>
      <c r="L1718" s="25">
        <v>-0.379357023405161</v>
      </c>
      <c r="M1718" s="28">
        <v>0</v>
      </c>
      <c r="N1718" s="28">
        <v>1</v>
      </c>
    </row>
    <row r="1719" spans="7:14">
      <c r="G1719" s="24">
        <v>1718</v>
      </c>
      <c r="H1719" s="25">
        <f>S0_</f>
        <v>100</v>
      </c>
      <c r="I1719" s="25">
        <f ca="1">S0_*EXP((mu_-sigma_^2/2)*Dt_+sigma_*SQRT(Dt_)*_xlfn.NORM.INV(RAND(),0,1))</f>
        <v>106.627058253318</v>
      </c>
      <c r="J1719" s="25">
        <f ca="1">MAX(k_-I1719,0)*EXP(-rs_*T_)</f>
        <v>0</v>
      </c>
      <c r="K1719" s="25">
        <v>6.43441548607309</v>
      </c>
      <c r="L1719" s="25">
        <v>5.86441548607309</v>
      </c>
      <c r="M1719" s="28">
        <v>0</v>
      </c>
      <c r="N1719" s="28">
        <v>0</v>
      </c>
    </row>
    <row r="1720" spans="7:14">
      <c r="G1720" s="24">
        <v>1719</v>
      </c>
      <c r="H1720" s="25">
        <f>S0_</f>
        <v>100</v>
      </c>
      <c r="I1720" s="25">
        <f ca="1">S0_*EXP((mu_-sigma_^2/2)*Dt_+sigma_*SQRT(Dt_)*_xlfn.NORM.INV(RAND(),0,1))</f>
        <v>118.135101023219</v>
      </c>
      <c r="J1720" s="25">
        <f ca="1">MAX(k_-I1720,0)*EXP(-rs_*T_)</f>
        <v>0</v>
      </c>
      <c r="K1720" s="25">
        <v>17.6079295525858</v>
      </c>
      <c r="L1720" s="25">
        <v>17.0379295525858</v>
      </c>
      <c r="M1720" s="28">
        <v>0</v>
      </c>
      <c r="N1720" s="28">
        <v>0</v>
      </c>
    </row>
    <row r="1721" spans="7:14">
      <c r="G1721" s="24">
        <v>1720</v>
      </c>
      <c r="H1721" s="25">
        <f>S0_</f>
        <v>100</v>
      </c>
      <c r="I1721" s="25">
        <f ca="1">S0_*EXP((mu_-sigma_^2/2)*Dt_+sigma_*SQRT(Dt_)*_xlfn.NORM.INV(RAND(),0,1))</f>
        <v>107.458936829023</v>
      </c>
      <c r="J1721" s="25">
        <f ca="1">MAX(k_-I1721,0)*EXP(-rs_*T_)</f>
        <v>0</v>
      </c>
      <c r="K1721" s="25">
        <v>7.24211208167374</v>
      </c>
      <c r="L1721" s="25">
        <v>6.67211208167374</v>
      </c>
      <c r="M1721" s="28">
        <v>0</v>
      </c>
      <c r="N1721" s="28">
        <v>0</v>
      </c>
    </row>
    <row r="1722" spans="7:14">
      <c r="G1722" s="24">
        <v>1721</v>
      </c>
      <c r="H1722" s="25">
        <f>S0_</f>
        <v>100</v>
      </c>
      <c r="I1722" s="25">
        <f ca="1">S0_*EXP((mu_-sigma_^2/2)*Dt_+sigma_*SQRT(Dt_)*_xlfn.NORM.INV(RAND(),0,1))</f>
        <v>99.3190614198891</v>
      </c>
      <c r="J1722" s="25">
        <f ca="1">MAX(k_-I1722,0)*EXP(-rs_*T_)</f>
        <v>0</v>
      </c>
      <c r="K1722" s="25">
        <v>-0.661144293206788</v>
      </c>
      <c r="L1722" s="25">
        <v>-1.23114429320679</v>
      </c>
      <c r="M1722" s="28">
        <v>1</v>
      </c>
      <c r="N1722" s="28">
        <v>1</v>
      </c>
    </row>
    <row r="1723" spans="7:14">
      <c r="G1723" s="24">
        <v>1722</v>
      </c>
      <c r="H1723" s="25">
        <f>S0_</f>
        <v>100</v>
      </c>
      <c r="I1723" s="25">
        <f ca="1">S0_*EXP((mu_-sigma_^2/2)*Dt_+sigma_*SQRT(Dt_)*_xlfn.NORM.INV(RAND(),0,1))</f>
        <v>95.9705434949816</v>
      </c>
      <c r="J1723" s="25">
        <f ca="1">MAX(k_-I1723,0)*EXP(-rs_*T_)</f>
        <v>0.999531107910926</v>
      </c>
      <c r="K1723" s="25">
        <v>-3.91232374083451</v>
      </c>
      <c r="L1723" s="25">
        <v>-3.48279263292358</v>
      </c>
      <c r="M1723" s="28">
        <v>1</v>
      </c>
      <c r="N1723" s="28">
        <v>1</v>
      </c>
    </row>
    <row r="1724" spans="7:14">
      <c r="G1724" s="24">
        <v>1723</v>
      </c>
      <c r="H1724" s="25">
        <f>S0_</f>
        <v>100</v>
      </c>
      <c r="I1724" s="25">
        <f ca="1">S0_*EXP((mu_-sigma_^2/2)*Dt_+sigma_*SQRT(Dt_)*_xlfn.NORM.INV(RAND(),0,1))</f>
        <v>94.5848420701099</v>
      </c>
      <c r="J1724" s="25">
        <f ca="1">MAX(k_-I1724,0)*EXP(-rs_*T_)</f>
        <v>2.34495140851027</v>
      </c>
      <c r="K1724" s="25">
        <v>-5.25774404143385</v>
      </c>
      <c r="L1724" s="25">
        <v>-3.48279263292358</v>
      </c>
      <c r="M1724" s="28">
        <v>1</v>
      </c>
      <c r="N1724" s="28">
        <v>1</v>
      </c>
    </row>
    <row r="1725" spans="7:14">
      <c r="G1725" s="24">
        <v>1724</v>
      </c>
      <c r="H1725" s="25">
        <f>S0_</f>
        <v>100</v>
      </c>
      <c r="I1725" s="25">
        <f ca="1">S0_*EXP((mu_-sigma_^2/2)*Dt_+sigma_*SQRT(Dt_)*_xlfn.NORM.INV(RAND(),0,1))</f>
        <v>84.8422634889738</v>
      </c>
      <c r="J1725" s="25">
        <f ca="1">MAX(k_-I1725,0)*EXP(-rs_*T_)</f>
        <v>11.8043217807811</v>
      </c>
      <c r="K1725" s="25">
        <v>-14.7171144137047</v>
      </c>
      <c r="L1725" s="25">
        <v>-3.48279263292358</v>
      </c>
      <c r="M1725" s="28">
        <v>1</v>
      </c>
      <c r="N1725" s="28">
        <v>1</v>
      </c>
    </row>
    <row r="1726" spans="7:14">
      <c r="G1726" s="24">
        <v>1725</v>
      </c>
      <c r="H1726" s="25">
        <f>S0_</f>
        <v>100</v>
      </c>
      <c r="I1726" s="25">
        <f ca="1">S0_*EXP((mu_-sigma_^2/2)*Dt_+sigma_*SQRT(Dt_)*_xlfn.NORM.INV(RAND(),0,1))</f>
        <v>115.133804704819</v>
      </c>
      <c r="J1726" s="25">
        <f ca="1">MAX(k_-I1726,0)*EXP(-rs_*T_)</f>
        <v>0</v>
      </c>
      <c r="K1726" s="25">
        <v>14.6938782841005</v>
      </c>
      <c r="L1726" s="25">
        <v>14.1238782841005</v>
      </c>
      <c r="M1726" s="28">
        <v>0</v>
      </c>
      <c r="N1726" s="28">
        <v>0</v>
      </c>
    </row>
    <row r="1727" spans="7:14">
      <c r="G1727" s="24">
        <v>1726</v>
      </c>
      <c r="H1727" s="25">
        <f>S0_</f>
        <v>100</v>
      </c>
      <c r="I1727" s="25">
        <f ca="1">S0_*EXP((mu_-sigma_^2/2)*Dt_+sigma_*SQRT(Dt_)*_xlfn.NORM.INV(RAND(),0,1))</f>
        <v>83.6123790813652</v>
      </c>
      <c r="J1727" s="25">
        <f ca="1">MAX(k_-I1727,0)*EXP(-rs_*T_)</f>
        <v>12.9984545280577</v>
      </c>
      <c r="K1727" s="25">
        <v>-15.9112471609813</v>
      </c>
      <c r="L1727" s="25">
        <v>-3.48279263292358</v>
      </c>
      <c r="M1727" s="28">
        <v>1</v>
      </c>
      <c r="N1727" s="28">
        <v>1</v>
      </c>
    </row>
    <row r="1728" spans="7:14">
      <c r="G1728" s="24">
        <v>1727</v>
      </c>
      <c r="H1728" s="25">
        <f>S0_</f>
        <v>100</v>
      </c>
      <c r="I1728" s="25">
        <f ca="1">S0_*EXP((mu_-sigma_^2/2)*Dt_+sigma_*SQRT(Dt_)*_xlfn.NORM.INV(RAND(),0,1))</f>
        <v>97.2152802516843</v>
      </c>
      <c r="J1728" s="25">
        <f ca="1">MAX(k_-I1728,0)*EXP(-rs_*T_)</f>
        <v>0</v>
      </c>
      <c r="K1728" s="25">
        <v>-2.70377038921695</v>
      </c>
      <c r="L1728" s="25">
        <v>-3.27377038921695</v>
      </c>
      <c r="M1728" s="28">
        <v>1</v>
      </c>
      <c r="N1728" s="28">
        <v>1</v>
      </c>
    </row>
    <row r="1729" spans="7:14">
      <c r="G1729" s="24">
        <v>1728</v>
      </c>
      <c r="H1729" s="25">
        <f>S0_</f>
        <v>100</v>
      </c>
      <c r="I1729" s="25">
        <f ca="1">S0_*EXP((mu_-sigma_^2/2)*Dt_+sigma_*SQRT(Dt_)*_xlfn.NORM.INV(RAND(),0,1))</f>
        <v>117.283855501945</v>
      </c>
      <c r="J1729" s="25">
        <f ca="1">MAX(k_-I1729,0)*EXP(-rs_*T_)</f>
        <v>0</v>
      </c>
      <c r="K1729" s="25">
        <v>16.781428991527</v>
      </c>
      <c r="L1729" s="25">
        <v>16.211428991527</v>
      </c>
      <c r="M1729" s="28">
        <v>0</v>
      </c>
      <c r="N1729" s="28">
        <v>0</v>
      </c>
    </row>
    <row r="1730" spans="7:14">
      <c r="G1730" s="24">
        <v>1729</v>
      </c>
      <c r="H1730" s="25">
        <f>S0_</f>
        <v>100</v>
      </c>
      <c r="I1730" s="25">
        <f ca="1">S0_*EXP((mu_-sigma_^2/2)*Dt_+sigma_*SQRT(Dt_)*_xlfn.NORM.INV(RAND(),0,1))</f>
        <v>117.77086525184</v>
      </c>
      <c r="J1730" s="25">
        <f ca="1">MAX(k_-I1730,0)*EXP(-rs_*T_)</f>
        <v>0</v>
      </c>
      <c r="K1730" s="25">
        <v>17.2542817954123</v>
      </c>
      <c r="L1730" s="25">
        <v>16.6842817954123</v>
      </c>
      <c r="M1730" s="28">
        <v>0</v>
      </c>
      <c r="N1730" s="28">
        <v>0</v>
      </c>
    </row>
    <row r="1731" spans="7:14">
      <c r="G1731" s="24">
        <v>1730</v>
      </c>
      <c r="H1731" s="25">
        <f>S0_</f>
        <v>100</v>
      </c>
      <c r="I1731" s="25">
        <f ca="1">S0_*EXP((mu_-sigma_^2/2)*Dt_+sigma_*SQRT(Dt_)*_xlfn.NORM.INV(RAND(),0,1))</f>
        <v>106.969998370754</v>
      </c>
      <c r="J1731" s="25">
        <f ca="1">MAX(k_-I1731,0)*EXP(-rs_*T_)</f>
        <v>0</v>
      </c>
      <c r="K1731" s="25">
        <v>6.76738663527347</v>
      </c>
      <c r="L1731" s="25">
        <v>6.19738663527347</v>
      </c>
      <c r="M1731" s="28">
        <v>0</v>
      </c>
      <c r="N1731" s="28">
        <v>0</v>
      </c>
    </row>
    <row r="1732" spans="7:14">
      <c r="G1732" s="24">
        <v>1731</v>
      </c>
      <c r="H1732" s="25">
        <f>S0_</f>
        <v>100</v>
      </c>
      <c r="I1732" s="25">
        <f ca="1">S0_*EXP((mu_-sigma_^2/2)*Dt_+sigma_*SQRT(Dt_)*_xlfn.NORM.INV(RAND(),0,1))</f>
        <v>98.3205153532154</v>
      </c>
      <c r="J1732" s="25">
        <f ca="1">MAX(k_-I1732,0)*EXP(-rs_*T_)</f>
        <v>0</v>
      </c>
      <c r="K1732" s="25">
        <v>-1.63066350208753</v>
      </c>
      <c r="L1732" s="25">
        <v>-2.20066350208753</v>
      </c>
      <c r="M1732" s="28">
        <v>1</v>
      </c>
      <c r="N1732" s="28">
        <v>1</v>
      </c>
    </row>
    <row r="1733" spans="7:14">
      <c r="G1733" s="24">
        <v>1732</v>
      </c>
      <c r="H1733" s="25">
        <f>S0_</f>
        <v>100</v>
      </c>
      <c r="I1733" s="25">
        <f ca="1">S0_*EXP((mu_-sigma_^2/2)*Dt_+sigma_*SQRT(Dt_)*_xlfn.NORM.INV(RAND(),0,1))</f>
        <v>99.0553300116301</v>
      </c>
      <c r="J1733" s="25">
        <f ca="1">MAX(k_-I1733,0)*EXP(-rs_*T_)</f>
        <v>0</v>
      </c>
      <c r="K1733" s="25">
        <v>-0.917209260889293</v>
      </c>
      <c r="L1733" s="25">
        <v>-1.48720926088929</v>
      </c>
      <c r="M1733" s="28">
        <v>1</v>
      </c>
      <c r="N1733" s="28">
        <v>1</v>
      </c>
    </row>
    <row r="1734" spans="7:14">
      <c r="G1734" s="24">
        <v>1733</v>
      </c>
      <c r="H1734" s="25">
        <f>S0_</f>
        <v>100</v>
      </c>
      <c r="I1734" s="25">
        <f ca="1">S0_*EXP((mu_-sigma_^2/2)*Dt_+sigma_*SQRT(Dt_)*_xlfn.NORM.INV(RAND(),0,1))</f>
        <v>83.1294787356266</v>
      </c>
      <c r="J1734" s="25">
        <f ca="1">MAX(k_-I1734,0)*EXP(-rs_*T_)</f>
        <v>13.4673173845589</v>
      </c>
      <c r="K1734" s="25">
        <v>-16.3801100174825</v>
      </c>
      <c r="L1734" s="25">
        <v>-3.48279263292358</v>
      </c>
      <c r="M1734" s="28">
        <v>1</v>
      </c>
      <c r="N1734" s="28">
        <v>1</v>
      </c>
    </row>
    <row r="1735" spans="7:14">
      <c r="G1735" s="24">
        <v>1734</v>
      </c>
      <c r="H1735" s="25">
        <f>S0_</f>
        <v>100</v>
      </c>
      <c r="I1735" s="25">
        <f ca="1">S0_*EXP((mu_-sigma_^2/2)*Dt_+sigma_*SQRT(Dt_)*_xlfn.NORM.INV(RAND(),0,1))</f>
        <v>89.8390211638897</v>
      </c>
      <c r="J1735" s="25">
        <f ca="1">MAX(k_-I1735,0)*EXP(-rs_*T_)</f>
        <v>6.95281546611461</v>
      </c>
      <c r="K1735" s="25">
        <v>-9.86560809903819</v>
      </c>
      <c r="L1735" s="25">
        <v>-3.48279263292358</v>
      </c>
      <c r="M1735" s="28">
        <v>1</v>
      </c>
      <c r="N1735" s="28">
        <v>1</v>
      </c>
    </row>
    <row r="1736" spans="7:14">
      <c r="G1736" s="24">
        <v>1735</v>
      </c>
      <c r="H1736" s="25">
        <f>S0_</f>
        <v>100</v>
      </c>
      <c r="I1736" s="25">
        <f ca="1">S0_*EXP((mu_-sigma_^2/2)*Dt_+sigma_*SQRT(Dt_)*_xlfn.NORM.INV(RAND(),0,1))</f>
        <v>96.0469826739995</v>
      </c>
      <c r="J1736" s="25">
        <f ca="1">MAX(k_-I1736,0)*EXP(-rs_*T_)</f>
        <v>0.925313948740935</v>
      </c>
      <c r="K1736" s="25">
        <v>-3.83810658166452</v>
      </c>
      <c r="L1736" s="25">
        <v>-3.48279263292358</v>
      </c>
      <c r="M1736" s="28">
        <v>1</v>
      </c>
      <c r="N1736" s="28">
        <v>1</v>
      </c>
    </row>
    <row r="1737" spans="7:14">
      <c r="G1737" s="24">
        <v>1736</v>
      </c>
      <c r="H1737" s="25">
        <f>S0_</f>
        <v>100</v>
      </c>
      <c r="I1737" s="25">
        <f ca="1">S0_*EXP((mu_-sigma_^2/2)*Dt_+sigma_*SQRT(Dt_)*_xlfn.NORM.INV(RAND(),0,1))</f>
        <v>91.4985186584421</v>
      </c>
      <c r="J1737" s="25">
        <f ca="1">MAX(k_-I1737,0)*EXP(-rs_*T_)</f>
        <v>5.34155810728544</v>
      </c>
      <c r="K1737" s="25">
        <v>-8.25435074020903</v>
      </c>
      <c r="L1737" s="25">
        <v>-3.48279263292358</v>
      </c>
      <c r="M1737" s="28">
        <v>1</v>
      </c>
      <c r="N1737" s="28">
        <v>1</v>
      </c>
    </row>
    <row r="1738" spans="7:14">
      <c r="G1738" s="24">
        <v>1737</v>
      </c>
      <c r="H1738" s="25">
        <f>S0_</f>
        <v>100</v>
      </c>
      <c r="I1738" s="25">
        <f ca="1">S0_*EXP((mu_-sigma_^2/2)*Dt_+sigma_*SQRT(Dt_)*_xlfn.NORM.INV(RAND(),0,1))</f>
        <v>96.8310395811104</v>
      </c>
      <c r="J1738" s="25">
        <f ca="1">MAX(k_-I1738,0)*EXP(-rs_*T_)</f>
        <v>0.164048887799073</v>
      </c>
      <c r="K1738" s="25">
        <v>-3.07684152072265</v>
      </c>
      <c r="L1738" s="25">
        <v>-3.48279263292358</v>
      </c>
      <c r="M1738" s="28">
        <v>1</v>
      </c>
      <c r="N1738" s="28">
        <v>1</v>
      </c>
    </row>
    <row r="1739" spans="7:14">
      <c r="G1739" s="24">
        <v>1738</v>
      </c>
      <c r="H1739" s="25">
        <f>S0_</f>
        <v>100</v>
      </c>
      <c r="I1739" s="25">
        <f ca="1">S0_*EXP((mu_-sigma_^2/2)*Dt_+sigma_*SQRT(Dt_)*_xlfn.NORM.INV(RAND(),0,1))</f>
        <v>103.051422444194</v>
      </c>
      <c r="J1739" s="25">
        <f ca="1">MAX(k_-I1739,0)*EXP(-rs_*T_)</f>
        <v>0</v>
      </c>
      <c r="K1739" s="25">
        <v>2.9627202717955</v>
      </c>
      <c r="L1739" s="25">
        <v>2.3927202717955</v>
      </c>
      <c r="M1739" s="28">
        <v>0</v>
      </c>
      <c r="N1739" s="28">
        <v>0</v>
      </c>
    </row>
    <row r="1740" spans="7:14">
      <c r="G1740" s="24">
        <v>1739</v>
      </c>
      <c r="H1740" s="25">
        <f>S0_</f>
        <v>100</v>
      </c>
      <c r="I1740" s="25">
        <f ca="1">S0_*EXP((mu_-sigma_^2/2)*Dt_+sigma_*SQRT(Dt_)*_xlfn.NORM.INV(RAND(),0,1))</f>
        <v>118.624280946437</v>
      </c>
      <c r="J1740" s="25">
        <f ca="1">MAX(k_-I1740,0)*EXP(-rs_*T_)</f>
        <v>0</v>
      </c>
      <c r="K1740" s="25">
        <v>18.0828894447604</v>
      </c>
      <c r="L1740" s="25">
        <v>17.5128894447604</v>
      </c>
      <c r="M1740" s="28">
        <v>0</v>
      </c>
      <c r="N1740" s="28">
        <v>0</v>
      </c>
    </row>
    <row r="1741" spans="7:14">
      <c r="G1741" s="24">
        <v>1740</v>
      </c>
      <c r="H1741" s="25">
        <f>S0_</f>
        <v>100</v>
      </c>
      <c r="I1741" s="25">
        <f ca="1">S0_*EXP((mu_-sigma_^2/2)*Dt_+sigma_*SQRT(Dt_)*_xlfn.NORM.INV(RAND(),0,1))</f>
        <v>110.417897122073</v>
      </c>
      <c r="J1741" s="25">
        <f ca="1">MAX(k_-I1741,0)*EXP(-rs_*T_)</f>
        <v>0</v>
      </c>
      <c r="K1741" s="25">
        <v>10.1150579959102</v>
      </c>
      <c r="L1741" s="25">
        <v>9.54505799591022</v>
      </c>
      <c r="M1741" s="28">
        <v>0</v>
      </c>
      <c r="N1741" s="28">
        <v>0</v>
      </c>
    </row>
    <row r="1742" spans="7:14">
      <c r="G1742" s="24">
        <v>1741</v>
      </c>
      <c r="H1742" s="25">
        <f>S0_</f>
        <v>100</v>
      </c>
      <c r="I1742" s="25">
        <f ca="1">S0_*EXP((mu_-sigma_^2/2)*Dt_+sigma_*SQRT(Dt_)*_xlfn.NORM.INV(RAND(),0,1))</f>
        <v>105.645170261064</v>
      </c>
      <c r="J1742" s="25">
        <f ca="1">MAX(k_-I1742,0)*EXP(-rs_*T_)</f>
        <v>0</v>
      </c>
      <c r="K1742" s="25">
        <v>5.48107011600914</v>
      </c>
      <c r="L1742" s="25">
        <v>4.91107011600914</v>
      </c>
      <c r="M1742" s="28">
        <v>0</v>
      </c>
      <c r="N1742" s="28">
        <v>0</v>
      </c>
    </row>
    <row r="1743" spans="7:14">
      <c r="G1743" s="24">
        <v>1742</v>
      </c>
      <c r="H1743" s="25">
        <f>S0_</f>
        <v>100</v>
      </c>
      <c r="I1743" s="25">
        <f ca="1">S0_*EXP((mu_-sigma_^2/2)*Dt_+sigma_*SQRT(Dt_)*_xlfn.NORM.INV(RAND(),0,1))</f>
        <v>90.8841156456074</v>
      </c>
      <c r="J1743" s="25">
        <f ca="1">MAX(k_-I1743,0)*EXP(-rs_*T_)</f>
        <v>5.93810096376245</v>
      </c>
      <c r="K1743" s="25">
        <v>-8.85089359668603</v>
      </c>
      <c r="L1743" s="25">
        <v>-3.48279263292358</v>
      </c>
      <c r="M1743" s="28">
        <v>1</v>
      </c>
      <c r="N1743" s="28">
        <v>1</v>
      </c>
    </row>
    <row r="1744" spans="7:14">
      <c r="G1744" s="24">
        <v>1743</v>
      </c>
      <c r="H1744" s="25">
        <f>S0_</f>
        <v>100</v>
      </c>
      <c r="I1744" s="25">
        <f ca="1">S0_*EXP((mu_-sigma_^2/2)*Dt_+sigma_*SQRT(Dt_)*_xlfn.NORM.INV(RAND(),0,1))</f>
        <v>109.865124470664</v>
      </c>
      <c r="J1744" s="25">
        <f ca="1">MAX(k_-I1744,0)*EXP(-rs_*T_)</f>
        <v>0</v>
      </c>
      <c r="K1744" s="25">
        <v>9.57835396034098</v>
      </c>
      <c r="L1744" s="25">
        <v>9.00835396034098</v>
      </c>
      <c r="M1744" s="28">
        <v>0</v>
      </c>
      <c r="N1744" s="28">
        <v>0</v>
      </c>
    </row>
    <row r="1745" spans="7:14">
      <c r="G1745" s="24">
        <v>1744</v>
      </c>
      <c r="H1745" s="25">
        <f>S0_</f>
        <v>100</v>
      </c>
      <c r="I1745" s="25">
        <f ca="1">S0_*EXP((mu_-sigma_^2/2)*Dt_+sigma_*SQRT(Dt_)*_xlfn.NORM.INV(RAND(),0,1))</f>
        <v>115.301782125364</v>
      </c>
      <c r="J1745" s="25">
        <f ca="1">MAX(k_-I1745,0)*EXP(-rs_*T_)</f>
        <v>0</v>
      </c>
      <c r="K1745" s="25">
        <v>14.8569727484537</v>
      </c>
      <c r="L1745" s="25">
        <v>14.2869727484537</v>
      </c>
      <c r="M1745" s="28">
        <v>0</v>
      </c>
      <c r="N1745" s="28">
        <v>0</v>
      </c>
    </row>
    <row r="1746" spans="7:14">
      <c r="G1746" s="24">
        <v>1745</v>
      </c>
      <c r="H1746" s="25">
        <f>S0_</f>
        <v>100</v>
      </c>
      <c r="I1746" s="25">
        <f ca="1">S0_*EXP((mu_-sigma_^2/2)*Dt_+sigma_*SQRT(Dt_)*_xlfn.NORM.INV(RAND(),0,1))</f>
        <v>108.218885269132</v>
      </c>
      <c r="J1746" s="25">
        <f ca="1">MAX(k_-I1746,0)*EXP(-rs_*T_)</f>
        <v>0</v>
      </c>
      <c r="K1746" s="25">
        <v>7.97996948759018</v>
      </c>
      <c r="L1746" s="25">
        <v>7.40996948759018</v>
      </c>
      <c r="M1746" s="28">
        <v>0</v>
      </c>
      <c r="N1746" s="28">
        <v>0</v>
      </c>
    </row>
    <row r="1747" spans="7:14">
      <c r="G1747" s="24">
        <v>1746</v>
      </c>
      <c r="H1747" s="25">
        <f>S0_</f>
        <v>100</v>
      </c>
      <c r="I1747" s="25">
        <f ca="1">S0_*EXP((mu_-sigma_^2/2)*Dt_+sigma_*SQRT(Dt_)*_xlfn.NORM.INV(RAND(),0,1))</f>
        <v>93.6105035398166</v>
      </c>
      <c r="J1747" s="25">
        <f ca="1">MAX(k_-I1747,0)*EXP(-rs_*T_)</f>
        <v>3.29096677284763</v>
      </c>
      <c r="K1747" s="25">
        <v>-6.20375940577121</v>
      </c>
      <c r="L1747" s="25">
        <v>-3.48279263292358</v>
      </c>
      <c r="M1747" s="28">
        <v>1</v>
      </c>
      <c r="N1747" s="28">
        <v>1</v>
      </c>
    </row>
    <row r="1748" spans="7:14">
      <c r="G1748" s="24">
        <v>1747</v>
      </c>
      <c r="H1748" s="25">
        <f>S0_</f>
        <v>100</v>
      </c>
      <c r="I1748" s="25">
        <f ca="1">S0_*EXP((mu_-sigma_^2/2)*Dt_+sigma_*SQRT(Dt_)*_xlfn.NORM.INV(RAND(),0,1))</f>
        <v>102.866667036047</v>
      </c>
      <c r="J1748" s="25">
        <f ca="1">MAX(k_-I1748,0)*EXP(-rs_*T_)</f>
        <v>0</v>
      </c>
      <c r="K1748" s="25">
        <v>2.78333554121453</v>
      </c>
      <c r="L1748" s="25">
        <v>2.21333554121453</v>
      </c>
      <c r="M1748" s="28">
        <v>0</v>
      </c>
      <c r="N1748" s="28">
        <v>0</v>
      </c>
    </row>
    <row r="1749" spans="7:14">
      <c r="G1749" s="24">
        <v>1748</v>
      </c>
      <c r="H1749" s="25">
        <f>S0_</f>
        <v>100</v>
      </c>
      <c r="I1749" s="25">
        <f ca="1">S0_*EXP((mu_-sigma_^2/2)*Dt_+sigma_*SQRT(Dt_)*_xlfn.NORM.INV(RAND(),0,1))</f>
        <v>107.517603852241</v>
      </c>
      <c r="J1749" s="25">
        <f ca="1">MAX(k_-I1749,0)*EXP(-rs_*T_)</f>
        <v>0</v>
      </c>
      <c r="K1749" s="25">
        <v>7.29907370601495</v>
      </c>
      <c r="L1749" s="25">
        <v>6.72907370601495</v>
      </c>
      <c r="M1749" s="28">
        <v>0</v>
      </c>
      <c r="N1749" s="28">
        <v>0</v>
      </c>
    </row>
    <row r="1750" spans="7:14">
      <c r="G1750" s="24">
        <v>1749</v>
      </c>
      <c r="H1750" s="25">
        <f>S0_</f>
        <v>100</v>
      </c>
      <c r="I1750" s="25">
        <f ca="1">S0_*EXP((mu_-sigma_^2/2)*Dt_+sigma_*SQRT(Dt_)*_xlfn.NORM.INV(RAND(),0,1))</f>
        <v>87.2254000935265</v>
      </c>
      <c r="J1750" s="25">
        <f ca="1">MAX(k_-I1750,0)*EXP(-rs_*T_)</f>
        <v>9.49046086578386</v>
      </c>
      <c r="K1750" s="25">
        <v>-12.4032534987074</v>
      </c>
      <c r="L1750" s="25">
        <v>-3.48279263292358</v>
      </c>
      <c r="M1750" s="28">
        <v>1</v>
      </c>
      <c r="N1750" s="28">
        <v>1</v>
      </c>
    </row>
    <row r="1751" spans="7:14">
      <c r="G1751" s="24">
        <v>1750</v>
      </c>
      <c r="H1751" s="25">
        <f>S0_</f>
        <v>100</v>
      </c>
      <c r="I1751" s="25">
        <f ca="1">S0_*EXP((mu_-sigma_^2/2)*Dt_+sigma_*SQRT(Dt_)*_xlfn.NORM.INV(RAND(),0,1))</f>
        <v>92.5507160527097</v>
      </c>
      <c r="J1751" s="25">
        <f ca="1">MAX(k_-I1751,0)*EXP(-rs_*T_)</f>
        <v>4.31994716781745</v>
      </c>
      <c r="K1751" s="25">
        <v>-7.23273980074103</v>
      </c>
      <c r="L1751" s="25">
        <v>-3.48279263292358</v>
      </c>
      <c r="M1751" s="28">
        <v>1</v>
      </c>
      <c r="N1751" s="28">
        <v>1</v>
      </c>
    </row>
    <row r="1752" spans="7:14">
      <c r="G1752" s="24">
        <v>1751</v>
      </c>
      <c r="H1752" s="25">
        <f>S0_</f>
        <v>100</v>
      </c>
      <c r="I1752" s="25">
        <f ca="1">S0_*EXP((mu_-sigma_^2/2)*Dt_+sigma_*SQRT(Dt_)*_xlfn.NORM.INV(RAND(),0,1))</f>
        <v>97.4011785499276</v>
      </c>
      <c r="J1752" s="25">
        <f ca="1">MAX(k_-I1752,0)*EXP(-rs_*T_)</f>
        <v>0</v>
      </c>
      <c r="K1752" s="25">
        <v>-2.52327599135151</v>
      </c>
      <c r="L1752" s="25">
        <v>-3.09327599135151</v>
      </c>
      <c r="M1752" s="28">
        <v>1</v>
      </c>
      <c r="N1752" s="28">
        <v>1</v>
      </c>
    </row>
    <row r="1753" spans="7:14">
      <c r="G1753" s="24">
        <v>1752</v>
      </c>
      <c r="H1753" s="25">
        <f>S0_</f>
        <v>100</v>
      </c>
      <c r="I1753" s="25">
        <f ca="1">S0_*EXP((mu_-sigma_^2/2)*Dt_+sigma_*SQRT(Dt_)*_xlfn.NORM.INV(RAND(),0,1))</f>
        <v>117.977868232048</v>
      </c>
      <c r="J1753" s="25">
        <f ca="1">MAX(k_-I1753,0)*EXP(-rs_*T_)</f>
        <v>0</v>
      </c>
      <c r="K1753" s="25">
        <v>17.45526738066</v>
      </c>
      <c r="L1753" s="25">
        <v>16.88526738066</v>
      </c>
      <c r="M1753" s="28">
        <v>0</v>
      </c>
      <c r="N1753" s="28">
        <v>0</v>
      </c>
    </row>
    <row r="1754" spans="7:14">
      <c r="G1754" s="24">
        <v>1753</v>
      </c>
      <c r="H1754" s="25">
        <f>S0_</f>
        <v>100</v>
      </c>
      <c r="I1754" s="25">
        <f ca="1">S0_*EXP((mu_-sigma_^2/2)*Dt_+sigma_*SQRT(Dt_)*_xlfn.NORM.INV(RAND(),0,1))</f>
        <v>100.394309410083</v>
      </c>
      <c r="J1754" s="25">
        <f ca="1">MAX(k_-I1754,0)*EXP(-rs_*T_)</f>
        <v>0</v>
      </c>
      <c r="K1754" s="25">
        <v>0.382847181593624</v>
      </c>
      <c r="L1754" s="25">
        <v>-0.187152818406376</v>
      </c>
      <c r="M1754" s="28">
        <v>0</v>
      </c>
      <c r="N1754" s="28">
        <v>1</v>
      </c>
    </row>
    <row r="1755" spans="7:14">
      <c r="G1755" s="24">
        <v>1754</v>
      </c>
      <c r="H1755" s="25">
        <f>S0_</f>
        <v>100</v>
      </c>
      <c r="I1755" s="25">
        <f ca="1">S0_*EXP((mu_-sigma_^2/2)*Dt_+sigma_*SQRT(Dt_)*_xlfn.NORM.INV(RAND(),0,1))</f>
        <v>112.688374982115</v>
      </c>
      <c r="J1755" s="25">
        <f ca="1">MAX(k_-I1755,0)*EXP(-rs_*T_)</f>
        <v>0</v>
      </c>
      <c r="K1755" s="25">
        <v>12.3195350572253</v>
      </c>
      <c r="L1755" s="25">
        <v>11.7495350572253</v>
      </c>
      <c r="M1755" s="28">
        <v>0</v>
      </c>
      <c r="N1755" s="28">
        <v>0</v>
      </c>
    </row>
    <row r="1756" spans="7:14">
      <c r="G1756" s="24">
        <v>1755</v>
      </c>
      <c r="H1756" s="25">
        <f>S0_</f>
        <v>100</v>
      </c>
      <c r="I1756" s="25">
        <f ca="1">S0_*EXP((mu_-sigma_^2/2)*Dt_+sigma_*SQRT(Dt_)*_xlfn.NORM.INV(RAND(),0,1))</f>
        <v>105.540426371799</v>
      </c>
      <c r="J1756" s="25">
        <f ca="1">MAX(k_-I1756,0)*EXP(-rs_*T_)</f>
        <v>0</v>
      </c>
      <c r="K1756" s="25">
        <v>5.37937103967712</v>
      </c>
      <c r="L1756" s="25">
        <v>4.80937103967712</v>
      </c>
      <c r="M1756" s="28">
        <v>0</v>
      </c>
      <c r="N1756" s="28">
        <v>0</v>
      </c>
    </row>
    <row r="1757" spans="7:14">
      <c r="G1757" s="24">
        <v>1756</v>
      </c>
      <c r="H1757" s="25">
        <f>S0_</f>
        <v>100</v>
      </c>
      <c r="I1757" s="25">
        <f ca="1">S0_*EXP((mu_-sigma_^2/2)*Dt_+sigma_*SQRT(Dt_)*_xlfn.NORM.INV(RAND(),0,1))</f>
        <v>97.1313010134799</v>
      </c>
      <c r="J1757" s="25">
        <f ca="1">MAX(k_-I1757,0)*EXP(-rs_*T_)</f>
        <v>0</v>
      </c>
      <c r="K1757" s="25">
        <v>-2.78530842467039</v>
      </c>
      <c r="L1757" s="25">
        <v>-3.35530842467039</v>
      </c>
      <c r="M1757" s="28">
        <v>1</v>
      </c>
      <c r="N1757" s="28">
        <v>1</v>
      </c>
    </row>
    <row r="1758" spans="7:14">
      <c r="G1758" s="24">
        <v>1757</v>
      </c>
      <c r="H1758" s="25">
        <f>S0_</f>
        <v>100</v>
      </c>
      <c r="I1758" s="25">
        <f ca="1">S0_*EXP((mu_-sigma_^2/2)*Dt_+sigma_*SQRT(Dt_)*_xlfn.NORM.INV(RAND(),0,1))</f>
        <v>93.4055157072648</v>
      </c>
      <c r="J1758" s="25">
        <f ca="1">MAX(k_-I1758,0)*EXP(-rs_*T_)</f>
        <v>3.48999578901285</v>
      </c>
      <c r="K1758" s="25">
        <v>-6.40278842193643</v>
      </c>
      <c r="L1758" s="25">
        <v>-3.48279263292358</v>
      </c>
      <c r="M1758" s="28">
        <v>1</v>
      </c>
      <c r="N1758" s="28">
        <v>1</v>
      </c>
    </row>
    <row r="1759" spans="7:14">
      <c r="G1759" s="24">
        <v>1758</v>
      </c>
      <c r="H1759" s="25">
        <f>S0_</f>
        <v>100</v>
      </c>
      <c r="I1759" s="25">
        <f ca="1">S0_*EXP((mu_-sigma_^2/2)*Dt_+sigma_*SQRT(Dt_)*_xlfn.NORM.INV(RAND(),0,1))</f>
        <v>109.838366410591</v>
      </c>
      <c r="J1759" s="25">
        <f ca="1">MAX(k_-I1759,0)*EXP(-rs_*T_)</f>
        <v>0</v>
      </c>
      <c r="K1759" s="25">
        <v>9.55237373359114</v>
      </c>
      <c r="L1759" s="25">
        <v>8.98237373359114</v>
      </c>
      <c r="M1759" s="28">
        <v>0</v>
      </c>
      <c r="N1759" s="28">
        <v>0</v>
      </c>
    </row>
    <row r="1760" spans="7:14">
      <c r="G1760" s="24">
        <v>1759</v>
      </c>
      <c r="H1760" s="25">
        <f>S0_</f>
        <v>100</v>
      </c>
      <c r="I1760" s="25">
        <f ca="1">S0_*EXP((mu_-sigma_^2/2)*Dt_+sigma_*SQRT(Dt_)*_xlfn.NORM.INV(RAND(),0,1))</f>
        <v>100.842045483449</v>
      </c>
      <c r="J1760" s="25">
        <f ca="1">MAX(k_-I1760,0)*EXP(-rs_*T_)</f>
        <v>0</v>
      </c>
      <c r="K1760" s="25">
        <v>0.817567960259092</v>
      </c>
      <c r="L1760" s="25">
        <v>0.247567960259092</v>
      </c>
      <c r="M1760" s="28">
        <v>0</v>
      </c>
      <c r="N1760" s="28">
        <v>0</v>
      </c>
    </row>
    <row r="1761" spans="7:14">
      <c r="G1761" s="24">
        <v>1760</v>
      </c>
      <c r="H1761" s="25">
        <f>S0_</f>
        <v>100</v>
      </c>
      <c r="I1761" s="25">
        <f ca="1">S0_*EXP((mu_-sigma_^2/2)*Dt_+sigma_*SQRT(Dt_)*_xlfn.NORM.INV(RAND(),0,1))</f>
        <v>99.0657470753528</v>
      </c>
      <c r="J1761" s="25">
        <f ca="1">MAX(k_-I1761,0)*EXP(-rs_*T_)</f>
        <v>0</v>
      </c>
      <c r="K1761" s="25">
        <v>-0.907095012066542</v>
      </c>
      <c r="L1761" s="25">
        <v>-1.47709501206654</v>
      </c>
      <c r="M1761" s="28">
        <v>1</v>
      </c>
      <c r="N1761" s="28">
        <v>1</v>
      </c>
    </row>
    <row r="1762" spans="7:14">
      <c r="G1762" s="24">
        <v>1761</v>
      </c>
      <c r="H1762" s="25">
        <f>S0_</f>
        <v>100</v>
      </c>
      <c r="I1762" s="25">
        <f ca="1">S0_*EXP((mu_-sigma_^2/2)*Dt_+sigma_*SQRT(Dt_)*_xlfn.NORM.INV(RAND(),0,1))</f>
        <v>98.0441399423871</v>
      </c>
      <c r="J1762" s="25">
        <f ca="1">MAX(k_-I1762,0)*EXP(-rs_*T_)</f>
        <v>0</v>
      </c>
      <c r="K1762" s="25">
        <v>-1.8990049222814</v>
      </c>
      <c r="L1762" s="25">
        <v>-2.4690049222814</v>
      </c>
      <c r="M1762" s="28">
        <v>1</v>
      </c>
      <c r="N1762" s="28">
        <v>1</v>
      </c>
    </row>
    <row r="1763" spans="7:14">
      <c r="G1763" s="24">
        <v>1762</v>
      </c>
      <c r="H1763" s="25">
        <f>S0_</f>
        <v>100</v>
      </c>
      <c r="I1763" s="25">
        <f ca="1">S0_*EXP((mu_-sigma_^2/2)*Dt_+sigma_*SQRT(Dt_)*_xlfn.NORM.INV(RAND(),0,1))</f>
        <v>110.092135768564</v>
      </c>
      <c r="J1763" s="25">
        <f ca="1">MAX(k_-I1763,0)*EXP(-rs_*T_)</f>
        <v>0</v>
      </c>
      <c r="K1763" s="25">
        <v>9.79876623904598</v>
      </c>
      <c r="L1763" s="25">
        <v>9.22876623904598</v>
      </c>
      <c r="M1763" s="28">
        <v>0</v>
      </c>
      <c r="N1763" s="28">
        <v>0</v>
      </c>
    </row>
    <row r="1764" spans="7:14">
      <c r="G1764" s="24">
        <v>1763</v>
      </c>
      <c r="H1764" s="25">
        <f>S0_</f>
        <v>100</v>
      </c>
      <c r="I1764" s="25">
        <f ca="1">S0_*EXP((mu_-sigma_^2/2)*Dt_+sigma_*SQRT(Dt_)*_xlfn.NORM.INV(RAND(),0,1))</f>
        <v>113.969671182229</v>
      </c>
      <c r="J1764" s="25">
        <f ca="1">MAX(k_-I1764,0)*EXP(-rs_*T_)</f>
        <v>0</v>
      </c>
      <c r="K1764" s="25">
        <v>13.5635851013202</v>
      </c>
      <c r="L1764" s="25">
        <v>12.9935851013202</v>
      </c>
      <c r="M1764" s="28">
        <v>0</v>
      </c>
      <c r="N1764" s="28">
        <v>0</v>
      </c>
    </row>
    <row r="1765" spans="7:14">
      <c r="G1765" s="24">
        <v>1764</v>
      </c>
      <c r="H1765" s="25">
        <f>S0_</f>
        <v>100</v>
      </c>
      <c r="I1765" s="25">
        <f ca="1">S0_*EXP((mu_-sigma_^2/2)*Dt_+sigma_*SQRT(Dt_)*_xlfn.NORM.INV(RAND(),0,1))</f>
        <v>109.799586923885</v>
      </c>
      <c r="J1765" s="25">
        <f ca="1">MAX(k_-I1765,0)*EXP(-rs_*T_)</f>
        <v>0</v>
      </c>
      <c r="K1765" s="25">
        <v>9.51472153252838</v>
      </c>
      <c r="L1765" s="25">
        <v>8.94472153252838</v>
      </c>
      <c r="M1765" s="28">
        <v>0</v>
      </c>
      <c r="N1765" s="28">
        <v>0</v>
      </c>
    </row>
    <row r="1766" spans="7:14">
      <c r="G1766" s="24">
        <v>1765</v>
      </c>
      <c r="H1766" s="25">
        <f>S0_</f>
        <v>100</v>
      </c>
      <c r="I1766" s="25">
        <f ca="1">S0_*EXP((mu_-sigma_^2/2)*Dt_+sigma_*SQRT(Dt_)*_xlfn.NORM.INV(RAND(),0,1))</f>
        <v>90.6484404113785</v>
      </c>
      <c r="J1766" s="25">
        <f ca="1">MAX(k_-I1766,0)*EXP(-rs_*T_)</f>
        <v>6.16692532577064</v>
      </c>
      <c r="K1766" s="25">
        <v>-9.07971795869422</v>
      </c>
      <c r="L1766" s="25">
        <v>-3.48279263292358</v>
      </c>
      <c r="M1766" s="28">
        <v>1</v>
      </c>
      <c r="N1766" s="28">
        <v>1</v>
      </c>
    </row>
    <row r="1767" spans="7:14">
      <c r="G1767" s="24">
        <v>1766</v>
      </c>
      <c r="H1767" s="25">
        <f>S0_</f>
        <v>100</v>
      </c>
      <c r="I1767" s="25">
        <f ca="1">S0_*EXP((mu_-sigma_^2/2)*Dt_+sigma_*SQRT(Dt_)*_xlfn.NORM.INV(RAND(),0,1))</f>
        <v>110.034398708085</v>
      </c>
      <c r="J1767" s="25">
        <f ca="1">MAX(k_-I1767,0)*EXP(-rs_*T_)</f>
        <v>0</v>
      </c>
      <c r="K1767" s="25">
        <v>9.74270754424289</v>
      </c>
      <c r="L1767" s="25">
        <v>9.17270754424289</v>
      </c>
      <c r="M1767" s="28">
        <v>0</v>
      </c>
      <c r="N1767" s="28">
        <v>0</v>
      </c>
    </row>
    <row r="1768" spans="7:14">
      <c r="G1768" s="24">
        <v>1767</v>
      </c>
      <c r="H1768" s="25">
        <f>S0_</f>
        <v>100</v>
      </c>
      <c r="I1768" s="25">
        <f ca="1">S0_*EXP((mu_-sigma_^2/2)*Dt_+sigma_*SQRT(Dt_)*_xlfn.NORM.INV(RAND(),0,1))</f>
        <v>85.3432909976935</v>
      </c>
      <c r="J1768" s="25">
        <f ca="1">MAX(k_-I1768,0)*EXP(-rs_*T_)</f>
        <v>11.3178587020175</v>
      </c>
      <c r="K1768" s="25">
        <v>-14.2306513349411</v>
      </c>
      <c r="L1768" s="25">
        <v>-3.48279263292358</v>
      </c>
      <c r="M1768" s="28">
        <v>1</v>
      </c>
      <c r="N1768" s="28">
        <v>1</v>
      </c>
    </row>
    <row r="1769" spans="7:14">
      <c r="G1769" s="24">
        <v>1768</v>
      </c>
      <c r="H1769" s="25">
        <f>S0_</f>
        <v>100</v>
      </c>
      <c r="I1769" s="25">
        <f ca="1">S0_*EXP((mu_-sigma_^2/2)*Dt_+sigma_*SQRT(Dt_)*_xlfn.NORM.INV(RAND(),0,1))</f>
        <v>97.7565469442115</v>
      </c>
      <c r="J1769" s="25">
        <f ca="1">MAX(k_-I1769,0)*EXP(-rs_*T_)</f>
        <v>0</v>
      </c>
      <c r="K1769" s="25">
        <v>-2.17823784440357</v>
      </c>
      <c r="L1769" s="25">
        <v>-2.74823784440357</v>
      </c>
      <c r="M1769" s="28">
        <v>1</v>
      </c>
      <c r="N1769" s="28">
        <v>1</v>
      </c>
    </row>
    <row r="1770" spans="7:14">
      <c r="G1770" s="24">
        <v>1769</v>
      </c>
      <c r="H1770" s="25">
        <f>S0_</f>
        <v>100</v>
      </c>
      <c r="I1770" s="25">
        <f ca="1">S0_*EXP((mu_-sigma_^2/2)*Dt_+sigma_*SQRT(Dt_)*_xlfn.NORM.INV(RAND(),0,1))</f>
        <v>110.5204543284</v>
      </c>
      <c r="J1770" s="25">
        <f ca="1">MAX(k_-I1770,0)*EXP(-rs_*T_)</f>
        <v>0</v>
      </c>
      <c r="K1770" s="25">
        <v>10.2146339542574</v>
      </c>
      <c r="L1770" s="25">
        <v>9.64463395425744</v>
      </c>
      <c r="M1770" s="28">
        <v>0</v>
      </c>
      <c r="N1770" s="28">
        <v>0</v>
      </c>
    </row>
    <row r="1771" spans="7:14">
      <c r="G1771" s="24">
        <v>1770</v>
      </c>
      <c r="H1771" s="25">
        <f>S0_</f>
        <v>100</v>
      </c>
      <c r="I1771" s="25">
        <f ca="1">S0_*EXP((mu_-sigma_^2/2)*Dt_+sigma_*SQRT(Dt_)*_xlfn.NORM.INV(RAND(),0,1))</f>
        <v>92.6040552145479</v>
      </c>
      <c r="J1771" s="25">
        <f ca="1">MAX(k_-I1771,0)*EXP(-rs_*T_)</f>
        <v>4.26815852860128</v>
      </c>
      <c r="K1771" s="25">
        <v>-7.18095116152486</v>
      </c>
      <c r="L1771" s="25">
        <v>-3.48279263292358</v>
      </c>
      <c r="M1771" s="28">
        <v>1</v>
      </c>
      <c r="N1771" s="28">
        <v>1</v>
      </c>
    </row>
    <row r="1772" spans="7:14">
      <c r="G1772" s="24">
        <v>1771</v>
      </c>
      <c r="H1772" s="25">
        <f>S0_</f>
        <v>100</v>
      </c>
      <c r="I1772" s="25">
        <f ca="1">S0_*EXP((mu_-sigma_^2/2)*Dt_+sigma_*SQRT(Dt_)*_xlfn.NORM.INV(RAND(),0,1))</f>
        <v>107.087800027978</v>
      </c>
      <c r="J1772" s="25">
        <f ca="1">MAX(k_-I1772,0)*EXP(-rs_*T_)</f>
        <v>0</v>
      </c>
      <c r="K1772" s="25">
        <v>6.88176390170975</v>
      </c>
      <c r="L1772" s="25">
        <v>6.31176390170975</v>
      </c>
      <c r="M1772" s="28">
        <v>0</v>
      </c>
      <c r="N1772" s="28">
        <v>0</v>
      </c>
    </row>
    <row r="1773" spans="7:14">
      <c r="G1773" s="24">
        <v>1772</v>
      </c>
      <c r="H1773" s="25">
        <f>S0_</f>
        <v>100</v>
      </c>
      <c r="I1773" s="25">
        <f ca="1">S0_*EXP((mu_-sigma_^2/2)*Dt_+sigma_*SQRT(Dt_)*_xlfn.NORM.INV(RAND(),0,1))</f>
        <v>107.340382780504</v>
      </c>
      <c r="J1773" s="25">
        <f ca="1">MAX(k_-I1773,0)*EXP(-rs_*T_)</f>
        <v>0</v>
      </c>
      <c r="K1773" s="25">
        <v>7.127004295297</v>
      </c>
      <c r="L1773" s="25">
        <v>6.557004295297</v>
      </c>
      <c r="M1773" s="28">
        <v>0</v>
      </c>
      <c r="N1773" s="28">
        <v>0</v>
      </c>
    </row>
    <row r="1774" spans="7:14">
      <c r="G1774" s="24">
        <v>1773</v>
      </c>
      <c r="H1774" s="25">
        <f>S0_</f>
        <v>100</v>
      </c>
      <c r="I1774" s="25">
        <f ca="1">S0_*EXP((mu_-sigma_^2/2)*Dt_+sigma_*SQRT(Dt_)*_xlfn.NORM.INV(RAND(),0,1))</f>
        <v>108.140767388063</v>
      </c>
      <c r="J1774" s="25">
        <f ca="1">MAX(k_-I1774,0)*EXP(-rs_*T_)</f>
        <v>0</v>
      </c>
      <c r="K1774" s="25">
        <v>7.90412242476509</v>
      </c>
      <c r="L1774" s="25">
        <v>7.33412242476509</v>
      </c>
      <c r="M1774" s="28">
        <v>0</v>
      </c>
      <c r="N1774" s="28">
        <v>0</v>
      </c>
    </row>
    <row r="1775" spans="7:14">
      <c r="G1775" s="24">
        <v>1774</v>
      </c>
      <c r="H1775" s="25">
        <f>S0_</f>
        <v>100</v>
      </c>
      <c r="I1775" s="25">
        <f ca="1">S0_*EXP((mu_-sigma_^2/2)*Dt_+sigma_*SQRT(Dt_)*_xlfn.NORM.INV(RAND(),0,1))</f>
        <v>97.4771493376404</v>
      </c>
      <c r="J1775" s="25">
        <f ca="1">MAX(k_-I1775,0)*EXP(-rs_*T_)</f>
        <v>0</v>
      </c>
      <c r="K1775" s="25">
        <v>-2.44951360776243</v>
      </c>
      <c r="L1775" s="25">
        <v>-3.01951360776243</v>
      </c>
      <c r="M1775" s="28">
        <v>1</v>
      </c>
      <c r="N1775" s="28">
        <v>1</v>
      </c>
    </row>
    <row r="1776" spans="7:14">
      <c r="G1776" s="24">
        <v>1775</v>
      </c>
      <c r="H1776" s="25">
        <f>S0_</f>
        <v>100</v>
      </c>
      <c r="I1776" s="25">
        <f ca="1">S0_*EXP((mu_-sigma_^2/2)*Dt_+sigma_*SQRT(Dt_)*_xlfn.NORM.INV(RAND(),0,1))</f>
        <v>96.0762317276712</v>
      </c>
      <c r="J1776" s="25">
        <f ca="1">MAX(k_-I1776,0)*EXP(-rs_*T_)</f>
        <v>0.896915139389306</v>
      </c>
      <c r="K1776" s="25">
        <v>-3.80970777231289</v>
      </c>
      <c r="L1776" s="25">
        <v>-3.48279263292358</v>
      </c>
      <c r="M1776" s="28">
        <v>1</v>
      </c>
      <c r="N1776" s="28">
        <v>1</v>
      </c>
    </row>
    <row r="1777" spans="7:14">
      <c r="G1777" s="24">
        <v>1776</v>
      </c>
      <c r="H1777" s="25">
        <f>S0_</f>
        <v>100</v>
      </c>
      <c r="I1777" s="25">
        <f ca="1">S0_*EXP((mu_-sigma_^2/2)*Dt_+sigma_*SQRT(Dt_)*_xlfn.NORM.INV(RAND(),0,1))</f>
        <v>102.976625993284</v>
      </c>
      <c r="J1777" s="25">
        <f ca="1">MAX(k_-I1777,0)*EXP(-rs_*T_)</f>
        <v>0</v>
      </c>
      <c r="K1777" s="25">
        <v>2.89009808806912</v>
      </c>
      <c r="L1777" s="25">
        <v>2.32009808806912</v>
      </c>
      <c r="M1777" s="28">
        <v>0</v>
      </c>
      <c r="N1777" s="28">
        <v>0</v>
      </c>
    </row>
    <row r="1778" spans="7:14">
      <c r="G1778" s="24">
        <v>1777</v>
      </c>
      <c r="H1778" s="25">
        <f>S0_</f>
        <v>100</v>
      </c>
      <c r="I1778" s="25">
        <f ca="1">S0_*EXP((mu_-sigma_^2/2)*Dt_+sigma_*SQRT(Dt_)*_xlfn.NORM.INV(RAND(),0,1))</f>
        <v>99.7184194960581</v>
      </c>
      <c r="J1778" s="25">
        <f ca="1">MAX(k_-I1778,0)*EXP(-rs_*T_)</f>
        <v>0</v>
      </c>
      <c r="K1778" s="25">
        <v>-0.273395205818955</v>
      </c>
      <c r="L1778" s="25">
        <v>-0.843395205818955</v>
      </c>
      <c r="M1778" s="28">
        <v>1</v>
      </c>
      <c r="N1778" s="28">
        <v>1</v>
      </c>
    </row>
    <row r="1779" spans="7:14">
      <c r="G1779" s="24">
        <v>1778</v>
      </c>
      <c r="H1779" s="25">
        <f>S0_</f>
        <v>100</v>
      </c>
      <c r="I1779" s="25">
        <f ca="1">S0_*EXP((mu_-sigma_^2/2)*Dt_+sigma_*SQRT(Dt_)*_xlfn.NORM.INV(RAND(),0,1))</f>
        <v>95.588049669553</v>
      </c>
      <c r="J1779" s="25">
        <f ca="1">MAX(k_-I1779,0)*EXP(-rs_*T_)</f>
        <v>1.37090617352664</v>
      </c>
      <c r="K1779" s="25">
        <v>-4.28369880645022</v>
      </c>
      <c r="L1779" s="25">
        <v>-3.48279263292358</v>
      </c>
      <c r="M1779" s="28">
        <v>1</v>
      </c>
      <c r="N1779" s="28">
        <v>1</v>
      </c>
    </row>
    <row r="1780" spans="7:14">
      <c r="G1780" s="24">
        <v>1779</v>
      </c>
      <c r="H1780" s="25">
        <f>S0_</f>
        <v>100</v>
      </c>
      <c r="I1780" s="25">
        <f ca="1">S0_*EXP((mu_-sigma_^2/2)*Dt_+sigma_*SQRT(Dt_)*_xlfn.NORM.INV(RAND(),0,1))</f>
        <v>90.6034742222866</v>
      </c>
      <c r="J1780" s="25">
        <f ca="1">MAX(k_-I1780,0)*EXP(-rs_*T_)</f>
        <v>6.21058438720977</v>
      </c>
      <c r="K1780" s="25">
        <v>-9.12337702013336</v>
      </c>
      <c r="L1780" s="25">
        <v>-3.48279263292358</v>
      </c>
      <c r="M1780" s="28">
        <v>1</v>
      </c>
      <c r="N1780" s="28">
        <v>1</v>
      </c>
    </row>
    <row r="1781" spans="7:14">
      <c r="G1781" s="24">
        <v>1780</v>
      </c>
      <c r="H1781" s="25">
        <f>S0_</f>
        <v>100</v>
      </c>
      <c r="I1781" s="25">
        <f ca="1">S0_*EXP((mu_-sigma_^2/2)*Dt_+sigma_*SQRT(Dt_)*_xlfn.NORM.INV(RAND(),0,1))</f>
        <v>95.6392467782312</v>
      </c>
      <c r="J1781" s="25">
        <f ca="1">MAX(k_-I1781,0)*EXP(-rs_*T_)</f>
        <v>1.32119731986503</v>
      </c>
      <c r="K1781" s="25">
        <v>-4.23398995278861</v>
      </c>
      <c r="L1781" s="25">
        <v>-3.48279263292358</v>
      </c>
      <c r="M1781" s="28">
        <v>1</v>
      </c>
      <c r="N1781" s="28">
        <v>1</v>
      </c>
    </row>
    <row r="1782" spans="7:14">
      <c r="G1782" s="24">
        <v>1781</v>
      </c>
      <c r="H1782" s="25">
        <f>S0_</f>
        <v>100</v>
      </c>
      <c r="I1782" s="25">
        <f ca="1">S0_*EXP((mu_-sigma_^2/2)*Dt_+sigma_*SQRT(Dt_)*_xlfn.NORM.INV(RAND(),0,1))</f>
        <v>109.614218642023</v>
      </c>
      <c r="J1782" s="25">
        <f ca="1">MAX(k_-I1782,0)*EXP(-rs_*T_)</f>
        <v>0</v>
      </c>
      <c r="K1782" s="25">
        <v>9.33474174393348</v>
      </c>
      <c r="L1782" s="25">
        <v>8.76474174393348</v>
      </c>
      <c r="M1782" s="28">
        <v>0</v>
      </c>
      <c r="N1782" s="28">
        <v>0</v>
      </c>
    </row>
    <row r="1783" spans="7:14">
      <c r="G1783" s="24">
        <v>1782</v>
      </c>
      <c r="H1783" s="25">
        <f>S0_</f>
        <v>100</v>
      </c>
      <c r="I1783" s="25">
        <f ca="1">S0_*EXP((mu_-sigma_^2/2)*Dt_+sigma_*SQRT(Dt_)*_xlfn.NORM.INV(RAND(),0,1))</f>
        <v>89.4735668944642</v>
      </c>
      <c r="J1783" s="25">
        <f ca="1">MAX(k_-I1783,0)*EXP(-rs_*T_)</f>
        <v>7.3076463006656</v>
      </c>
      <c r="K1783" s="25">
        <v>-10.2204389335892</v>
      </c>
      <c r="L1783" s="25">
        <v>-3.48279263292358</v>
      </c>
      <c r="M1783" s="28">
        <v>1</v>
      </c>
      <c r="N1783" s="28">
        <v>1</v>
      </c>
    </row>
    <row r="1784" spans="7:14">
      <c r="G1784" s="24">
        <v>1783</v>
      </c>
      <c r="H1784" s="25">
        <f>S0_</f>
        <v>100</v>
      </c>
      <c r="I1784" s="25">
        <f ca="1">S0_*EXP((mu_-sigma_^2/2)*Dt_+sigma_*SQRT(Dt_)*_xlfn.NORM.INV(RAND(),0,1))</f>
        <v>103.706003176015</v>
      </c>
      <c r="J1784" s="25">
        <f ca="1">MAX(k_-I1784,0)*EXP(-rs_*T_)</f>
        <v>0</v>
      </c>
      <c r="K1784" s="25">
        <v>3.5982729162292</v>
      </c>
      <c r="L1784" s="25">
        <v>3.0282729162292</v>
      </c>
      <c r="M1784" s="28">
        <v>0</v>
      </c>
      <c r="N1784" s="28">
        <v>0</v>
      </c>
    </row>
    <row r="1785" spans="7:14">
      <c r="G1785" s="24">
        <v>1784</v>
      </c>
      <c r="H1785" s="25">
        <f>S0_</f>
        <v>100</v>
      </c>
      <c r="I1785" s="25">
        <f ca="1">S0_*EXP((mu_-sigma_^2/2)*Dt_+sigma_*SQRT(Dt_)*_xlfn.NORM.INV(RAND(),0,1))</f>
        <v>105.796138173625</v>
      </c>
      <c r="J1785" s="25">
        <f ca="1">MAX(k_-I1785,0)*EXP(-rs_*T_)</f>
        <v>0</v>
      </c>
      <c r="K1785" s="25">
        <v>5.62764952384783</v>
      </c>
      <c r="L1785" s="25">
        <v>5.05764952384783</v>
      </c>
      <c r="M1785" s="28">
        <v>0</v>
      </c>
      <c r="N1785" s="28">
        <v>0</v>
      </c>
    </row>
    <row r="1786" spans="7:14">
      <c r="G1786" s="24">
        <v>1785</v>
      </c>
      <c r="H1786" s="25">
        <f>S0_</f>
        <v>100</v>
      </c>
      <c r="I1786" s="25">
        <f ca="1">S0_*EXP((mu_-sigma_^2/2)*Dt_+sigma_*SQRT(Dt_)*_xlfn.NORM.INV(RAND(),0,1))</f>
        <v>115.819385082874</v>
      </c>
      <c r="J1786" s="25">
        <f ca="1">MAX(k_-I1786,0)*EXP(-rs_*T_)</f>
        <v>0</v>
      </c>
      <c r="K1786" s="25">
        <v>15.359529442259</v>
      </c>
      <c r="L1786" s="25">
        <v>14.789529442259</v>
      </c>
      <c r="M1786" s="28">
        <v>0</v>
      </c>
      <c r="N1786" s="28">
        <v>0</v>
      </c>
    </row>
    <row r="1787" spans="7:14">
      <c r="G1787" s="24">
        <v>1786</v>
      </c>
      <c r="H1787" s="25">
        <f>S0_</f>
        <v>100</v>
      </c>
      <c r="I1787" s="25">
        <f ca="1">S0_*EXP((mu_-sigma_^2/2)*Dt_+sigma_*SQRT(Dt_)*_xlfn.NORM.INV(RAND(),0,1))</f>
        <v>111.421013685139</v>
      </c>
      <c r="J1787" s="25">
        <f ca="1">MAX(k_-I1787,0)*EXP(-rs_*T_)</f>
        <v>0</v>
      </c>
      <c r="K1787" s="25">
        <v>11.0890148408645</v>
      </c>
      <c r="L1787" s="25">
        <v>10.5190148408645</v>
      </c>
      <c r="M1787" s="28">
        <v>0</v>
      </c>
      <c r="N1787" s="28">
        <v>0</v>
      </c>
    </row>
    <row r="1788" spans="7:14">
      <c r="G1788" s="24">
        <v>1787</v>
      </c>
      <c r="H1788" s="25">
        <f>S0_</f>
        <v>100</v>
      </c>
      <c r="I1788" s="25">
        <f ca="1">S0_*EXP((mu_-sigma_^2/2)*Dt_+sigma_*SQRT(Dt_)*_xlfn.NORM.INV(RAND(),0,1))</f>
        <v>96.155422720254</v>
      </c>
      <c r="J1788" s="25">
        <f ca="1">MAX(k_-I1788,0)*EXP(-rs_*T_)</f>
        <v>0.820026159459574</v>
      </c>
      <c r="K1788" s="25">
        <v>-3.73281879238316</v>
      </c>
      <c r="L1788" s="25">
        <v>-3.48279263292358</v>
      </c>
      <c r="M1788" s="28">
        <v>1</v>
      </c>
      <c r="N1788" s="28">
        <v>1</v>
      </c>
    </row>
    <row r="1789" spans="7:14">
      <c r="G1789" s="24">
        <v>1788</v>
      </c>
      <c r="H1789" s="25">
        <f>S0_</f>
        <v>100</v>
      </c>
      <c r="I1789" s="25">
        <f ca="1">S0_*EXP((mu_-sigma_^2/2)*Dt_+sigma_*SQRT(Dt_)*_xlfn.NORM.INV(RAND(),0,1))</f>
        <v>108.329693770491</v>
      </c>
      <c r="J1789" s="25">
        <f ca="1">MAX(k_-I1789,0)*EXP(-rs_*T_)</f>
        <v>0</v>
      </c>
      <c r="K1789" s="25">
        <v>8.08755688306534</v>
      </c>
      <c r="L1789" s="25">
        <v>7.51755688306534</v>
      </c>
      <c r="M1789" s="28">
        <v>0</v>
      </c>
      <c r="N1789" s="28">
        <v>0</v>
      </c>
    </row>
    <row r="1790" spans="7:14">
      <c r="G1790" s="24">
        <v>1789</v>
      </c>
      <c r="H1790" s="25">
        <f>S0_</f>
        <v>100</v>
      </c>
      <c r="I1790" s="25">
        <f ca="1">S0_*EXP((mu_-sigma_^2/2)*Dt_+sigma_*SQRT(Dt_)*_xlfn.NORM.INV(RAND(),0,1))</f>
        <v>101.297622092285</v>
      </c>
      <c r="J1790" s="25">
        <f ca="1">MAX(k_-I1790,0)*EXP(-rs_*T_)</f>
        <v>0</v>
      </c>
      <c r="K1790" s="25">
        <v>1.25990135690885</v>
      </c>
      <c r="L1790" s="25">
        <v>0.689901356908846</v>
      </c>
      <c r="M1790" s="28">
        <v>0</v>
      </c>
      <c r="N1790" s="28">
        <v>0</v>
      </c>
    </row>
    <row r="1791" spans="7:14">
      <c r="G1791" s="24">
        <v>1790</v>
      </c>
      <c r="H1791" s="25">
        <f>S0_</f>
        <v>100</v>
      </c>
      <c r="I1791" s="25">
        <f ca="1">S0_*EXP((mu_-sigma_^2/2)*Dt_+sigma_*SQRT(Dt_)*_xlfn.NORM.INV(RAND(),0,1))</f>
        <v>99.5948748825328</v>
      </c>
      <c r="J1791" s="25">
        <f ca="1">MAX(k_-I1791,0)*EXP(-rs_*T_)</f>
        <v>0</v>
      </c>
      <c r="K1791" s="25">
        <v>-0.393348485856955</v>
      </c>
      <c r="L1791" s="25">
        <v>-0.963348485856955</v>
      </c>
      <c r="M1791" s="28">
        <v>1</v>
      </c>
      <c r="N1791" s="28">
        <v>1</v>
      </c>
    </row>
    <row r="1792" spans="7:14">
      <c r="G1792" s="24">
        <v>1791</v>
      </c>
      <c r="H1792" s="25">
        <f>S0_</f>
        <v>100</v>
      </c>
      <c r="I1792" s="25">
        <f ca="1">S0_*EXP((mu_-sigma_^2/2)*Dt_+sigma_*SQRT(Dt_)*_xlfn.NORM.INV(RAND(),0,1))</f>
        <v>93.020321465743</v>
      </c>
      <c r="J1792" s="25">
        <f ca="1">MAX(k_-I1792,0)*EXP(-rs_*T_)</f>
        <v>3.86399277199595</v>
      </c>
      <c r="K1792" s="25">
        <v>-6.77678540491953</v>
      </c>
      <c r="L1792" s="25">
        <v>-3.48279263292358</v>
      </c>
      <c r="M1792" s="28">
        <v>1</v>
      </c>
      <c r="N1792" s="28">
        <v>1</v>
      </c>
    </row>
    <row r="1793" spans="7:14">
      <c r="G1793" s="24">
        <v>1792</v>
      </c>
      <c r="H1793" s="25">
        <f>S0_</f>
        <v>100</v>
      </c>
      <c r="I1793" s="25">
        <f ca="1">S0_*EXP((mu_-sigma_^2/2)*Dt_+sigma_*SQRT(Dt_)*_xlfn.NORM.INV(RAND(),0,1))</f>
        <v>107.955279743346</v>
      </c>
      <c r="J1793" s="25">
        <f ca="1">MAX(k_-I1793,0)*EXP(-rs_*T_)</f>
        <v>0</v>
      </c>
      <c r="K1793" s="25">
        <v>7.72402674308857</v>
      </c>
      <c r="L1793" s="25">
        <v>7.15402674308857</v>
      </c>
      <c r="M1793" s="28">
        <v>0</v>
      </c>
      <c r="N1793" s="28">
        <v>0</v>
      </c>
    </row>
    <row r="1794" spans="7:14">
      <c r="G1794" s="24">
        <v>1793</v>
      </c>
      <c r="H1794" s="25">
        <f>S0_</f>
        <v>100</v>
      </c>
      <c r="I1794" s="25">
        <f ca="1">S0_*EXP((mu_-sigma_^2/2)*Dt_+sigma_*SQRT(Dt_)*_xlfn.NORM.INV(RAND(),0,1))</f>
        <v>109.089206912168</v>
      </c>
      <c r="J1794" s="25">
        <f ca="1">MAX(k_-I1794,0)*EXP(-rs_*T_)</f>
        <v>0</v>
      </c>
      <c r="K1794" s="25">
        <v>8.82499164429415</v>
      </c>
      <c r="L1794" s="25">
        <v>8.25499164429415</v>
      </c>
      <c r="M1794" s="28">
        <v>0</v>
      </c>
      <c r="N1794" s="28">
        <v>0</v>
      </c>
    </row>
    <row r="1795" spans="7:14">
      <c r="G1795" s="24">
        <v>1794</v>
      </c>
      <c r="H1795" s="25">
        <f>S0_</f>
        <v>100</v>
      </c>
      <c r="I1795" s="25">
        <f ca="1">S0_*EXP((mu_-sigma_^2/2)*Dt_+sigma_*SQRT(Dt_)*_xlfn.NORM.INV(RAND(),0,1))</f>
        <v>101.180905072322</v>
      </c>
      <c r="J1795" s="25">
        <f ca="1">MAX(k_-I1795,0)*EXP(-rs_*T_)</f>
        <v>0</v>
      </c>
      <c r="K1795" s="25">
        <v>1.14657719828063</v>
      </c>
      <c r="L1795" s="25">
        <v>0.576577198280625</v>
      </c>
      <c r="M1795" s="28">
        <v>0</v>
      </c>
      <c r="N1795" s="28">
        <v>0</v>
      </c>
    </row>
    <row r="1796" spans="7:14">
      <c r="G1796" s="24">
        <v>1795</v>
      </c>
      <c r="H1796" s="25">
        <f>S0_</f>
        <v>100</v>
      </c>
      <c r="I1796" s="25">
        <f ca="1">S0_*EXP((mu_-sigma_^2/2)*Dt_+sigma_*SQRT(Dt_)*_xlfn.NORM.INV(RAND(),0,1))</f>
        <v>128.268875190528</v>
      </c>
      <c r="J1796" s="25">
        <f ca="1">MAX(k_-I1796,0)*EXP(-rs_*T_)</f>
        <v>0</v>
      </c>
      <c r="K1796" s="25">
        <v>27.4471237986692</v>
      </c>
      <c r="L1796" s="25">
        <v>26.8771237986692</v>
      </c>
      <c r="M1796" s="28">
        <v>0</v>
      </c>
      <c r="N1796" s="28">
        <v>0</v>
      </c>
    </row>
    <row r="1797" spans="7:14">
      <c r="G1797" s="24">
        <v>1796</v>
      </c>
      <c r="H1797" s="25">
        <f>S0_</f>
        <v>100</v>
      </c>
      <c r="I1797" s="25">
        <f ca="1">S0_*EXP((mu_-sigma_^2/2)*Dt_+sigma_*SQRT(Dt_)*_xlfn.NORM.INV(RAND(),0,1))</f>
        <v>110.181161269722</v>
      </c>
      <c r="J1797" s="25">
        <f ca="1">MAX(k_-I1797,0)*EXP(-rs_*T_)</f>
        <v>0</v>
      </c>
      <c r="K1797" s="25">
        <v>9.88520384701741</v>
      </c>
      <c r="L1797" s="25">
        <v>9.31520384701741</v>
      </c>
      <c r="M1797" s="28">
        <v>0</v>
      </c>
      <c r="N1797" s="28">
        <v>0</v>
      </c>
    </row>
    <row r="1798" spans="7:14">
      <c r="G1798" s="24">
        <v>1797</v>
      </c>
      <c r="H1798" s="25">
        <f>S0_</f>
        <v>100</v>
      </c>
      <c r="I1798" s="25">
        <f ca="1">S0_*EXP((mu_-sigma_^2/2)*Dt_+sigma_*SQRT(Dt_)*_xlfn.NORM.INV(RAND(),0,1))</f>
        <v>100.165178491177</v>
      </c>
      <c r="J1798" s="25">
        <f ca="1">MAX(k_-I1798,0)*EXP(-rs_*T_)</f>
        <v>0</v>
      </c>
      <c r="K1798" s="25">
        <v>0.160376897405507</v>
      </c>
      <c r="L1798" s="25">
        <v>-0.409623102594493</v>
      </c>
      <c r="M1798" s="28">
        <v>0</v>
      </c>
      <c r="N1798" s="28">
        <v>1</v>
      </c>
    </row>
    <row r="1799" spans="7:14">
      <c r="G1799" s="24">
        <v>1798</v>
      </c>
      <c r="H1799" s="25">
        <f>S0_</f>
        <v>100</v>
      </c>
      <c r="I1799" s="25">
        <f ca="1">S0_*EXP((mu_-sigma_^2/2)*Dt_+sigma_*SQRT(Dt_)*_xlfn.NORM.INV(RAND(),0,1))</f>
        <v>113.06127973292</v>
      </c>
      <c r="J1799" s="25">
        <f ca="1">MAX(k_-I1799,0)*EXP(-rs_*T_)</f>
        <v>0</v>
      </c>
      <c r="K1799" s="25">
        <v>12.6815997942014</v>
      </c>
      <c r="L1799" s="25">
        <v>12.1115997942014</v>
      </c>
      <c r="M1799" s="28">
        <v>0</v>
      </c>
      <c r="N1799" s="28">
        <v>0</v>
      </c>
    </row>
    <row r="1800" spans="7:14">
      <c r="G1800" s="24">
        <v>1799</v>
      </c>
      <c r="H1800" s="25">
        <f>S0_</f>
        <v>100</v>
      </c>
      <c r="I1800" s="25">
        <f ca="1">S0_*EXP((mu_-sigma_^2/2)*Dt_+sigma_*SQRT(Dt_)*_xlfn.NORM.INV(RAND(),0,1))</f>
        <v>96.5141476906985</v>
      </c>
      <c r="J1800" s="25">
        <f ca="1">MAX(k_-I1800,0)*EXP(-rs_*T_)</f>
        <v>0.471729009074085</v>
      </c>
      <c r="K1800" s="25">
        <v>-3.38452164199767</v>
      </c>
      <c r="L1800" s="25">
        <v>-3.48279263292358</v>
      </c>
      <c r="M1800" s="28">
        <v>1</v>
      </c>
      <c r="N1800" s="28">
        <v>1</v>
      </c>
    </row>
    <row r="1801" spans="7:14">
      <c r="G1801" s="24">
        <v>1800</v>
      </c>
      <c r="H1801" s="25">
        <f>S0_</f>
        <v>100</v>
      </c>
      <c r="I1801" s="25">
        <f ca="1">S0_*EXP((mu_-sigma_^2/2)*Dt_+sigma_*SQRT(Dt_)*_xlfn.NORM.INV(RAND(),0,1))</f>
        <v>107.239121825077</v>
      </c>
      <c r="J1801" s="25">
        <f ca="1">MAX(k_-I1801,0)*EXP(-rs_*T_)</f>
        <v>0</v>
      </c>
      <c r="K1801" s="25">
        <v>7.02868690697309</v>
      </c>
      <c r="L1801" s="25">
        <v>6.45868690697309</v>
      </c>
      <c r="M1801" s="28">
        <v>0</v>
      </c>
      <c r="N1801" s="28">
        <v>0</v>
      </c>
    </row>
    <row r="1802" spans="7:14">
      <c r="G1802" s="24">
        <v>1801</v>
      </c>
      <c r="H1802" s="25">
        <f>S0_</f>
        <v>100</v>
      </c>
      <c r="I1802" s="25">
        <f ca="1">S0_*EXP((mu_-sigma_^2/2)*Dt_+sigma_*SQRT(Dt_)*_xlfn.NORM.INV(RAND(),0,1))</f>
        <v>105.952594675218</v>
      </c>
      <c r="J1802" s="25">
        <f ca="1">MAX(k_-I1802,0)*EXP(-rs_*T_)</f>
        <v>0</v>
      </c>
      <c r="K1802" s="25">
        <v>5.77955797225184</v>
      </c>
      <c r="L1802" s="25">
        <v>5.20955797225184</v>
      </c>
      <c r="M1802" s="28">
        <v>0</v>
      </c>
      <c r="N1802" s="28">
        <v>0</v>
      </c>
    </row>
    <row r="1803" spans="7:14">
      <c r="G1803" s="24">
        <v>1802</v>
      </c>
      <c r="H1803" s="25">
        <f>S0_</f>
        <v>100</v>
      </c>
      <c r="I1803" s="25">
        <f ca="1">S0_*EXP((mu_-sigma_^2/2)*Dt_+sigma_*SQRT(Dt_)*_xlfn.NORM.INV(RAND(),0,1))</f>
        <v>118.233080007193</v>
      </c>
      <c r="J1803" s="25">
        <f ca="1">MAX(k_-I1803,0)*EXP(-rs_*T_)</f>
        <v>0</v>
      </c>
      <c r="K1803" s="25">
        <v>17.7030603734856</v>
      </c>
      <c r="L1803" s="25">
        <v>17.1330603734856</v>
      </c>
      <c r="M1803" s="28">
        <v>0</v>
      </c>
      <c r="N1803" s="28">
        <v>0</v>
      </c>
    </row>
    <row r="1804" spans="7:14">
      <c r="G1804" s="24">
        <v>1803</v>
      </c>
      <c r="H1804" s="25">
        <f>S0_</f>
        <v>100</v>
      </c>
      <c r="I1804" s="25">
        <f ca="1">S0_*EXP((mu_-sigma_^2/2)*Dt_+sigma_*SQRT(Dt_)*_xlfn.NORM.INV(RAND(),0,1))</f>
        <v>103.930397518608</v>
      </c>
      <c r="J1804" s="25">
        <f ca="1">MAX(k_-I1804,0)*EXP(-rs_*T_)</f>
        <v>0</v>
      </c>
      <c r="K1804" s="25">
        <v>3.81614431222127</v>
      </c>
      <c r="L1804" s="25">
        <v>3.24614431222127</v>
      </c>
      <c r="M1804" s="28">
        <v>0</v>
      </c>
      <c r="N1804" s="28">
        <v>0</v>
      </c>
    </row>
    <row r="1805" spans="7:14">
      <c r="G1805" s="24">
        <v>1804</v>
      </c>
      <c r="H1805" s="25">
        <f>S0_</f>
        <v>100</v>
      </c>
      <c r="I1805" s="25">
        <f ca="1">S0_*EXP((mu_-sigma_^2/2)*Dt_+sigma_*SQRT(Dt_)*_xlfn.NORM.INV(RAND(),0,1))</f>
        <v>106.113939493474</v>
      </c>
      <c r="J1805" s="25">
        <f ca="1">MAX(k_-I1805,0)*EXP(-rs_*T_)</f>
        <v>0</v>
      </c>
      <c r="K1805" s="25">
        <v>5.93621263824381</v>
      </c>
      <c r="L1805" s="25">
        <v>5.36621263824381</v>
      </c>
      <c r="M1805" s="28">
        <v>0</v>
      </c>
      <c r="N1805" s="28">
        <v>0</v>
      </c>
    </row>
    <row r="1806" spans="7:14">
      <c r="G1806" s="24">
        <v>1805</v>
      </c>
      <c r="H1806" s="25">
        <f>S0_</f>
        <v>100</v>
      </c>
      <c r="I1806" s="25">
        <f ca="1">S0_*EXP((mu_-sigma_^2/2)*Dt_+sigma_*SQRT(Dt_)*_xlfn.NORM.INV(RAND(),0,1))</f>
        <v>109.085860772977</v>
      </c>
      <c r="J1806" s="25">
        <f ca="1">MAX(k_-I1806,0)*EXP(-rs_*T_)</f>
        <v>0</v>
      </c>
      <c r="K1806" s="25">
        <v>8.82174277443184</v>
      </c>
      <c r="L1806" s="25">
        <v>8.25174277443184</v>
      </c>
      <c r="M1806" s="28">
        <v>0</v>
      </c>
      <c r="N1806" s="28">
        <v>0</v>
      </c>
    </row>
    <row r="1807" spans="7:14">
      <c r="G1807" s="24">
        <v>1806</v>
      </c>
      <c r="H1807" s="25">
        <f>S0_</f>
        <v>100</v>
      </c>
      <c r="I1807" s="25">
        <f ca="1">S0_*EXP((mu_-sigma_^2/2)*Dt_+sigma_*SQRT(Dt_)*_xlfn.NORM.INV(RAND(),0,1))</f>
        <v>111.49799341212</v>
      </c>
      <c r="J1807" s="25">
        <f ca="1">MAX(k_-I1807,0)*EXP(-rs_*T_)</f>
        <v>0</v>
      </c>
      <c r="K1807" s="25">
        <v>11.1637568347422</v>
      </c>
      <c r="L1807" s="25">
        <v>10.5937568347422</v>
      </c>
      <c r="M1807" s="28">
        <v>0</v>
      </c>
      <c r="N1807" s="28">
        <v>0</v>
      </c>
    </row>
    <row r="1808" spans="7:14">
      <c r="G1808" s="24">
        <v>1807</v>
      </c>
      <c r="H1808" s="25">
        <f>S0_</f>
        <v>100</v>
      </c>
      <c r="I1808" s="25">
        <f ca="1">S0_*EXP((mu_-sigma_^2/2)*Dt_+sigma_*SQRT(Dt_)*_xlfn.NORM.INV(RAND(),0,1))</f>
        <v>104.977685857833</v>
      </c>
      <c r="J1808" s="25">
        <f ca="1">MAX(k_-I1808,0)*EXP(-rs_*T_)</f>
        <v>0</v>
      </c>
      <c r="K1808" s="25">
        <v>4.83298889856748</v>
      </c>
      <c r="L1808" s="25">
        <v>4.26298889856748</v>
      </c>
      <c r="M1808" s="28">
        <v>0</v>
      </c>
      <c r="N1808" s="28">
        <v>0</v>
      </c>
    </row>
    <row r="1809" spans="7:14">
      <c r="G1809" s="24">
        <v>1808</v>
      </c>
      <c r="H1809" s="25">
        <f>S0_</f>
        <v>100</v>
      </c>
      <c r="I1809" s="25">
        <f ca="1">S0_*EXP((mu_-sigma_^2/2)*Dt_+sigma_*SQRT(Dt_)*_xlfn.NORM.INV(RAND(),0,1))</f>
        <v>102.255738900903</v>
      </c>
      <c r="J1809" s="25">
        <f ca="1">MAX(k_-I1809,0)*EXP(-rs_*T_)</f>
        <v>0</v>
      </c>
      <c r="K1809" s="25">
        <v>2.19016655078319</v>
      </c>
      <c r="L1809" s="25">
        <v>1.62016655078319</v>
      </c>
      <c r="M1809" s="28">
        <v>0</v>
      </c>
      <c r="N1809" s="28">
        <v>0</v>
      </c>
    </row>
    <row r="1810" spans="7:14">
      <c r="G1810" s="24">
        <v>1809</v>
      </c>
      <c r="H1810" s="25">
        <f>S0_</f>
        <v>100</v>
      </c>
      <c r="I1810" s="25">
        <f ca="1">S0_*EXP((mu_-sigma_^2/2)*Dt_+sigma_*SQRT(Dt_)*_xlfn.NORM.INV(RAND(),0,1))</f>
        <v>99.3114141434462</v>
      </c>
      <c r="J1810" s="25">
        <f ca="1">MAX(k_-I1810,0)*EXP(-rs_*T_)</f>
        <v>0</v>
      </c>
      <c r="K1810" s="25">
        <v>-0.668569270035053</v>
      </c>
      <c r="L1810" s="25">
        <v>-1.23856927003505</v>
      </c>
      <c r="M1810" s="28">
        <v>1</v>
      </c>
      <c r="N1810" s="28">
        <v>1</v>
      </c>
    </row>
    <row r="1811" spans="7:14">
      <c r="G1811" s="24">
        <v>1810</v>
      </c>
      <c r="H1811" s="25">
        <f>S0_</f>
        <v>100</v>
      </c>
      <c r="I1811" s="25">
        <f ca="1">S0_*EXP((mu_-sigma_^2/2)*Dt_+sigma_*SQRT(Dt_)*_xlfn.NORM.INV(RAND(),0,1))</f>
        <v>88.7526219841895</v>
      </c>
      <c r="J1811" s="25">
        <f ca="1">MAX(k_-I1811,0)*EXP(-rs_*T_)</f>
        <v>8.00763397512962</v>
      </c>
      <c r="K1811" s="25">
        <v>-10.9204266080532</v>
      </c>
      <c r="L1811" s="25">
        <v>-3.48279263292358</v>
      </c>
      <c r="M1811" s="28">
        <v>1</v>
      </c>
      <c r="N1811" s="28">
        <v>1</v>
      </c>
    </row>
    <row r="1812" spans="7:14">
      <c r="G1812" s="24">
        <v>1811</v>
      </c>
      <c r="H1812" s="25">
        <f>S0_</f>
        <v>100</v>
      </c>
      <c r="I1812" s="25">
        <f ca="1">S0_*EXP((mu_-sigma_^2/2)*Dt_+sigma_*SQRT(Dt_)*_xlfn.NORM.INV(RAND(),0,1))</f>
        <v>100.273359609549</v>
      </c>
      <c r="J1812" s="25">
        <f ca="1">MAX(k_-I1812,0)*EXP(-rs_*T_)</f>
        <v>0</v>
      </c>
      <c r="K1812" s="25">
        <v>0.265413285611359</v>
      </c>
      <c r="L1812" s="25">
        <v>-0.304586714388641</v>
      </c>
      <c r="M1812" s="28">
        <v>0</v>
      </c>
      <c r="N1812" s="28">
        <v>1</v>
      </c>
    </row>
    <row r="1813" spans="7:14">
      <c r="G1813" s="24">
        <v>1812</v>
      </c>
      <c r="H1813" s="25">
        <f>S0_</f>
        <v>100</v>
      </c>
      <c r="I1813" s="25">
        <f ca="1">S0_*EXP((mu_-sigma_^2/2)*Dt_+sigma_*SQRT(Dt_)*_xlfn.NORM.INV(RAND(),0,1))</f>
        <v>116.350595421876</v>
      </c>
      <c r="J1813" s="25">
        <f ca="1">MAX(k_-I1813,0)*EXP(-rs_*T_)</f>
        <v>0</v>
      </c>
      <c r="K1813" s="25">
        <v>15.8752979629183</v>
      </c>
      <c r="L1813" s="25">
        <v>15.3052979629183</v>
      </c>
      <c r="M1813" s="28">
        <v>0</v>
      </c>
      <c r="N1813" s="28">
        <v>0</v>
      </c>
    </row>
    <row r="1814" spans="7:14">
      <c r="G1814" s="24">
        <v>1813</v>
      </c>
      <c r="H1814" s="25">
        <f>S0_</f>
        <v>100</v>
      </c>
      <c r="I1814" s="25">
        <f ca="1">S0_*EXP((mu_-sigma_^2/2)*Dt_+sigma_*SQRT(Dt_)*_xlfn.NORM.INV(RAND(),0,1))</f>
        <v>110.85398812102</v>
      </c>
      <c r="J1814" s="25">
        <f ca="1">MAX(k_-I1814,0)*EXP(-rs_*T_)</f>
        <v>0</v>
      </c>
      <c r="K1814" s="25">
        <v>10.5384722122486</v>
      </c>
      <c r="L1814" s="25">
        <v>9.96847221224863</v>
      </c>
      <c r="M1814" s="28">
        <v>0</v>
      </c>
      <c r="N1814" s="28">
        <v>0</v>
      </c>
    </row>
    <row r="1815" spans="7:14">
      <c r="G1815" s="24">
        <v>1814</v>
      </c>
      <c r="H1815" s="25">
        <f>S0_</f>
        <v>100</v>
      </c>
      <c r="I1815" s="25">
        <f ca="1">S0_*EXP((mu_-sigma_^2/2)*Dt_+sigma_*SQRT(Dt_)*_xlfn.NORM.INV(RAND(),0,1))</f>
        <v>108.292803419153</v>
      </c>
      <c r="J1815" s="25">
        <f ca="1">MAX(k_-I1815,0)*EXP(-rs_*T_)</f>
        <v>0</v>
      </c>
      <c r="K1815" s="25">
        <v>8.0517389018643</v>
      </c>
      <c r="L1815" s="25">
        <v>7.4817389018643</v>
      </c>
      <c r="M1815" s="28">
        <v>0</v>
      </c>
      <c r="N1815" s="28">
        <v>0</v>
      </c>
    </row>
    <row r="1816" spans="7:14">
      <c r="G1816" s="24">
        <v>1815</v>
      </c>
      <c r="H1816" s="25">
        <f>S0_</f>
        <v>100</v>
      </c>
      <c r="I1816" s="25">
        <f ca="1">S0_*EXP((mu_-sigma_^2/2)*Dt_+sigma_*SQRT(Dt_)*_xlfn.NORM.INV(RAND(),0,1))</f>
        <v>111.851150845471</v>
      </c>
      <c r="J1816" s="25">
        <f ca="1">MAX(k_-I1816,0)*EXP(-rs_*T_)</f>
        <v>0</v>
      </c>
      <c r="K1816" s="25">
        <v>11.5066482914516</v>
      </c>
      <c r="L1816" s="25">
        <v>10.9366482914516</v>
      </c>
      <c r="M1816" s="28">
        <v>0</v>
      </c>
      <c r="N1816" s="28">
        <v>0</v>
      </c>
    </row>
    <row r="1817" spans="7:14">
      <c r="G1817" s="24">
        <v>1816</v>
      </c>
      <c r="H1817" s="25">
        <f>S0_</f>
        <v>100</v>
      </c>
      <c r="I1817" s="25">
        <f ca="1">S0_*EXP((mu_-sigma_^2/2)*Dt_+sigma_*SQRT(Dt_)*_xlfn.NORM.INV(RAND(),0,1))</f>
        <v>115.706649347886</v>
      </c>
      <c r="J1817" s="25">
        <f ca="1">MAX(k_-I1817,0)*EXP(-rs_*T_)</f>
        <v>0</v>
      </c>
      <c r="K1817" s="25">
        <v>15.2500708361453</v>
      </c>
      <c r="L1817" s="25">
        <v>14.6800708361453</v>
      </c>
      <c r="M1817" s="28">
        <v>0</v>
      </c>
      <c r="N1817" s="28">
        <v>0</v>
      </c>
    </row>
    <row r="1818" spans="7:14">
      <c r="G1818" s="24">
        <v>1817</v>
      </c>
      <c r="H1818" s="25">
        <f>S0_</f>
        <v>100</v>
      </c>
      <c r="I1818" s="25">
        <f ca="1">S0_*EXP((mu_-sigma_^2/2)*Dt_+sigma_*SQRT(Dt_)*_xlfn.NORM.INV(RAND(),0,1))</f>
        <v>103.732405313796</v>
      </c>
      <c r="J1818" s="25">
        <f ca="1">MAX(k_-I1818,0)*EXP(-rs_*T_)</f>
        <v>0</v>
      </c>
      <c r="K1818" s="25">
        <v>3.62390756703707</v>
      </c>
      <c r="L1818" s="25">
        <v>3.05390756703707</v>
      </c>
      <c r="M1818" s="28">
        <v>0</v>
      </c>
      <c r="N1818" s="28">
        <v>0</v>
      </c>
    </row>
    <row r="1819" spans="7:14">
      <c r="G1819" s="24">
        <v>1818</v>
      </c>
      <c r="H1819" s="25">
        <f>S0_</f>
        <v>100</v>
      </c>
      <c r="I1819" s="25">
        <f ca="1">S0_*EXP((mu_-sigma_^2/2)*Dt_+sigma_*SQRT(Dt_)*_xlfn.NORM.INV(RAND(),0,1))</f>
        <v>97.2418357126848</v>
      </c>
      <c r="J1819" s="25">
        <f ca="1">MAX(k_-I1819,0)*EXP(-rs_*T_)</f>
        <v>0</v>
      </c>
      <c r="K1819" s="25">
        <v>-2.67798687216152</v>
      </c>
      <c r="L1819" s="25">
        <v>-3.24798687216151</v>
      </c>
      <c r="M1819" s="28">
        <v>1</v>
      </c>
      <c r="N1819" s="28">
        <v>1</v>
      </c>
    </row>
    <row r="1820" spans="7:14">
      <c r="G1820" s="24">
        <v>1819</v>
      </c>
      <c r="H1820" s="25">
        <f>S0_</f>
        <v>100</v>
      </c>
      <c r="I1820" s="25">
        <f ca="1">S0_*EXP((mu_-sigma_^2/2)*Dt_+sigma_*SQRT(Dt_)*_xlfn.NORM.INV(RAND(),0,1))</f>
        <v>108.943519872275</v>
      </c>
      <c r="J1820" s="25">
        <f ca="1">MAX(k_-I1820,0)*EXP(-rs_*T_)</f>
        <v>0</v>
      </c>
      <c r="K1820" s="25">
        <v>8.6835395987896</v>
      </c>
      <c r="L1820" s="25">
        <v>8.1135395987896</v>
      </c>
      <c r="M1820" s="28">
        <v>0</v>
      </c>
      <c r="N1820" s="28">
        <v>0</v>
      </c>
    </row>
    <row r="1821" spans="7:14">
      <c r="G1821" s="24">
        <v>1820</v>
      </c>
      <c r="H1821" s="25">
        <f>S0_</f>
        <v>100</v>
      </c>
      <c r="I1821" s="25">
        <f ca="1">S0_*EXP((mu_-sigma_^2/2)*Dt_+sigma_*SQRT(Dt_)*_xlfn.NORM.INV(RAND(),0,1))</f>
        <v>95.7598527659642</v>
      </c>
      <c r="J1821" s="25">
        <f ca="1">MAX(k_-I1821,0)*EXP(-rs_*T_)</f>
        <v>1.20409724234668</v>
      </c>
      <c r="K1821" s="25">
        <v>-4.11688987527026</v>
      </c>
      <c r="L1821" s="25">
        <v>-3.48279263292358</v>
      </c>
      <c r="M1821" s="28">
        <v>1</v>
      </c>
      <c r="N1821" s="28">
        <v>1</v>
      </c>
    </row>
    <row r="1822" spans="7:14">
      <c r="G1822" s="24">
        <v>1821</v>
      </c>
      <c r="H1822" s="25">
        <f>S0_</f>
        <v>100</v>
      </c>
      <c r="I1822" s="25">
        <f ca="1">S0_*EXP((mu_-sigma_^2/2)*Dt_+sigma_*SQRT(Dt_)*_xlfn.NORM.INV(RAND(),0,1))</f>
        <v>101.489124338761</v>
      </c>
      <c r="J1822" s="25">
        <f ca="1">MAX(k_-I1822,0)*EXP(-rs_*T_)</f>
        <v>0</v>
      </c>
      <c r="K1822" s="25">
        <v>1.44583680115037</v>
      </c>
      <c r="L1822" s="25">
        <v>0.875836801150372</v>
      </c>
      <c r="M1822" s="28">
        <v>0</v>
      </c>
      <c r="N1822" s="28">
        <v>0</v>
      </c>
    </row>
    <row r="1823" spans="7:14">
      <c r="G1823" s="24">
        <v>1822</v>
      </c>
      <c r="H1823" s="25">
        <f>S0_</f>
        <v>100</v>
      </c>
      <c r="I1823" s="25">
        <f ca="1">S0_*EXP((mu_-sigma_^2/2)*Dt_+sigma_*SQRT(Dt_)*_xlfn.NORM.INV(RAND(),0,1))</f>
        <v>89.5807056953609</v>
      </c>
      <c r="J1823" s="25">
        <f ca="1">MAX(k_-I1823,0)*EXP(-rs_*T_)</f>
        <v>7.20362193068152</v>
      </c>
      <c r="K1823" s="25">
        <v>-10.1164145636051</v>
      </c>
      <c r="L1823" s="25">
        <v>-3.48279263292358</v>
      </c>
      <c r="M1823" s="28">
        <v>1</v>
      </c>
      <c r="N1823" s="28">
        <v>1</v>
      </c>
    </row>
    <row r="1824" spans="7:14">
      <c r="G1824" s="24">
        <v>1823</v>
      </c>
      <c r="H1824" s="25">
        <f>S0_</f>
        <v>100</v>
      </c>
      <c r="I1824" s="25">
        <f ca="1">S0_*EXP((mu_-sigma_^2/2)*Dt_+sigma_*SQRT(Dt_)*_xlfn.NORM.INV(RAND(),0,1))</f>
        <v>105.943194428999</v>
      </c>
      <c r="J1824" s="25">
        <f ca="1">MAX(k_-I1824,0)*EXP(-rs_*T_)</f>
        <v>0</v>
      </c>
      <c r="K1824" s="25">
        <v>5.7704309829399</v>
      </c>
      <c r="L1824" s="25">
        <v>5.2004309829399</v>
      </c>
      <c r="M1824" s="28">
        <v>0</v>
      </c>
      <c r="N1824" s="28">
        <v>0</v>
      </c>
    </row>
    <row r="1825" spans="7:14">
      <c r="G1825" s="24">
        <v>1824</v>
      </c>
      <c r="H1825" s="25">
        <f>S0_</f>
        <v>100</v>
      </c>
      <c r="I1825" s="25">
        <f ca="1">S0_*EXP((mu_-sigma_^2/2)*Dt_+sigma_*SQRT(Dt_)*_xlfn.NORM.INV(RAND(),0,1))</f>
        <v>108.037444740102</v>
      </c>
      <c r="J1825" s="25">
        <f ca="1">MAX(k_-I1825,0)*EXP(-rs_*T_)</f>
        <v>0</v>
      </c>
      <c r="K1825" s="25">
        <v>7.80380327549959</v>
      </c>
      <c r="L1825" s="25">
        <v>7.23380327549959</v>
      </c>
      <c r="M1825" s="28">
        <v>0</v>
      </c>
      <c r="N1825" s="28">
        <v>0</v>
      </c>
    </row>
    <row r="1826" spans="7:14">
      <c r="G1826" s="24">
        <v>1825</v>
      </c>
      <c r="H1826" s="25">
        <f>S0_</f>
        <v>100</v>
      </c>
      <c r="I1826" s="25">
        <f ca="1">S0_*EXP((mu_-sigma_^2/2)*Dt_+sigma_*SQRT(Dt_)*_xlfn.NORM.INV(RAND(),0,1))</f>
        <v>93.0539167350292</v>
      </c>
      <c r="J1826" s="25">
        <f ca="1">MAX(k_-I1826,0)*EXP(-rs_*T_)</f>
        <v>3.83137408770335</v>
      </c>
      <c r="K1826" s="25">
        <v>-6.74416672062693</v>
      </c>
      <c r="L1826" s="25">
        <v>-3.48279263292358</v>
      </c>
      <c r="M1826" s="28">
        <v>1</v>
      </c>
      <c r="N1826" s="28">
        <v>1</v>
      </c>
    </row>
    <row r="1827" spans="7:14">
      <c r="G1827" s="24">
        <v>1826</v>
      </c>
      <c r="H1827" s="25">
        <f>S0_</f>
        <v>100</v>
      </c>
      <c r="I1827" s="25">
        <f ca="1">S0_*EXP((mu_-sigma_^2/2)*Dt_+sigma_*SQRT(Dt_)*_xlfn.NORM.INV(RAND(),0,1))</f>
        <v>104.834654096238</v>
      </c>
      <c r="J1827" s="25">
        <f ca="1">MAX(k_-I1827,0)*EXP(-rs_*T_)</f>
        <v>0</v>
      </c>
      <c r="K1827" s="25">
        <v>4.69411494475234</v>
      </c>
      <c r="L1827" s="25">
        <v>4.12411494475234</v>
      </c>
      <c r="M1827" s="28">
        <v>0</v>
      </c>
      <c r="N1827" s="28">
        <v>0</v>
      </c>
    </row>
    <row r="1828" spans="7:14">
      <c r="G1828" s="24">
        <v>1827</v>
      </c>
      <c r="H1828" s="25">
        <f>S0_</f>
        <v>100</v>
      </c>
      <c r="I1828" s="25">
        <f ca="1">S0_*EXP((mu_-sigma_^2/2)*Dt_+sigma_*SQRT(Dt_)*_xlfn.NORM.INV(RAND(),0,1))</f>
        <v>111.850892874156</v>
      </c>
      <c r="J1828" s="25">
        <f ca="1">MAX(k_-I1828,0)*EXP(-rs_*T_)</f>
        <v>0</v>
      </c>
      <c r="K1828" s="25">
        <v>11.5063978191363</v>
      </c>
      <c r="L1828" s="25">
        <v>10.9363978191363</v>
      </c>
      <c r="M1828" s="28">
        <v>0</v>
      </c>
      <c r="N1828" s="28">
        <v>0</v>
      </c>
    </row>
    <row r="1829" spans="7:14">
      <c r="G1829" s="24">
        <v>1828</v>
      </c>
      <c r="H1829" s="25">
        <f>S0_</f>
        <v>100</v>
      </c>
      <c r="I1829" s="25">
        <f ca="1">S0_*EXP((mu_-sigma_^2/2)*Dt_+sigma_*SQRT(Dt_)*_xlfn.NORM.INV(RAND(),0,1))</f>
        <v>99.4963624886511</v>
      </c>
      <c r="J1829" s="25">
        <f ca="1">MAX(k_-I1829,0)*EXP(-rs_*T_)</f>
        <v>0</v>
      </c>
      <c r="K1829" s="25">
        <v>-0.488997210906986</v>
      </c>
      <c r="L1829" s="25">
        <v>-1.05899721090699</v>
      </c>
      <c r="M1829" s="28">
        <v>1</v>
      </c>
      <c r="N1829" s="28">
        <v>1</v>
      </c>
    </row>
    <row r="1830" spans="7:14">
      <c r="G1830" s="24">
        <v>1829</v>
      </c>
      <c r="H1830" s="25">
        <f>S0_</f>
        <v>100</v>
      </c>
      <c r="I1830" s="25">
        <f ca="1">S0_*EXP((mu_-sigma_^2/2)*Dt_+sigma_*SQRT(Dt_)*_xlfn.NORM.INV(RAND(),0,1))</f>
        <v>106.730382928892</v>
      </c>
      <c r="J1830" s="25">
        <f ca="1">MAX(k_-I1830,0)*EXP(-rs_*T_)</f>
        <v>0</v>
      </c>
      <c r="K1830" s="25">
        <v>6.53473660401059</v>
      </c>
      <c r="L1830" s="25">
        <v>5.96473660401058</v>
      </c>
      <c r="M1830" s="28">
        <v>0</v>
      </c>
      <c r="N1830" s="28">
        <v>0</v>
      </c>
    </row>
    <row r="1831" spans="7:14">
      <c r="G1831" s="24">
        <v>1830</v>
      </c>
      <c r="H1831" s="25">
        <f>S0_</f>
        <v>100</v>
      </c>
      <c r="I1831" s="25">
        <f ca="1">S0_*EXP((mu_-sigma_^2/2)*Dt_+sigma_*SQRT(Dt_)*_xlfn.NORM.INV(RAND(),0,1))</f>
        <v>105.102953436856</v>
      </c>
      <c r="J1831" s="25">
        <f ca="1">MAX(k_-I1831,0)*EXP(-rs_*T_)</f>
        <v>0</v>
      </c>
      <c r="K1831" s="25">
        <v>4.9546150590087</v>
      </c>
      <c r="L1831" s="25">
        <v>4.3846150590087</v>
      </c>
      <c r="M1831" s="28">
        <v>0</v>
      </c>
      <c r="N1831" s="28">
        <v>0</v>
      </c>
    </row>
    <row r="1832" spans="7:14">
      <c r="G1832" s="24">
        <v>1831</v>
      </c>
      <c r="H1832" s="25">
        <f>S0_</f>
        <v>100</v>
      </c>
      <c r="I1832" s="25">
        <f ca="1">S0_*EXP((mu_-sigma_^2/2)*Dt_+sigma_*SQRT(Dt_)*_xlfn.NORM.INV(RAND(),0,1))</f>
        <v>100.26784614105</v>
      </c>
      <c r="J1832" s="25">
        <f ca="1">MAX(k_-I1832,0)*EXP(-rs_*T_)</f>
        <v>0</v>
      </c>
      <c r="K1832" s="25">
        <v>0.260060088802498</v>
      </c>
      <c r="L1832" s="25">
        <v>-0.309939911197502</v>
      </c>
      <c r="M1832" s="28">
        <v>0</v>
      </c>
      <c r="N1832" s="28">
        <v>1</v>
      </c>
    </row>
    <row r="1833" spans="7:14">
      <c r="G1833" s="24">
        <v>1832</v>
      </c>
      <c r="H1833" s="25">
        <f>S0_</f>
        <v>100</v>
      </c>
      <c r="I1833" s="25">
        <f ca="1">S0_*EXP((mu_-sigma_^2/2)*Dt_+sigma_*SQRT(Dt_)*_xlfn.NORM.INV(RAND(),0,1))</f>
        <v>102.200621730886</v>
      </c>
      <c r="J1833" s="25">
        <f ca="1">MAX(k_-I1833,0)*EXP(-rs_*T_)</f>
        <v>0</v>
      </c>
      <c r="K1833" s="25">
        <v>2.136651588525</v>
      </c>
      <c r="L1833" s="25">
        <v>1.566651588525</v>
      </c>
      <c r="M1833" s="28">
        <v>0</v>
      </c>
      <c r="N1833" s="28">
        <v>0</v>
      </c>
    </row>
    <row r="1834" spans="7:14">
      <c r="G1834" s="24">
        <v>1833</v>
      </c>
      <c r="H1834" s="25">
        <f>S0_</f>
        <v>100</v>
      </c>
      <c r="I1834" s="25">
        <f ca="1">S0_*EXP((mu_-sigma_^2/2)*Dt_+sigma_*SQRT(Dt_)*_xlfn.NORM.INV(RAND(),0,1))</f>
        <v>110.202862661608</v>
      </c>
      <c r="J1834" s="25">
        <f ca="1">MAX(k_-I1834,0)*EXP(-rs_*T_)</f>
        <v>0</v>
      </c>
      <c r="K1834" s="25">
        <v>9.90627439848754</v>
      </c>
      <c r="L1834" s="25">
        <v>9.33627439848754</v>
      </c>
      <c r="M1834" s="28">
        <v>0</v>
      </c>
      <c r="N1834" s="28">
        <v>0</v>
      </c>
    </row>
    <row r="1835" spans="7:14">
      <c r="G1835" s="24">
        <v>1834</v>
      </c>
      <c r="H1835" s="25">
        <f>S0_</f>
        <v>100</v>
      </c>
      <c r="I1835" s="25">
        <f ca="1">S0_*EXP((mu_-sigma_^2/2)*Dt_+sigma_*SQRT(Dt_)*_xlfn.NORM.INV(RAND(),0,1))</f>
        <v>98.8655740165446</v>
      </c>
      <c r="J1835" s="25">
        <f ca="1">MAX(k_-I1835,0)*EXP(-rs_*T_)</f>
        <v>0</v>
      </c>
      <c r="K1835" s="25">
        <v>-1.1014492157353</v>
      </c>
      <c r="L1835" s="25">
        <v>-1.6714492157353</v>
      </c>
      <c r="M1835" s="28">
        <v>1</v>
      </c>
      <c r="N1835" s="28">
        <v>1</v>
      </c>
    </row>
    <row r="1836" spans="7:14">
      <c r="G1836" s="24">
        <v>1835</v>
      </c>
      <c r="H1836" s="25">
        <f>S0_</f>
        <v>100</v>
      </c>
      <c r="I1836" s="25">
        <f ca="1">S0_*EXP((mu_-sigma_^2/2)*Dt_+sigma_*SQRT(Dt_)*_xlfn.NORM.INV(RAND(),0,1))</f>
        <v>99.9838030741631</v>
      </c>
      <c r="J1836" s="25">
        <f ca="1">MAX(k_-I1836,0)*EXP(-rs_*T_)</f>
        <v>0</v>
      </c>
      <c r="K1836" s="25">
        <v>-0.015726095417905</v>
      </c>
      <c r="L1836" s="25">
        <v>-0.585726095417905</v>
      </c>
      <c r="M1836" s="28">
        <v>1</v>
      </c>
      <c r="N1836" s="28">
        <v>1</v>
      </c>
    </row>
    <row r="1837" spans="7:14">
      <c r="G1837" s="24">
        <v>1836</v>
      </c>
      <c r="H1837" s="25">
        <f>S0_</f>
        <v>100</v>
      </c>
      <c r="I1837" s="25">
        <f ca="1">S0_*EXP((mu_-sigma_^2/2)*Dt_+sigma_*SQRT(Dt_)*_xlfn.NORM.INV(RAND(),0,1))</f>
        <v>118.171984546447</v>
      </c>
      <c r="J1837" s="25">
        <f ca="1">MAX(k_-I1837,0)*EXP(-rs_*T_)</f>
        <v>0</v>
      </c>
      <c r="K1837" s="25">
        <v>17.643740904164</v>
      </c>
      <c r="L1837" s="25">
        <v>17.073740904164</v>
      </c>
      <c r="M1837" s="28">
        <v>0</v>
      </c>
      <c r="N1837" s="28">
        <v>0</v>
      </c>
    </row>
    <row r="1838" spans="7:14">
      <c r="G1838" s="24">
        <v>1837</v>
      </c>
      <c r="H1838" s="25">
        <f>S0_</f>
        <v>100</v>
      </c>
      <c r="I1838" s="25">
        <f ca="1">S0_*EXP((mu_-sigma_^2/2)*Dt_+sigma_*SQRT(Dt_)*_xlfn.NORM.INV(RAND(),0,1))</f>
        <v>89.5495696289863</v>
      </c>
      <c r="J1838" s="25">
        <f ca="1">MAX(k_-I1838,0)*EXP(-rs_*T_)</f>
        <v>7.23385289893291</v>
      </c>
      <c r="K1838" s="25">
        <v>-10.1466455318565</v>
      </c>
      <c r="L1838" s="25">
        <v>-3.48279263292358</v>
      </c>
      <c r="M1838" s="28">
        <v>1</v>
      </c>
      <c r="N1838" s="28">
        <v>1</v>
      </c>
    </row>
    <row r="1839" spans="7:14">
      <c r="G1839" s="24">
        <v>1838</v>
      </c>
      <c r="H1839" s="25">
        <f>S0_</f>
        <v>100</v>
      </c>
      <c r="I1839" s="25">
        <f ca="1">S0_*EXP((mu_-sigma_^2/2)*Dt_+sigma_*SQRT(Dt_)*_xlfn.NORM.INV(RAND(),0,1))</f>
        <v>101.521476527477</v>
      </c>
      <c r="J1839" s="25">
        <f ca="1">MAX(k_-I1839,0)*EXP(-rs_*T_)</f>
        <v>0</v>
      </c>
      <c r="K1839" s="25">
        <v>1.47724854013411</v>
      </c>
      <c r="L1839" s="25">
        <v>0.907248540134112</v>
      </c>
      <c r="M1839" s="28">
        <v>0</v>
      </c>
      <c r="N1839" s="28">
        <v>0</v>
      </c>
    </row>
    <row r="1840" spans="7:14">
      <c r="G1840" s="24">
        <v>1839</v>
      </c>
      <c r="H1840" s="25">
        <f>S0_</f>
        <v>100</v>
      </c>
      <c r="I1840" s="25">
        <f ca="1">S0_*EXP((mu_-sigma_^2/2)*Dt_+sigma_*SQRT(Dt_)*_xlfn.NORM.INV(RAND(),0,1))</f>
        <v>108.712370115148</v>
      </c>
      <c r="J1840" s="25">
        <f ca="1">MAX(k_-I1840,0)*EXP(-rs_*T_)</f>
        <v>0</v>
      </c>
      <c r="K1840" s="25">
        <v>8.45910916223526</v>
      </c>
      <c r="L1840" s="25">
        <v>7.88910916223526</v>
      </c>
      <c r="M1840" s="28">
        <v>0</v>
      </c>
      <c r="N1840" s="28">
        <v>0</v>
      </c>
    </row>
    <row r="1841" spans="7:14">
      <c r="G1841" s="24">
        <v>1840</v>
      </c>
      <c r="H1841" s="25">
        <f>S0_</f>
        <v>100</v>
      </c>
      <c r="I1841" s="25">
        <f ca="1">S0_*EXP((mu_-sigma_^2/2)*Dt_+sigma_*SQRT(Dt_)*_xlfn.NORM.INV(RAND(),0,1))</f>
        <v>124.185404610932</v>
      </c>
      <c r="J1841" s="25">
        <f ca="1">MAX(k_-I1841,0)*EXP(-rs_*T_)</f>
        <v>0</v>
      </c>
      <c r="K1841" s="25">
        <v>23.4823561249993</v>
      </c>
      <c r="L1841" s="25">
        <v>22.9123561249993</v>
      </c>
      <c r="M1841" s="28">
        <v>0</v>
      </c>
      <c r="N1841" s="28">
        <v>0</v>
      </c>
    </row>
    <row r="1842" spans="7:14">
      <c r="G1842" s="24">
        <v>1841</v>
      </c>
      <c r="H1842" s="25">
        <f>S0_</f>
        <v>100</v>
      </c>
      <c r="I1842" s="25">
        <f ca="1">S0_*EXP((mu_-sigma_^2/2)*Dt_+sigma_*SQRT(Dt_)*_xlfn.NORM.INV(RAND(),0,1))</f>
        <v>108.569029195158</v>
      </c>
      <c r="J1842" s="25">
        <f ca="1">MAX(k_-I1842,0)*EXP(-rs_*T_)</f>
        <v>0</v>
      </c>
      <c r="K1842" s="25">
        <v>8.31993503698748</v>
      </c>
      <c r="L1842" s="25">
        <v>7.74993503698748</v>
      </c>
      <c r="M1842" s="28">
        <v>0</v>
      </c>
      <c r="N1842" s="28">
        <v>0</v>
      </c>
    </row>
    <row r="1843" spans="7:14">
      <c r="G1843" s="24">
        <v>1842</v>
      </c>
      <c r="H1843" s="25">
        <f>S0_</f>
        <v>100</v>
      </c>
      <c r="I1843" s="25">
        <f ca="1">S0_*EXP((mu_-sigma_^2/2)*Dt_+sigma_*SQRT(Dt_)*_xlfn.NORM.INV(RAND(),0,1))</f>
        <v>100.191897494578</v>
      </c>
      <c r="J1843" s="25">
        <f ca="1">MAX(k_-I1843,0)*EXP(-rs_*T_)</f>
        <v>0</v>
      </c>
      <c r="K1843" s="25">
        <v>0.186319202827847</v>
      </c>
      <c r="L1843" s="25">
        <v>-0.383680797172153</v>
      </c>
      <c r="M1843" s="28">
        <v>0</v>
      </c>
      <c r="N1843" s="28">
        <v>1</v>
      </c>
    </row>
    <row r="1844" spans="7:14">
      <c r="G1844" s="24">
        <v>1843</v>
      </c>
      <c r="H1844" s="25">
        <f>S0_</f>
        <v>100</v>
      </c>
      <c r="I1844" s="25">
        <f ca="1">S0_*EXP((mu_-sigma_^2/2)*Dt_+sigma_*SQRT(Dt_)*_xlfn.NORM.INV(RAND(),0,1))</f>
        <v>114.738223009168</v>
      </c>
      <c r="J1844" s="25">
        <f ca="1">MAX(k_-I1844,0)*EXP(-rs_*T_)</f>
        <v>0</v>
      </c>
      <c r="K1844" s="25">
        <v>14.3097958011633</v>
      </c>
      <c r="L1844" s="25">
        <v>13.7397958011633</v>
      </c>
      <c r="M1844" s="28">
        <v>0</v>
      </c>
      <c r="N1844" s="28">
        <v>0</v>
      </c>
    </row>
    <row r="1845" spans="7:14">
      <c r="G1845" s="24">
        <v>1844</v>
      </c>
      <c r="H1845" s="25">
        <f>S0_</f>
        <v>100</v>
      </c>
      <c r="I1845" s="25">
        <f ca="1">S0_*EXP((mu_-sigma_^2/2)*Dt_+sigma_*SQRT(Dt_)*_xlfn.NORM.INV(RAND(),0,1))</f>
        <v>92.212358777453</v>
      </c>
      <c r="J1845" s="25">
        <f ca="1">MAX(k_-I1845,0)*EXP(-rs_*T_)</f>
        <v>4.64846869403873</v>
      </c>
      <c r="K1845" s="25">
        <v>-7.56126132696231</v>
      </c>
      <c r="L1845" s="25">
        <v>-3.48279263292358</v>
      </c>
      <c r="M1845" s="28">
        <v>1</v>
      </c>
      <c r="N1845" s="28">
        <v>1</v>
      </c>
    </row>
    <row r="1846" spans="7:14">
      <c r="G1846" s="24">
        <v>1845</v>
      </c>
      <c r="H1846" s="25">
        <f>S0_</f>
        <v>100</v>
      </c>
      <c r="I1846" s="25">
        <f ca="1">S0_*EXP((mu_-sigma_^2/2)*Dt_+sigma_*SQRT(Dt_)*_xlfn.NORM.INV(RAND(),0,1))</f>
        <v>105.242572471194</v>
      </c>
      <c r="J1846" s="25">
        <f ca="1">MAX(k_-I1846,0)*EXP(-rs_*T_)</f>
        <v>0</v>
      </c>
      <c r="K1846" s="25">
        <v>5.0901754905535</v>
      </c>
      <c r="L1846" s="25">
        <v>4.52017549055349</v>
      </c>
      <c r="M1846" s="28">
        <v>0</v>
      </c>
      <c r="N1846" s="28">
        <v>0</v>
      </c>
    </row>
    <row r="1847" spans="7:14">
      <c r="G1847" s="24">
        <v>1846</v>
      </c>
      <c r="H1847" s="25">
        <f>S0_</f>
        <v>100</v>
      </c>
      <c r="I1847" s="25">
        <f ca="1">S0_*EXP((mu_-sigma_^2/2)*Dt_+sigma_*SQRT(Dt_)*_xlfn.NORM.INV(RAND(),0,1))</f>
        <v>100.61157417583</v>
      </c>
      <c r="J1847" s="25">
        <f ca="1">MAX(k_-I1847,0)*EXP(-rs_*T_)</f>
        <v>0</v>
      </c>
      <c r="K1847" s="25">
        <v>0.593796251281464</v>
      </c>
      <c r="L1847" s="25">
        <v>0.0237962512814641</v>
      </c>
      <c r="M1847" s="28">
        <v>0</v>
      </c>
      <c r="N1847" s="28">
        <v>0</v>
      </c>
    </row>
    <row r="1848" spans="7:14">
      <c r="G1848" s="24">
        <v>1847</v>
      </c>
      <c r="H1848" s="25">
        <f>S0_</f>
        <v>100</v>
      </c>
      <c r="I1848" s="25">
        <f ca="1">S0_*EXP((mu_-sigma_^2/2)*Dt_+sigma_*SQRT(Dt_)*_xlfn.NORM.INV(RAND(),0,1))</f>
        <v>97.8906496866116</v>
      </c>
      <c r="J1848" s="25">
        <f ca="1">MAX(k_-I1848,0)*EXP(-rs_*T_)</f>
        <v>0</v>
      </c>
      <c r="K1848" s="25">
        <v>-2.04803335103093</v>
      </c>
      <c r="L1848" s="25">
        <v>-2.61803335103093</v>
      </c>
      <c r="M1848" s="28">
        <v>1</v>
      </c>
      <c r="N1848" s="28">
        <v>1</v>
      </c>
    </row>
    <row r="1849" spans="7:14">
      <c r="G1849" s="24">
        <v>1848</v>
      </c>
      <c r="H1849" s="25">
        <f>S0_</f>
        <v>100</v>
      </c>
      <c r="I1849" s="25">
        <f ca="1">S0_*EXP((mu_-sigma_^2/2)*Dt_+sigma_*SQRT(Dt_)*_xlfn.NORM.INV(RAND(),0,1))</f>
        <v>96.7160269683188</v>
      </c>
      <c r="J1849" s="25">
        <f ca="1">MAX(k_-I1849,0)*EXP(-rs_*T_)</f>
        <v>0.275718184876616</v>
      </c>
      <c r="K1849" s="25">
        <v>-3.1885108178002</v>
      </c>
      <c r="L1849" s="25">
        <v>-3.48279263292358</v>
      </c>
      <c r="M1849" s="28">
        <v>1</v>
      </c>
      <c r="N1849" s="28">
        <v>1</v>
      </c>
    </row>
    <row r="1850" spans="7:14">
      <c r="G1850" s="24">
        <v>1849</v>
      </c>
      <c r="H1850" s="25">
        <f>S0_</f>
        <v>100</v>
      </c>
      <c r="I1850" s="25">
        <f ca="1">S0_*EXP((mu_-sigma_^2/2)*Dt_+sigma_*SQRT(Dt_)*_xlfn.NORM.INV(RAND(),0,1))</f>
        <v>107.229582149077</v>
      </c>
      <c r="J1850" s="25">
        <f ca="1">MAX(k_-I1850,0)*EXP(-rs_*T_)</f>
        <v>0</v>
      </c>
      <c r="K1850" s="25">
        <v>7.01942454098249</v>
      </c>
      <c r="L1850" s="25">
        <v>6.44942454098249</v>
      </c>
      <c r="M1850" s="28">
        <v>0</v>
      </c>
      <c r="N1850" s="28">
        <v>0</v>
      </c>
    </row>
    <row r="1851" spans="7:14">
      <c r="G1851" s="24">
        <v>1850</v>
      </c>
      <c r="H1851" s="25">
        <f>S0_</f>
        <v>100</v>
      </c>
      <c r="I1851" s="25">
        <f ca="1">S0_*EXP((mu_-sigma_^2/2)*Dt_+sigma_*SQRT(Dt_)*_xlfn.NORM.INV(RAND(),0,1))</f>
        <v>110.558282342752</v>
      </c>
      <c r="J1851" s="25">
        <f ca="1">MAX(k_-I1851,0)*EXP(-rs_*T_)</f>
        <v>0</v>
      </c>
      <c r="K1851" s="25">
        <v>10.2513623414314</v>
      </c>
      <c r="L1851" s="25">
        <v>9.68136234143143</v>
      </c>
      <c r="M1851" s="28">
        <v>0</v>
      </c>
      <c r="N1851" s="28">
        <v>0</v>
      </c>
    </row>
    <row r="1852" spans="7:14">
      <c r="G1852" s="24">
        <v>1851</v>
      </c>
      <c r="H1852" s="25">
        <f>S0_</f>
        <v>100</v>
      </c>
      <c r="I1852" s="25">
        <f ca="1">S0_*EXP((mu_-sigma_^2/2)*Dt_+sigma_*SQRT(Dt_)*_xlfn.NORM.INV(RAND(),0,1))</f>
        <v>110.468130109745</v>
      </c>
      <c r="J1852" s="25">
        <f ca="1">MAX(k_-I1852,0)*EXP(-rs_*T_)</f>
        <v>0</v>
      </c>
      <c r="K1852" s="25">
        <v>10.163830754717</v>
      </c>
      <c r="L1852" s="25">
        <v>9.59383075471696</v>
      </c>
      <c r="M1852" s="28">
        <v>0</v>
      </c>
      <c r="N1852" s="28">
        <v>0</v>
      </c>
    </row>
    <row r="1853" spans="7:14">
      <c r="G1853" s="24">
        <v>1852</v>
      </c>
      <c r="H1853" s="25">
        <f>S0_</f>
        <v>100</v>
      </c>
      <c r="I1853" s="25">
        <f ca="1">S0_*EXP((mu_-sigma_^2/2)*Dt_+sigma_*SQRT(Dt_)*_xlfn.NORM.INV(RAND(),0,1))</f>
        <v>96.9118161571004</v>
      </c>
      <c r="J1853" s="25">
        <f ca="1">MAX(k_-I1853,0)*EXP(-rs_*T_)</f>
        <v>0.085620415980292</v>
      </c>
      <c r="K1853" s="25">
        <v>-2.99841304890387</v>
      </c>
      <c r="L1853" s="25">
        <v>-3.48279263292358</v>
      </c>
      <c r="M1853" s="28">
        <v>1</v>
      </c>
      <c r="N1853" s="28">
        <v>1</v>
      </c>
    </row>
    <row r="1854" spans="7:14">
      <c r="G1854" s="24">
        <v>1853</v>
      </c>
      <c r="H1854" s="25">
        <f>S0_</f>
        <v>100</v>
      </c>
      <c r="I1854" s="25">
        <f ca="1">S0_*EXP((mu_-sigma_^2/2)*Dt_+sigma_*SQRT(Dt_)*_xlfn.NORM.INV(RAND(),0,1))</f>
        <v>102.842440802119</v>
      </c>
      <c r="J1854" s="25">
        <f ca="1">MAX(k_-I1854,0)*EXP(-rs_*T_)</f>
        <v>0</v>
      </c>
      <c r="K1854" s="25">
        <v>2.75981354264497</v>
      </c>
      <c r="L1854" s="25">
        <v>2.18981354264497</v>
      </c>
      <c r="M1854" s="28">
        <v>0</v>
      </c>
      <c r="N1854" s="28">
        <v>0</v>
      </c>
    </row>
    <row r="1855" spans="7:14">
      <c r="G1855" s="24">
        <v>1854</v>
      </c>
      <c r="H1855" s="25">
        <f>S0_</f>
        <v>100</v>
      </c>
      <c r="I1855" s="25">
        <f ca="1">S0_*EXP((mu_-sigma_^2/2)*Dt_+sigma_*SQRT(Dt_)*_xlfn.NORM.INV(RAND(),0,1))</f>
        <v>104.036753634767</v>
      </c>
      <c r="J1855" s="25">
        <f ca="1">MAX(k_-I1855,0)*EXP(-rs_*T_)</f>
        <v>0</v>
      </c>
      <c r="K1855" s="25">
        <v>3.9194087494253</v>
      </c>
      <c r="L1855" s="25">
        <v>3.3494087494253</v>
      </c>
      <c r="M1855" s="28">
        <v>0</v>
      </c>
      <c r="N1855" s="28">
        <v>0</v>
      </c>
    </row>
    <row r="1856" spans="7:14">
      <c r="G1856" s="24">
        <v>1855</v>
      </c>
      <c r="H1856" s="25">
        <f>S0_</f>
        <v>100</v>
      </c>
      <c r="I1856" s="25">
        <f ca="1">S0_*EXP((mu_-sigma_^2/2)*Dt_+sigma_*SQRT(Dt_)*_xlfn.NORM.INV(RAND(),0,1))</f>
        <v>108.562433712622</v>
      </c>
      <c r="J1856" s="25">
        <f ca="1">MAX(k_-I1856,0)*EXP(-rs_*T_)</f>
        <v>0</v>
      </c>
      <c r="K1856" s="25">
        <v>8.31353127934015</v>
      </c>
      <c r="L1856" s="25">
        <v>7.74353127934015</v>
      </c>
      <c r="M1856" s="28">
        <v>0</v>
      </c>
      <c r="N1856" s="28">
        <v>0</v>
      </c>
    </row>
    <row r="1857" spans="7:14">
      <c r="G1857" s="24">
        <v>1856</v>
      </c>
      <c r="H1857" s="25">
        <f>S0_</f>
        <v>100</v>
      </c>
      <c r="I1857" s="25">
        <f ca="1">S0_*EXP((mu_-sigma_^2/2)*Dt_+sigma_*SQRT(Dt_)*_xlfn.NORM.INV(RAND(),0,1))</f>
        <v>95.836152727735</v>
      </c>
      <c r="J1857" s="25">
        <f ca="1">MAX(k_-I1857,0)*EXP(-rs_*T_)</f>
        <v>1.13001525350057</v>
      </c>
      <c r="K1857" s="25">
        <v>-4.04280788642415</v>
      </c>
      <c r="L1857" s="25">
        <v>-3.48279263292358</v>
      </c>
      <c r="M1857" s="28">
        <v>1</v>
      </c>
      <c r="N1857" s="28">
        <v>1</v>
      </c>
    </row>
    <row r="1858" spans="7:14">
      <c r="G1858" s="24">
        <v>1857</v>
      </c>
      <c r="H1858" s="25">
        <f>S0_</f>
        <v>100</v>
      </c>
      <c r="I1858" s="25">
        <f ca="1">S0_*EXP((mu_-sigma_^2/2)*Dt_+sigma_*SQRT(Dt_)*_xlfn.NORM.INV(RAND(),0,1))</f>
        <v>103.425598419414</v>
      </c>
      <c r="J1858" s="25">
        <f ca="1">MAX(k_-I1858,0)*EXP(-rs_*T_)</f>
        <v>0</v>
      </c>
      <c r="K1858" s="25">
        <v>3.32601927980819</v>
      </c>
      <c r="L1858" s="25">
        <v>2.75601927980819</v>
      </c>
      <c r="M1858" s="28">
        <v>0</v>
      </c>
      <c r="N1858" s="28">
        <v>0</v>
      </c>
    </row>
    <row r="1859" spans="7:14">
      <c r="G1859" s="24">
        <v>1858</v>
      </c>
      <c r="H1859" s="25">
        <f>S0_</f>
        <v>100</v>
      </c>
      <c r="I1859" s="25">
        <f ca="1">S0_*EXP((mu_-sigma_^2/2)*Dt_+sigma_*SQRT(Dt_)*_xlfn.NORM.INV(RAND(),0,1))</f>
        <v>101.581103023313</v>
      </c>
      <c r="J1859" s="25">
        <f ca="1">MAX(k_-I1859,0)*EXP(-rs_*T_)</f>
        <v>0</v>
      </c>
      <c r="K1859" s="25">
        <v>1.53514174606625</v>
      </c>
      <c r="L1859" s="25">
        <v>0.965141746066249</v>
      </c>
      <c r="M1859" s="28">
        <v>0</v>
      </c>
      <c r="N1859" s="28">
        <v>0</v>
      </c>
    </row>
    <row r="1860" spans="7:14">
      <c r="G1860" s="24">
        <v>1859</v>
      </c>
      <c r="H1860" s="25">
        <f>S0_</f>
        <v>100</v>
      </c>
      <c r="I1860" s="25">
        <f ca="1">S0_*EXP((mu_-sigma_^2/2)*Dt_+sigma_*SQRT(Dt_)*_xlfn.NORM.INV(RAND(),0,1))</f>
        <v>82.2354442838866</v>
      </c>
      <c r="J1860" s="25">
        <f ca="1">MAX(k_-I1860,0)*EXP(-rs_*T_)</f>
        <v>14.3353630394283</v>
      </c>
      <c r="K1860" s="25">
        <v>-17.2481556723519</v>
      </c>
      <c r="L1860" s="25">
        <v>-3.48279263292358</v>
      </c>
      <c r="M1860" s="28">
        <v>1</v>
      </c>
      <c r="N1860" s="28">
        <v>1</v>
      </c>
    </row>
    <row r="1861" spans="7:14">
      <c r="G1861" s="24">
        <v>1860</v>
      </c>
      <c r="H1861" s="25">
        <f>S0_</f>
        <v>100</v>
      </c>
      <c r="I1861" s="25">
        <f ca="1">S0_*EXP((mu_-sigma_^2/2)*Dt_+sigma_*SQRT(Dt_)*_xlfn.NORM.INV(RAND(),0,1))</f>
        <v>98.3833372686019</v>
      </c>
      <c r="J1861" s="25">
        <f ca="1">MAX(k_-I1861,0)*EXP(-rs_*T_)</f>
        <v>0</v>
      </c>
      <c r="K1861" s="25">
        <v>-1.56966776464616</v>
      </c>
      <c r="L1861" s="25">
        <v>-2.13966776464616</v>
      </c>
      <c r="M1861" s="28">
        <v>1</v>
      </c>
      <c r="N1861" s="28">
        <v>1</v>
      </c>
    </row>
    <row r="1862" spans="7:14">
      <c r="G1862" s="24">
        <v>1861</v>
      </c>
      <c r="H1862" s="25">
        <f>S0_</f>
        <v>100</v>
      </c>
      <c r="I1862" s="25">
        <f ca="1">S0_*EXP((mu_-sigma_^2/2)*Dt_+sigma_*SQRT(Dt_)*_xlfn.NORM.INV(RAND(),0,1))</f>
        <v>97.9448117516895</v>
      </c>
      <c r="J1862" s="25">
        <f ca="1">MAX(k_-I1862,0)*EXP(-rs_*T_)</f>
        <v>0</v>
      </c>
      <c r="K1862" s="25">
        <v>-1.99544572964994</v>
      </c>
      <c r="L1862" s="25">
        <v>-2.56544572964994</v>
      </c>
      <c r="M1862" s="28">
        <v>1</v>
      </c>
      <c r="N1862" s="28">
        <v>1</v>
      </c>
    </row>
    <row r="1863" spans="7:14">
      <c r="G1863" s="24">
        <v>1862</v>
      </c>
      <c r="H1863" s="25">
        <f>S0_</f>
        <v>100</v>
      </c>
      <c r="I1863" s="25">
        <f ca="1">S0_*EXP((mu_-sigma_^2/2)*Dt_+sigma_*SQRT(Dt_)*_xlfn.NORM.INV(RAND(),0,1))</f>
        <v>104.447495920112</v>
      </c>
      <c r="J1863" s="25">
        <f ca="1">MAX(k_-I1863,0)*EXP(-rs_*T_)</f>
        <v>0</v>
      </c>
      <c r="K1863" s="25">
        <v>4.31821111701976</v>
      </c>
      <c r="L1863" s="25">
        <v>3.74821111701976</v>
      </c>
      <c r="M1863" s="28">
        <v>0</v>
      </c>
      <c r="N1863" s="28">
        <v>0</v>
      </c>
    </row>
    <row r="1864" spans="7:14">
      <c r="G1864" s="24">
        <v>1863</v>
      </c>
      <c r="H1864" s="25">
        <f>S0_</f>
        <v>100</v>
      </c>
      <c r="I1864" s="25">
        <f ca="1">S0_*EXP((mu_-sigma_^2/2)*Dt_+sigma_*SQRT(Dt_)*_xlfn.NORM.INV(RAND(),0,1))</f>
        <v>103.648967676082</v>
      </c>
      <c r="J1864" s="25">
        <f ca="1">MAX(k_-I1864,0)*EXP(-rs_*T_)</f>
        <v>0</v>
      </c>
      <c r="K1864" s="25">
        <v>3.54289538822246</v>
      </c>
      <c r="L1864" s="25">
        <v>2.97289538822246</v>
      </c>
      <c r="M1864" s="28">
        <v>0</v>
      </c>
      <c r="N1864" s="28">
        <v>0</v>
      </c>
    </row>
    <row r="1865" spans="7:14">
      <c r="G1865" s="24">
        <v>1864</v>
      </c>
      <c r="H1865" s="25">
        <f>S0_</f>
        <v>100</v>
      </c>
      <c r="I1865" s="25">
        <f ca="1">S0_*EXP((mu_-sigma_^2/2)*Dt_+sigma_*SQRT(Dt_)*_xlfn.NORM.INV(RAND(),0,1))</f>
        <v>92.7189499399032</v>
      </c>
      <c r="J1865" s="25">
        <f ca="1">MAX(k_-I1865,0)*EXP(-rs_*T_)</f>
        <v>4.15660369207566</v>
      </c>
      <c r="K1865" s="25">
        <v>-7.06939632499924</v>
      </c>
      <c r="L1865" s="25">
        <v>-3.48279263292358</v>
      </c>
      <c r="M1865" s="28">
        <v>1</v>
      </c>
      <c r="N1865" s="28">
        <v>1</v>
      </c>
    </row>
    <row r="1866" spans="7:14">
      <c r="G1866" s="24">
        <v>1865</v>
      </c>
      <c r="H1866" s="25">
        <f>S0_</f>
        <v>100</v>
      </c>
      <c r="I1866" s="25">
        <f ca="1">S0_*EXP((mu_-sigma_^2/2)*Dt_+sigma_*SQRT(Dt_)*_xlfn.NORM.INV(RAND(),0,1))</f>
        <v>87.1642024252787</v>
      </c>
      <c r="J1866" s="25">
        <f ca="1">MAX(k_-I1866,0)*EXP(-rs_*T_)</f>
        <v>9.54987957152529</v>
      </c>
      <c r="K1866" s="25">
        <v>-12.4626722044489</v>
      </c>
      <c r="L1866" s="25">
        <v>-3.48279263292358</v>
      </c>
      <c r="M1866" s="28">
        <v>1</v>
      </c>
      <c r="N1866" s="28">
        <v>1</v>
      </c>
    </row>
    <row r="1867" spans="7:14">
      <c r="G1867" s="24">
        <v>1866</v>
      </c>
      <c r="H1867" s="25">
        <f>S0_</f>
        <v>100</v>
      </c>
      <c r="I1867" s="25">
        <f ca="1">S0_*EXP((mu_-sigma_^2/2)*Dt_+sigma_*SQRT(Dt_)*_xlfn.NORM.INV(RAND(),0,1))</f>
        <v>99.1328673932953</v>
      </c>
      <c r="J1867" s="25">
        <f ca="1">MAX(k_-I1867,0)*EXP(-rs_*T_)</f>
        <v>0</v>
      </c>
      <c r="K1867" s="25">
        <v>-0.841925822859064</v>
      </c>
      <c r="L1867" s="25">
        <v>-1.41192582285906</v>
      </c>
      <c r="M1867" s="28">
        <v>1</v>
      </c>
      <c r="N1867" s="28">
        <v>1</v>
      </c>
    </row>
    <row r="1868" spans="7:14">
      <c r="G1868" s="24">
        <v>1867</v>
      </c>
      <c r="H1868" s="25">
        <f>S0_</f>
        <v>100</v>
      </c>
      <c r="I1868" s="25">
        <f ca="1">S0_*EXP((mu_-sigma_^2/2)*Dt_+sigma_*SQRT(Dt_)*_xlfn.NORM.INV(RAND(),0,1))</f>
        <v>111.749222386973</v>
      </c>
      <c r="J1868" s="25">
        <f ca="1">MAX(k_-I1868,0)*EXP(-rs_*T_)</f>
        <v>0</v>
      </c>
      <c r="K1868" s="25">
        <v>11.4076828037853</v>
      </c>
      <c r="L1868" s="25">
        <v>10.8376828037853</v>
      </c>
      <c r="M1868" s="28">
        <v>0</v>
      </c>
      <c r="N1868" s="28">
        <v>0</v>
      </c>
    </row>
    <row r="1869" spans="7:14">
      <c r="G1869" s="24">
        <v>1868</v>
      </c>
      <c r="H1869" s="25">
        <f>S0_</f>
        <v>100</v>
      </c>
      <c r="I1869" s="25">
        <f ca="1">S0_*EXP((mu_-sigma_^2/2)*Dt_+sigma_*SQRT(Dt_)*_xlfn.NORM.INV(RAND(),0,1))</f>
        <v>117.637115802258</v>
      </c>
      <c r="J1869" s="25">
        <f ca="1">MAX(k_-I1869,0)*EXP(-rs_*T_)</f>
        <v>0</v>
      </c>
      <c r="K1869" s="25">
        <v>17.124420324946</v>
      </c>
      <c r="L1869" s="25">
        <v>16.554420324946</v>
      </c>
      <c r="M1869" s="28">
        <v>0</v>
      </c>
      <c r="N1869" s="28">
        <v>0</v>
      </c>
    </row>
    <row r="1870" spans="7:14">
      <c r="G1870" s="24">
        <v>1869</v>
      </c>
      <c r="H1870" s="25">
        <f>S0_</f>
        <v>100</v>
      </c>
      <c r="I1870" s="25">
        <f ca="1">S0_*EXP((mu_-sigma_^2/2)*Dt_+sigma_*SQRT(Dt_)*_xlfn.NORM.INV(RAND(),0,1))</f>
        <v>96.3803938482532</v>
      </c>
      <c r="J1870" s="25">
        <f ca="1">MAX(k_-I1870,0)*EXP(-rs_*T_)</f>
        <v>0.601594744707425</v>
      </c>
      <c r="K1870" s="25">
        <v>-3.51438737763101</v>
      </c>
      <c r="L1870" s="25">
        <v>-3.48279263292358</v>
      </c>
      <c r="M1870" s="28">
        <v>1</v>
      </c>
      <c r="N1870" s="28">
        <v>1</v>
      </c>
    </row>
    <row r="1871" spans="7:14">
      <c r="G1871" s="24">
        <v>1870</v>
      </c>
      <c r="H1871" s="25">
        <f>S0_</f>
        <v>100</v>
      </c>
      <c r="I1871" s="25">
        <f ca="1">S0_*EXP((mu_-sigma_^2/2)*Dt_+sigma_*SQRT(Dt_)*_xlfn.NORM.INV(RAND(),0,1))</f>
        <v>97.1114153882286</v>
      </c>
      <c r="J1871" s="25">
        <f ca="1">MAX(k_-I1871,0)*EXP(-rs_*T_)</f>
        <v>0</v>
      </c>
      <c r="K1871" s="25">
        <v>-2.80461599224803</v>
      </c>
      <c r="L1871" s="25">
        <v>-3.37461599224803</v>
      </c>
      <c r="M1871" s="28">
        <v>1</v>
      </c>
      <c r="N1871" s="28">
        <v>1</v>
      </c>
    </row>
    <row r="1872" spans="7:14">
      <c r="G1872" s="24">
        <v>1871</v>
      </c>
      <c r="H1872" s="25">
        <f>S0_</f>
        <v>100</v>
      </c>
      <c r="I1872" s="25">
        <f ca="1">S0_*EXP((mu_-sigma_^2/2)*Dt_+sigma_*SQRT(Dt_)*_xlfn.NORM.INV(RAND(),0,1))</f>
        <v>102.179946392333</v>
      </c>
      <c r="J1872" s="25">
        <f ca="1">MAX(k_-I1872,0)*EXP(-rs_*T_)</f>
        <v>0</v>
      </c>
      <c r="K1872" s="25">
        <v>2.11657726391873</v>
      </c>
      <c r="L1872" s="25">
        <v>1.54657726391873</v>
      </c>
      <c r="M1872" s="28">
        <v>0</v>
      </c>
      <c r="N1872" s="28">
        <v>0</v>
      </c>
    </row>
    <row r="1873" spans="7:14">
      <c r="G1873" s="24">
        <v>1872</v>
      </c>
      <c r="H1873" s="25">
        <f>S0_</f>
        <v>100</v>
      </c>
      <c r="I1873" s="25">
        <f ca="1">S0_*EXP((mu_-sigma_^2/2)*Dt_+sigma_*SQRT(Dt_)*_xlfn.NORM.INV(RAND(),0,1))</f>
        <v>112.075782757222</v>
      </c>
      <c r="J1873" s="25">
        <f ca="1">MAX(k_-I1873,0)*EXP(-rs_*T_)</f>
        <v>0</v>
      </c>
      <c r="K1873" s="25">
        <v>11.7247503506742</v>
      </c>
      <c r="L1873" s="25">
        <v>11.1547503506742</v>
      </c>
      <c r="M1873" s="28">
        <v>0</v>
      </c>
      <c r="N1873" s="28">
        <v>0</v>
      </c>
    </row>
    <row r="1874" spans="7:14">
      <c r="G1874" s="24">
        <v>1873</v>
      </c>
      <c r="H1874" s="25">
        <f>S0_</f>
        <v>100</v>
      </c>
      <c r="I1874" s="25">
        <f ca="1">S0_*EXP((mu_-sigma_^2/2)*Dt_+sigma_*SQRT(Dt_)*_xlfn.NORM.INV(RAND(),0,1))</f>
        <v>102.466902582037</v>
      </c>
      <c r="J1874" s="25">
        <f ca="1">MAX(k_-I1874,0)*EXP(-rs_*T_)</f>
        <v>0</v>
      </c>
      <c r="K1874" s="25">
        <v>2.39519188903281</v>
      </c>
      <c r="L1874" s="25">
        <v>1.82519188903281</v>
      </c>
      <c r="M1874" s="28">
        <v>0</v>
      </c>
      <c r="N1874" s="28">
        <v>0</v>
      </c>
    </row>
    <row r="1875" spans="7:14">
      <c r="G1875" s="24">
        <v>1874</v>
      </c>
      <c r="H1875" s="25">
        <f>S0_</f>
        <v>100</v>
      </c>
      <c r="I1875" s="25">
        <f ca="1">S0_*EXP((mu_-sigma_^2/2)*Dt_+sigma_*SQRT(Dt_)*_xlfn.NORM.INV(RAND(),0,1))</f>
        <v>95.877085432493</v>
      </c>
      <c r="J1875" s="25">
        <f ca="1">MAX(k_-I1875,0)*EXP(-rs_*T_)</f>
        <v>1.09027242654562</v>
      </c>
      <c r="K1875" s="25">
        <v>-4.0030650594692</v>
      </c>
      <c r="L1875" s="25">
        <v>-3.48279263292358</v>
      </c>
      <c r="M1875" s="28">
        <v>1</v>
      </c>
      <c r="N1875" s="28">
        <v>1</v>
      </c>
    </row>
    <row r="1876" spans="7:14">
      <c r="G1876" s="24">
        <v>1875</v>
      </c>
      <c r="H1876" s="25">
        <f>S0_</f>
        <v>100</v>
      </c>
      <c r="I1876" s="25">
        <f ca="1">S0_*EXP((mu_-sigma_^2/2)*Dt_+sigma_*SQRT(Dt_)*_xlfn.NORM.INV(RAND(),0,1))</f>
        <v>103.92824486416</v>
      </c>
      <c r="J1876" s="25">
        <f ca="1">MAX(k_-I1876,0)*EXP(-rs_*T_)</f>
        <v>0</v>
      </c>
      <c r="K1876" s="25">
        <v>3.814054233548</v>
      </c>
      <c r="L1876" s="25">
        <v>3.244054233548</v>
      </c>
      <c r="M1876" s="28">
        <v>0</v>
      </c>
      <c r="N1876" s="28">
        <v>0</v>
      </c>
    </row>
    <row r="1877" spans="7:14">
      <c r="G1877" s="24">
        <v>1876</v>
      </c>
      <c r="H1877" s="25">
        <f>S0_</f>
        <v>100</v>
      </c>
      <c r="I1877" s="25">
        <f ca="1">S0_*EXP((mu_-sigma_^2/2)*Dt_+sigma_*SQRT(Dt_)*_xlfn.NORM.INV(RAND(),0,1))</f>
        <v>115.7534227505</v>
      </c>
      <c r="J1877" s="25">
        <f ca="1">MAX(k_-I1877,0)*EXP(-rs_*T_)</f>
        <v>0</v>
      </c>
      <c r="K1877" s="25">
        <v>15.2954845769953</v>
      </c>
      <c r="L1877" s="25">
        <v>14.7254845769953</v>
      </c>
      <c r="M1877" s="28">
        <v>0</v>
      </c>
      <c r="N1877" s="28">
        <v>0</v>
      </c>
    </row>
    <row r="1878" spans="7:14">
      <c r="G1878" s="24">
        <v>1877</v>
      </c>
      <c r="H1878" s="25">
        <f>S0_</f>
        <v>100</v>
      </c>
      <c r="I1878" s="25">
        <f ca="1">S0_*EXP((mu_-sigma_^2/2)*Dt_+sigma_*SQRT(Dt_)*_xlfn.NORM.INV(RAND(),0,1))</f>
        <v>101.847764926186</v>
      </c>
      <c r="J1878" s="25">
        <f ca="1">MAX(k_-I1878,0)*EXP(-rs_*T_)</f>
        <v>0</v>
      </c>
      <c r="K1878" s="25">
        <v>1.79405202145675</v>
      </c>
      <c r="L1878" s="25">
        <v>1.22405202145675</v>
      </c>
      <c r="M1878" s="28">
        <v>0</v>
      </c>
      <c r="N1878" s="28">
        <v>0</v>
      </c>
    </row>
    <row r="1879" spans="7:14">
      <c r="G1879" s="24">
        <v>1878</v>
      </c>
      <c r="H1879" s="25">
        <f>S0_</f>
        <v>100</v>
      </c>
      <c r="I1879" s="25">
        <f ca="1">S0_*EXP((mu_-sigma_^2/2)*Dt_+sigma_*SQRT(Dt_)*_xlfn.NORM.INV(RAND(),0,1))</f>
        <v>93.7467444412631</v>
      </c>
      <c r="J1879" s="25">
        <f ca="1">MAX(k_-I1879,0)*EXP(-rs_*T_)</f>
        <v>3.15868627483547</v>
      </c>
      <c r="K1879" s="25">
        <v>-6.07147890775905</v>
      </c>
      <c r="L1879" s="25">
        <v>-3.48279263292358</v>
      </c>
      <c r="M1879" s="28">
        <v>1</v>
      </c>
      <c r="N1879" s="28">
        <v>1</v>
      </c>
    </row>
    <row r="1880" spans="7:14">
      <c r="G1880" s="24">
        <v>1879</v>
      </c>
      <c r="H1880" s="25">
        <f>S0_</f>
        <v>100</v>
      </c>
      <c r="I1880" s="25">
        <f ca="1">S0_*EXP((mu_-sigma_^2/2)*Dt_+sigma_*SQRT(Dt_)*_xlfn.NORM.INV(RAND(),0,1))</f>
        <v>99.9155221924384</v>
      </c>
      <c r="J1880" s="25">
        <f ca="1">MAX(k_-I1880,0)*EXP(-rs_*T_)</f>
        <v>0</v>
      </c>
      <c r="K1880" s="25">
        <v>-0.0820221118369584</v>
      </c>
      <c r="L1880" s="25">
        <v>-0.652022111836958</v>
      </c>
      <c r="M1880" s="28">
        <v>1</v>
      </c>
      <c r="N1880" s="28">
        <v>1</v>
      </c>
    </row>
    <row r="1881" spans="7:14">
      <c r="G1881" s="24">
        <v>1880</v>
      </c>
      <c r="H1881" s="25">
        <f>S0_</f>
        <v>100</v>
      </c>
      <c r="I1881" s="25">
        <f ca="1">S0_*EXP((mu_-sigma_^2/2)*Dt_+sigma_*SQRT(Dt_)*_xlfn.NORM.INV(RAND(),0,1))</f>
        <v>94.5941490789054</v>
      </c>
      <c r="J1881" s="25">
        <f ca="1">MAX(k_-I1881,0)*EXP(-rs_*T_)</f>
        <v>2.33591494629229</v>
      </c>
      <c r="K1881" s="25">
        <v>-5.24870757921588</v>
      </c>
      <c r="L1881" s="25">
        <v>-3.48279263292358</v>
      </c>
      <c r="M1881" s="28">
        <v>1</v>
      </c>
      <c r="N1881" s="28">
        <v>1</v>
      </c>
    </row>
    <row r="1882" spans="7:14">
      <c r="G1882" s="24">
        <v>1881</v>
      </c>
      <c r="H1882" s="25">
        <f>S0_</f>
        <v>100</v>
      </c>
      <c r="I1882" s="25">
        <f ca="1">S0_*EXP((mu_-sigma_^2/2)*Dt_+sigma_*SQRT(Dt_)*_xlfn.NORM.INV(RAND(),0,1))</f>
        <v>96.2181006837095</v>
      </c>
      <c r="J1882" s="25">
        <f ca="1">MAX(k_-I1882,0)*EXP(-rs_*T_)</f>
        <v>0.759170189393032</v>
      </c>
      <c r="K1882" s="25">
        <v>-3.67196282231661</v>
      </c>
      <c r="L1882" s="25">
        <v>-3.48279263292358</v>
      </c>
      <c r="M1882" s="28">
        <v>1</v>
      </c>
      <c r="N1882" s="28">
        <v>1</v>
      </c>
    </row>
    <row r="1883" spans="7:14">
      <c r="G1883" s="24">
        <v>1882</v>
      </c>
      <c r="H1883" s="25">
        <f>S0_</f>
        <v>100</v>
      </c>
      <c r="I1883" s="25">
        <f ca="1">S0_*EXP((mu_-sigma_^2/2)*Dt_+sigma_*SQRT(Dt_)*_xlfn.NORM.INV(RAND(),0,1))</f>
        <v>103.098914220491</v>
      </c>
      <c r="J1883" s="25">
        <f ca="1">MAX(k_-I1883,0)*EXP(-rs_*T_)</f>
        <v>0</v>
      </c>
      <c r="K1883" s="25">
        <v>3.00883150383617</v>
      </c>
      <c r="L1883" s="25">
        <v>2.43883150383617</v>
      </c>
      <c r="M1883" s="28">
        <v>0</v>
      </c>
      <c r="N1883" s="28">
        <v>0</v>
      </c>
    </row>
    <row r="1884" spans="7:14">
      <c r="G1884" s="24">
        <v>1883</v>
      </c>
      <c r="H1884" s="25">
        <f>S0_</f>
        <v>100</v>
      </c>
      <c r="I1884" s="25">
        <f ca="1">S0_*EXP((mu_-sigma_^2/2)*Dt_+sigma_*SQRT(Dt_)*_xlfn.NORM.INV(RAND(),0,1))</f>
        <v>105.186067045245</v>
      </c>
      <c r="J1884" s="25">
        <f ca="1">MAX(k_-I1884,0)*EXP(-rs_*T_)</f>
        <v>0</v>
      </c>
      <c r="K1884" s="25">
        <v>5.0353126277462</v>
      </c>
      <c r="L1884" s="25">
        <v>4.4653126277462</v>
      </c>
      <c r="M1884" s="28">
        <v>0</v>
      </c>
      <c r="N1884" s="28">
        <v>0</v>
      </c>
    </row>
    <row r="1885" spans="7:14">
      <c r="G1885" s="24">
        <v>1884</v>
      </c>
      <c r="H1885" s="25">
        <f>S0_</f>
        <v>100</v>
      </c>
      <c r="I1885" s="25">
        <f ca="1">S0_*EXP((mu_-sigma_^2/2)*Dt_+sigma_*SQRT(Dt_)*_xlfn.NORM.INV(RAND(),0,1))</f>
        <v>98.1142003817932</v>
      </c>
      <c r="J1885" s="25">
        <f ca="1">MAX(k_-I1885,0)*EXP(-rs_*T_)</f>
        <v>0</v>
      </c>
      <c r="K1885" s="25">
        <v>-1.83098107836096</v>
      </c>
      <c r="L1885" s="25">
        <v>-2.40098107836096</v>
      </c>
      <c r="M1885" s="28">
        <v>1</v>
      </c>
      <c r="N1885" s="28">
        <v>1</v>
      </c>
    </row>
    <row r="1886" spans="7:14">
      <c r="G1886" s="24">
        <v>1885</v>
      </c>
      <c r="H1886" s="25">
        <f>S0_</f>
        <v>100</v>
      </c>
      <c r="I1886" s="25">
        <f ca="1">S0_*EXP((mu_-sigma_^2/2)*Dt_+sigma_*SQRT(Dt_)*_xlfn.NORM.INV(RAND(),0,1))</f>
        <v>113.701612138475</v>
      </c>
      <c r="J1886" s="25">
        <f ca="1">MAX(k_-I1886,0)*EXP(-rs_*T_)</f>
        <v>0</v>
      </c>
      <c r="K1886" s="25">
        <v>13.3033182987085</v>
      </c>
      <c r="L1886" s="25">
        <v>12.7333182987085</v>
      </c>
      <c r="M1886" s="28">
        <v>0</v>
      </c>
      <c r="N1886" s="28">
        <v>0</v>
      </c>
    </row>
    <row r="1887" spans="7:14">
      <c r="G1887" s="24">
        <v>1886</v>
      </c>
      <c r="H1887" s="25">
        <f>S0_</f>
        <v>100</v>
      </c>
      <c r="I1887" s="25">
        <f ca="1">S0_*EXP((mu_-sigma_^2/2)*Dt_+sigma_*SQRT(Dt_)*_xlfn.NORM.INV(RAND(),0,1))</f>
        <v>104.34816677839</v>
      </c>
      <c r="J1887" s="25">
        <f ca="1">MAX(k_-I1887,0)*EXP(-rs_*T_)</f>
        <v>0</v>
      </c>
      <c r="K1887" s="25">
        <v>4.22176938627284</v>
      </c>
      <c r="L1887" s="25">
        <v>3.65176938627284</v>
      </c>
      <c r="M1887" s="28">
        <v>0</v>
      </c>
      <c r="N1887" s="28">
        <v>0</v>
      </c>
    </row>
    <row r="1888" spans="7:14">
      <c r="G1888" s="24">
        <v>1887</v>
      </c>
      <c r="H1888" s="25">
        <f>S0_</f>
        <v>100</v>
      </c>
      <c r="I1888" s="25">
        <f ca="1">S0_*EXP((mu_-sigma_^2/2)*Dt_+sigma_*SQRT(Dt_)*_xlfn.NORM.INV(RAND(),0,1))</f>
        <v>97.93860831864</v>
      </c>
      <c r="J1888" s="25">
        <f ca="1">MAX(k_-I1888,0)*EXP(-rs_*T_)</f>
        <v>0</v>
      </c>
      <c r="K1888" s="25">
        <v>-2.00146883434514</v>
      </c>
      <c r="L1888" s="25">
        <v>-2.57146883434514</v>
      </c>
      <c r="M1888" s="28">
        <v>1</v>
      </c>
      <c r="N1888" s="28">
        <v>1</v>
      </c>
    </row>
    <row r="1889" spans="7:14">
      <c r="G1889" s="24">
        <v>1888</v>
      </c>
      <c r="H1889" s="25">
        <f>S0_</f>
        <v>100</v>
      </c>
      <c r="I1889" s="25">
        <f ca="1">S0_*EXP((mu_-sigma_^2/2)*Dt_+sigma_*SQRT(Dt_)*_xlfn.NORM.INV(RAND(),0,1))</f>
        <v>99.3562887714825</v>
      </c>
      <c r="J1889" s="25">
        <f ca="1">MAX(k_-I1889,0)*EXP(-rs_*T_)</f>
        <v>0</v>
      </c>
      <c r="K1889" s="25">
        <v>-0.624999108051991</v>
      </c>
      <c r="L1889" s="25">
        <v>-1.19499910805199</v>
      </c>
      <c r="M1889" s="28">
        <v>1</v>
      </c>
      <c r="N1889" s="28">
        <v>1</v>
      </c>
    </row>
    <row r="1890" spans="7:14">
      <c r="G1890" s="24">
        <v>1889</v>
      </c>
      <c r="H1890" s="25">
        <f>S0_</f>
        <v>100</v>
      </c>
      <c r="I1890" s="25">
        <f ca="1">S0_*EXP((mu_-sigma_^2/2)*Dt_+sigma_*SQRT(Dt_)*_xlfn.NORM.INV(RAND(),0,1))</f>
        <v>102.726694488929</v>
      </c>
      <c r="J1890" s="25">
        <f ca="1">MAX(k_-I1890,0)*EXP(-rs_*T_)</f>
        <v>0</v>
      </c>
      <c r="K1890" s="25">
        <v>2.64743187319476</v>
      </c>
      <c r="L1890" s="25">
        <v>2.07743187319476</v>
      </c>
      <c r="M1890" s="28">
        <v>0</v>
      </c>
      <c r="N1890" s="28">
        <v>0</v>
      </c>
    </row>
    <row r="1891" spans="7:14">
      <c r="G1891" s="24">
        <v>1890</v>
      </c>
      <c r="H1891" s="25">
        <f>S0_</f>
        <v>100</v>
      </c>
      <c r="I1891" s="25">
        <f ca="1">S0_*EXP((mu_-sigma_^2/2)*Dt_+sigma_*SQRT(Dt_)*_xlfn.NORM.INV(RAND(),0,1))</f>
        <v>104.910275266165</v>
      </c>
      <c r="J1891" s="25">
        <f ca="1">MAX(k_-I1891,0)*EXP(-rs_*T_)</f>
        <v>0</v>
      </c>
      <c r="K1891" s="25">
        <v>4.76753787363707</v>
      </c>
      <c r="L1891" s="25">
        <v>4.19753787363707</v>
      </c>
      <c r="M1891" s="28">
        <v>0</v>
      </c>
      <c r="N1891" s="28">
        <v>0</v>
      </c>
    </row>
    <row r="1892" spans="7:14">
      <c r="G1892" s="24">
        <v>1891</v>
      </c>
      <c r="H1892" s="25">
        <f>S0_</f>
        <v>100</v>
      </c>
      <c r="I1892" s="25">
        <f ca="1">S0_*EXP((mu_-sigma_^2/2)*Dt_+sigma_*SQRT(Dt_)*_xlfn.NORM.INV(RAND(),0,1))</f>
        <v>125.883763839453</v>
      </c>
      <c r="J1892" s="25">
        <f ca="1">MAX(k_-I1892,0)*EXP(-rs_*T_)</f>
        <v>0</v>
      </c>
      <c r="K1892" s="25">
        <v>25.1313455412978</v>
      </c>
      <c r="L1892" s="25">
        <v>24.5613455412978</v>
      </c>
      <c r="M1892" s="28">
        <v>0</v>
      </c>
      <c r="N1892" s="28">
        <v>0</v>
      </c>
    </row>
    <row r="1893" spans="7:14">
      <c r="G1893" s="24">
        <v>1892</v>
      </c>
      <c r="H1893" s="25">
        <f>S0_</f>
        <v>100</v>
      </c>
      <c r="I1893" s="25">
        <f ca="1">S0_*EXP((mu_-sigma_^2/2)*Dt_+sigma_*SQRT(Dt_)*_xlfn.NORM.INV(RAND(),0,1))</f>
        <v>104.419238801489</v>
      </c>
      <c r="J1893" s="25">
        <f ca="1">MAX(k_-I1893,0)*EXP(-rs_*T_)</f>
        <v>0</v>
      </c>
      <c r="K1893" s="25">
        <v>4.29077540803539</v>
      </c>
      <c r="L1893" s="25">
        <v>3.72077540803539</v>
      </c>
      <c r="M1893" s="28">
        <v>0</v>
      </c>
      <c r="N1893" s="28">
        <v>0</v>
      </c>
    </row>
    <row r="1894" spans="7:14">
      <c r="G1894" s="24">
        <v>1893</v>
      </c>
      <c r="H1894" s="25">
        <f>S0_</f>
        <v>100</v>
      </c>
      <c r="I1894" s="25">
        <f ca="1">S0_*EXP((mu_-sigma_^2/2)*Dt_+sigma_*SQRT(Dt_)*_xlfn.NORM.INV(RAND(),0,1))</f>
        <v>112.977444422343</v>
      </c>
      <c r="J1894" s="25">
        <f ca="1">MAX(k_-I1894,0)*EXP(-rs_*T_)</f>
        <v>0</v>
      </c>
      <c r="K1894" s="25">
        <v>12.6002015025258</v>
      </c>
      <c r="L1894" s="25">
        <v>12.0302015025258</v>
      </c>
      <c r="M1894" s="28">
        <v>0</v>
      </c>
      <c r="N1894" s="28">
        <v>0</v>
      </c>
    </row>
    <row r="1895" spans="7:14">
      <c r="G1895" s="24">
        <v>1894</v>
      </c>
      <c r="H1895" s="25">
        <f>S0_</f>
        <v>100</v>
      </c>
      <c r="I1895" s="25">
        <f ca="1">S0_*EXP((mu_-sigma_^2/2)*Dt_+sigma_*SQRT(Dt_)*_xlfn.NORM.INV(RAND(),0,1))</f>
        <v>101.531197158626</v>
      </c>
      <c r="J1895" s="25">
        <f ca="1">MAX(k_-I1895,0)*EXP(-rs_*T_)</f>
        <v>0</v>
      </c>
      <c r="K1895" s="25">
        <v>1.48668660106627</v>
      </c>
      <c r="L1895" s="25">
        <v>0.916686601066266</v>
      </c>
      <c r="M1895" s="28">
        <v>0</v>
      </c>
      <c r="N1895" s="28">
        <v>0</v>
      </c>
    </row>
    <row r="1896" spans="7:14">
      <c r="G1896" s="24">
        <v>1895</v>
      </c>
      <c r="H1896" s="25">
        <f>S0_</f>
        <v>100</v>
      </c>
      <c r="I1896" s="25">
        <f ca="1">S0_*EXP((mu_-sigma_^2/2)*Dt_+sigma_*SQRT(Dt_)*_xlfn.NORM.INV(RAND(),0,1))</f>
        <v>85.997606730367</v>
      </c>
      <c r="J1896" s="25">
        <f ca="1">MAX(k_-I1896,0)*EXP(-rs_*T_)</f>
        <v>10.6825633534383</v>
      </c>
      <c r="K1896" s="25">
        <v>-13.5953559863619</v>
      </c>
      <c r="L1896" s="25">
        <v>-3.48279263292358</v>
      </c>
      <c r="M1896" s="28">
        <v>1</v>
      </c>
      <c r="N1896" s="28">
        <v>1</v>
      </c>
    </row>
    <row r="1897" spans="7:14">
      <c r="G1897" s="24">
        <v>1896</v>
      </c>
      <c r="H1897" s="25">
        <f>S0_</f>
        <v>100</v>
      </c>
      <c r="I1897" s="25">
        <f ca="1">S0_*EXP((mu_-sigma_^2/2)*Dt_+sigma_*SQRT(Dt_)*_xlfn.NORM.INV(RAND(),0,1))</f>
        <v>109.707048131324</v>
      </c>
      <c r="J1897" s="25">
        <f ca="1">MAX(k_-I1897,0)*EXP(-rs_*T_)</f>
        <v>0</v>
      </c>
      <c r="K1897" s="25">
        <v>9.42487276145175</v>
      </c>
      <c r="L1897" s="25">
        <v>8.85487276145175</v>
      </c>
      <c r="M1897" s="28">
        <v>0</v>
      </c>
      <c r="N1897" s="28">
        <v>0</v>
      </c>
    </row>
    <row r="1898" spans="7:14">
      <c r="G1898" s="24">
        <v>1897</v>
      </c>
      <c r="H1898" s="25">
        <f>S0_</f>
        <v>100</v>
      </c>
      <c r="I1898" s="25">
        <f ca="1">S0_*EXP((mu_-sigma_^2/2)*Dt_+sigma_*SQRT(Dt_)*_xlfn.NORM.INV(RAND(),0,1))</f>
        <v>93.8812317751624</v>
      </c>
      <c r="J1898" s="25">
        <f ca="1">MAX(k_-I1898,0)*EXP(-rs_*T_)</f>
        <v>3.02810836970108</v>
      </c>
      <c r="K1898" s="25">
        <v>-5.94090100262466</v>
      </c>
      <c r="L1898" s="25">
        <v>-3.48279263292358</v>
      </c>
      <c r="M1898" s="28">
        <v>1</v>
      </c>
      <c r="N1898" s="28">
        <v>1</v>
      </c>
    </row>
    <row r="1899" spans="7:14">
      <c r="G1899" s="24">
        <v>1898</v>
      </c>
      <c r="H1899" s="25">
        <f>S0_</f>
        <v>100</v>
      </c>
      <c r="I1899" s="25">
        <f ca="1">S0_*EXP((mu_-sigma_^2/2)*Dt_+sigma_*SQRT(Dt_)*_xlfn.NORM.INV(RAND(),0,1))</f>
        <v>102.409459239803</v>
      </c>
      <c r="J1899" s="25">
        <f ca="1">MAX(k_-I1899,0)*EXP(-rs_*T_)</f>
        <v>0</v>
      </c>
      <c r="K1899" s="25">
        <v>2.33941837434242</v>
      </c>
      <c r="L1899" s="25">
        <v>1.76941837434242</v>
      </c>
      <c r="M1899" s="28">
        <v>0</v>
      </c>
      <c r="N1899" s="28">
        <v>0</v>
      </c>
    </row>
    <row r="1900" spans="7:14">
      <c r="G1900" s="24">
        <v>1899</v>
      </c>
      <c r="H1900" s="25">
        <f>S0_</f>
        <v>100</v>
      </c>
      <c r="I1900" s="25">
        <f ca="1">S0_*EXP((mu_-sigma_^2/2)*Dt_+sigma_*SQRT(Dt_)*_xlfn.NORM.INV(RAND(),0,1))</f>
        <v>97.2269637609738</v>
      </c>
      <c r="J1900" s="25">
        <f ca="1">MAX(k_-I1900,0)*EXP(-rs_*T_)</f>
        <v>0</v>
      </c>
      <c r="K1900" s="25">
        <v>-2.69242650928856</v>
      </c>
      <c r="L1900" s="25">
        <v>-3.26242650928856</v>
      </c>
      <c r="M1900" s="28">
        <v>1</v>
      </c>
      <c r="N1900" s="28">
        <v>1</v>
      </c>
    </row>
    <row r="1901" spans="7:14">
      <c r="G1901" s="24">
        <v>1900</v>
      </c>
      <c r="H1901" s="25">
        <f>S0_</f>
        <v>100</v>
      </c>
      <c r="I1901" s="25">
        <f ca="1">S0_*EXP((mu_-sigma_^2/2)*Dt_+sigma_*SQRT(Dt_)*_xlfn.NORM.INV(RAND(),0,1))</f>
        <v>99.4024547285738</v>
      </c>
      <c r="J1901" s="25">
        <f ca="1">MAX(k_-I1901,0)*EXP(-rs_*T_)</f>
        <v>0</v>
      </c>
      <c r="K1901" s="25">
        <v>-0.580175154816227</v>
      </c>
      <c r="L1901" s="25">
        <v>-1.15017515481623</v>
      </c>
      <c r="M1901" s="28">
        <v>1</v>
      </c>
      <c r="N1901" s="28">
        <v>1</v>
      </c>
    </row>
    <row r="1902" spans="7:14">
      <c r="G1902" s="24">
        <v>1901</v>
      </c>
      <c r="H1902" s="25">
        <f>S0_</f>
        <v>100</v>
      </c>
      <c r="I1902" s="25">
        <f ca="1">S0_*EXP((mu_-sigma_^2/2)*Dt_+sigma_*SQRT(Dt_)*_xlfn.NORM.INV(RAND(),0,1))</f>
        <v>103.977808559792</v>
      </c>
      <c r="J1902" s="25">
        <f ca="1">MAX(k_-I1902,0)*EXP(-rs_*T_)</f>
        <v>0</v>
      </c>
      <c r="K1902" s="25">
        <v>3.86217715604712</v>
      </c>
      <c r="L1902" s="25">
        <v>3.29217715604712</v>
      </c>
      <c r="M1902" s="28">
        <v>0</v>
      </c>
      <c r="N1902" s="28">
        <v>0</v>
      </c>
    </row>
    <row r="1903" spans="7:14">
      <c r="G1903" s="24">
        <v>1902</v>
      </c>
      <c r="H1903" s="25">
        <f>S0_</f>
        <v>100</v>
      </c>
      <c r="I1903" s="25">
        <f ca="1">S0_*EXP((mu_-sigma_^2/2)*Dt_+sigma_*SQRT(Dt_)*_xlfn.NORM.INV(RAND(),0,1))</f>
        <v>102.960002034119</v>
      </c>
      <c r="J1903" s="25">
        <f ca="1">MAX(k_-I1903,0)*EXP(-rs_*T_)</f>
        <v>0</v>
      </c>
      <c r="K1903" s="25">
        <v>2.87395737280655</v>
      </c>
      <c r="L1903" s="25">
        <v>2.30395737280655</v>
      </c>
      <c r="M1903" s="28">
        <v>0</v>
      </c>
      <c r="N1903" s="28">
        <v>0</v>
      </c>
    </row>
    <row r="1904" spans="7:14">
      <c r="G1904" s="24">
        <v>1903</v>
      </c>
      <c r="H1904" s="25">
        <f>S0_</f>
        <v>100</v>
      </c>
      <c r="I1904" s="25">
        <f ca="1">S0_*EXP((mu_-sigma_^2/2)*Dt_+sigma_*SQRT(Dt_)*_xlfn.NORM.INV(RAND(),0,1))</f>
        <v>100.527031142176</v>
      </c>
      <c r="J1904" s="25">
        <f ca="1">MAX(k_-I1904,0)*EXP(-rs_*T_)</f>
        <v>0</v>
      </c>
      <c r="K1904" s="25">
        <v>0.511710809417447</v>
      </c>
      <c r="L1904" s="25">
        <v>-0.0582891905825532</v>
      </c>
      <c r="M1904" s="28">
        <v>0</v>
      </c>
      <c r="N1904" s="28">
        <v>1</v>
      </c>
    </row>
    <row r="1905" spans="7:14">
      <c r="G1905" s="24">
        <v>1904</v>
      </c>
      <c r="H1905" s="25">
        <f>S0_</f>
        <v>100</v>
      </c>
      <c r="I1905" s="25">
        <f ca="1">S0_*EXP((mu_-sigma_^2/2)*Dt_+sigma_*SQRT(Dt_)*_xlfn.NORM.INV(RAND(),0,1))</f>
        <v>101.817006080071</v>
      </c>
      <c r="J1905" s="25">
        <f ca="1">MAX(k_-I1905,0)*EXP(-rs_*T_)</f>
        <v>0</v>
      </c>
      <c r="K1905" s="25">
        <v>1.76418730800268</v>
      </c>
      <c r="L1905" s="25">
        <v>1.19418730800268</v>
      </c>
      <c r="M1905" s="28">
        <v>0</v>
      </c>
      <c r="N1905" s="28">
        <v>0</v>
      </c>
    </row>
    <row r="1906" spans="7:14">
      <c r="G1906" s="24">
        <v>1905</v>
      </c>
      <c r="H1906" s="25">
        <f>S0_</f>
        <v>100</v>
      </c>
      <c r="I1906" s="25">
        <f ca="1">S0_*EXP((mu_-sigma_^2/2)*Dt_+sigma_*SQRT(Dt_)*_xlfn.NORM.INV(RAND(),0,1))</f>
        <v>107.20591927295</v>
      </c>
      <c r="J1906" s="25">
        <f ca="1">MAX(k_-I1906,0)*EXP(-rs_*T_)</f>
        <v>0</v>
      </c>
      <c r="K1906" s="25">
        <v>6.99644952389654</v>
      </c>
      <c r="L1906" s="25">
        <v>6.42644952389654</v>
      </c>
      <c r="M1906" s="28">
        <v>0</v>
      </c>
      <c r="N1906" s="28">
        <v>0</v>
      </c>
    </row>
    <row r="1907" spans="7:14">
      <c r="G1907" s="24">
        <v>1906</v>
      </c>
      <c r="H1907" s="25">
        <f>S0_</f>
        <v>100</v>
      </c>
      <c r="I1907" s="25">
        <f ca="1">S0_*EXP((mu_-sigma_^2/2)*Dt_+sigma_*SQRT(Dt_)*_xlfn.NORM.INV(RAND(),0,1))</f>
        <v>98.1266471297408</v>
      </c>
      <c r="J1907" s="25">
        <f ca="1">MAX(k_-I1907,0)*EXP(-rs_*T_)</f>
        <v>0</v>
      </c>
      <c r="K1907" s="25">
        <v>-1.81889614645238</v>
      </c>
      <c r="L1907" s="25">
        <v>-2.38889614645238</v>
      </c>
      <c r="M1907" s="28">
        <v>1</v>
      </c>
      <c r="N1907" s="28">
        <v>1</v>
      </c>
    </row>
    <row r="1908" spans="7:14">
      <c r="G1908" s="24">
        <v>1907</v>
      </c>
      <c r="H1908" s="25">
        <f>S0_</f>
        <v>100</v>
      </c>
      <c r="I1908" s="25">
        <f ca="1">S0_*EXP((mu_-sigma_^2/2)*Dt_+sigma_*SQRT(Dt_)*_xlfn.NORM.INV(RAND(),0,1))</f>
        <v>118.801670754369</v>
      </c>
      <c r="J1908" s="25">
        <f ca="1">MAX(k_-I1908,0)*EXP(-rs_*T_)</f>
        <v>0</v>
      </c>
      <c r="K1908" s="25">
        <v>18.2551226866603</v>
      </c>
      <c r="L1908" s="25">
        <v>17.6851226866603</v>
      </c>
      <c r="M1908" s="28">
        <v>0</v>
      </c>
      <c r="N1908" s="28">
        <v>0</v>
      </c>
    </row>
    <row r="1909" spans="7:14">
      <c r="G1909" s="24">
        <v>1908</v>
      </c>
      <c r="H1909" s="25">
        <f>S0_</f>
        <v>100</v>
      </c>
      <c r="I1909" s="25">
        <f ca="1">S0_*EXP((mu_-sigma_^2/2)*Dt_+sigma_*SQRT(Dt_)*_xlfn.NORM.INV(RAND(),0,1))</f>
        <v>119.644608431674</v>
      </c>
      <c r="J1909" s="25">
        <f ca="1">MAX(k_-I1909,0)*EXP(-rs_*T_)</f>
        <v>0</v>
      </c>
      <c r="K1909" s="25">
        <v>19.0735569054829</v>
      </c>
      <c r="L1909" s="25">
        <v>18.5035569054829</v>
      </c>
      <c r="M1909" s="28">
        <v>0</v>
      </c>
      <c r="N1909" s="28">
        <v>0</v>
      </c>
    </row>
    <row r="1910" spans="7:14">
      <c r="G1910" s="24">
        <v>1909</v>
      </c>
      <c r="H1910" s="25">
        <f>S0_</f>
        <v>100</v>
      </c>
      <c r="I1910" s="25">
        <f ca="1">S0_*EXP((mu_-sigma_^2/2)*Dt_+sigma_*SQRT(Dt_)*_xlfn.NORM.INV(RAND(),0,1))</f>
        <v>99.6551818251718</v>
      </c>
      <c r="J1910" s="25">
        <f ca="1">MAX(k_-I1910,0)*EXP(-rs_*T_)</f>
        <v>0</v>
      </c>
      <c r="K1910" s="25">
        <v>-0.334794613112626</v>
      </c>
      <c r="L1910" s="25">
        <v>-0.904794613112625</v>
      </c>
      <c r="M1910" s="28">
        <v>1</v>
      </c>
      <c r="N1910" s="28">
        <v>1</v>
      </c>
    </row>
    <row r="1911" spans="7:14">
      <c r="G1911" s="24">
        <v>1910</v>
      </c>
      <c r="H1911" s="25">
        <f>S0_</f>
        <v>100</v>
      </c>
      <c r="I1911" s="25">
        <f ca="1">S0_*EXP((mu_-sigma_^2/2)*Dt_+sigma_*SQRT(Dt_)*_xlfn.NORM.INV(RAND(),0,1))</f>
        <v>99.6725926106966</v>
      </c>
      <c r="J1911" s="25">
        <f ca="1">MAX(k_-I1911,0)*EXP(-rs_*T_)</f>
        <v>0</v>
      </c>
      <c r="K1911" s="25">
        <v>-0.317889943842606</v>
      </c>
      <c r="L1911" s="25">
        <v>-0.887889943842606</v>
      </c>
      <c r="M1911" s="28">
        <v>1</v>
      </c>
      <c r="N1911" s="28">
        <v>1</v>
      </c>
    </row>
    <row r="1912" spans="7:14">
      <c r="G1912" s="24">
        <v>1911</v>
      </c>
      <c r="H1912" s="25">
        <f>S0_</f>
        <v>100</v>
      </c>
      <c r="I1912" s="25">
        <f ca="1">S0_*EXP((mu_-sigma_^2/2)*Dt_+sigma_*SQRT(Dt_)*_xlfn.NORM.INV(RAND(),0,1))</f>
        <v>103.544956427555</v>
      </c>
      <c r="J1912" s="25">
        <f ca="1">MAX(k_-I1912,0)*EXP(-rs_*T_)</f>
        <v>0</v>
      </c>
      <c r="K1912" s="25">
        <v>3.44190765540616</v>
      </c>
      <c r="L1912" s="25">
        <v>2.87190765540616</v>
      </c>
      <c r="M1912" s="28">
        <v>0</v>
      </c>
      <c r="N1912" s="28">
        <v>0</v>
      </c>
    </row>
    <row r="1913" spans="7:14">
      <c r="G1913" s="24">
        <v>1912</v>
      </c>
      <c r="H1913" s="25">
        <f>S0_</f>
        <v>100</v>
      </c>
      <c r="I1913" s="25">
        <f ca="1">S0_*EXP((mu_-sigma_^2/2)*Dt_+sigma_*SQRT(Dt_)*_xlfn.NORM.INV(RAND(),0,1))</f>
        <v>90.8934102690195</v>
      </c>
      <c r="J1913" s="25">
        <f ca="1">MAX(k_-I1913,0)*EXP(-rs_*T_)</f>
        <v>5.92907652689559</v>
      </c>
      <c r="K1913" s="25">
        <v>-8.84186915981917</v>
      </c>
      <c r="L1913" s="25">
        <v>-3.48279263292358</v>
      </c>
      <c r="M1913" s="28">
        <v>1</v>
      </c>
      <c r="N1913" s="28">
        <v>1</v>
      </c>
    </row>
    <row r="1914" spans="7:14">
      <c r="G1914" s="24">
        <v>1913</v>
      </c>
      <c r="H1914" s="25">
        <f>S0_</f>
        <v>100</v>
      </c>
      <c r="I1914" s="25">
        <f ca="1">S0_*EXP((mu_-sigma_^2/2)*Dt_+sigma_*SQRT(Dt_)*_xlfn.NORM.INV(RAND(),0,1))</f>
        <v>100.567850364497</v>
      </c>
      <c r="J1914" s="25">
        <f ca="1">MAX(k_-I1914,0)*EXP(-rs_*T_)</f>
        <v>0</v>
      </c>
      <c r="K1914" s="25">
        <v>0.551343452770101</v>
      </c>
      <c r="L1914" s="25">
        <v>-0.0186565472298991</v>
      </c>
      <c r="M1914" s="28">
        <v>0</v>
      </c>
      <c r="N1914" s="28">
        <v>1</v>
      </c>
    </row>
    <row r="1915" spans="7:14">
      <c r="G1915" s="24">
        <v>1914</v>
      </c>
      <c r="H1915" s="25">
        <f>S0_</f>
        <v>100</v>
      </c>
      <c r="I1915" s="25">
        <f ca="1">S0_*EXP((mu_-sigma_^2/2)*Dt_+sigma_*SQRT(Dt_)*_xlfn.NORM.INV(RAND(),0,1))</f>
        <v>108.589812953642</v>
      </c>
      <c r="J1915" s="25">
        <f ca="1">MAX(k_-I1915,0)*EXP(-rs_*T_)</f>
        <v>0</v>
      </c>
      <c r="K1915" s="25">
        <v>8.34011462985365</v>
      </c>
      <c r="L1915" s="25">
        <v>7.77011462985365</v>
      </c>
      <c r="M1915" s="28">
        <v>0</v>
      </c>
      <c r="N1915" s="28">
        <v>0</v>
      </c>
    </row>
    <row r="1916" spans="7:14">
      <c r="G1916" s="24">
        <v>1915</v>
      </c>
      <c r="H1916" s="25">
        <f>S0_</f>
        <v>100</v>
      </c>
      <c r="I1916" s="25">
        <f ca="1">S0_*EXP((mu_-sigma_^2/2)*Dt_+sigma_*SQRT(Dt_)*_xlfn.NORM.INV(RAND(),0,1))</f>
        <v>94.3472156073007</v>
      </c>
      <c r="J1916" s="25">
        <f ca="1">MAX(k_-I1916,0)*EXP(-rs_*T_)</f>
        <v>2.57567027859641</v>
      </c>
      <c r="K1916" s="25">
        <v>-5.48846291151999</v>
      </c>
      <c r="L1916" s="25">
        <v>-3.48279263292358</v>
      </c>
      <c r="M1916" s="28">
        <v>1</v>
      </c>
      <c r="N1916" s="28">
        <v>1</v>
      </c>
    </row>
    <row r="1917" spans="7:14">
      <c r="G1917" s="24">
        <v>1916</v>
      </c>
      <c r="H1917" s="25">
        <f>S0_</f>
        <v>100</v>
      </c>
      <c r="I1917" s="25">
        <f ca="1">S0_*EXP((mu_-sigma_^2/2)*Dt_+sigma_*SQRT(Dt_)*_xlfn.NORM.INV(RAND(),0,1))</f>
        <v>117.232418975676</v>
      </c>
      <c r="J1917" s="25">
        <f ca="1">MAX(k_-I1917,0)*EXP(-rs_*T_)</f>
        <v>0</v>
      </c>
      <c r="K1917" s="25">
        <v>16.7314876799338</v>
      </c>
      <c r="L1917" s="25">
        <v>16.1614876799338</v>
      </c>
      <c r="M1917" s="28">
        <v>0</v>
      </c>
      <c r="N1917" s="28">
        <v>0</v>
      </c>
    </row>
    <row r="1918" spans="7:14">
      <c r="G1918" s="24">
        <v>1917</v>
      </c>
      <c r="H1918" s="25">
        <f>S0_</f>
        <v>100</v>
      </c>
      <c r="I1918" s="25">
        <f ca="1">S0_*EXP((mu_-sigma_^2/2)*Dt_+sigma_*SQRT(Dt_)*_xlfn.NORM.INV(RAND(),0,1))</f>
        <v>88.7406745188534</v>
      </c>
      <c r="J1918" s="25">
        <f ca="1">MAX(k_-I1918,0)*EXP(-rs_*T_)</f>
        <v>8.01923413813399</v>
      </c>
      <c r="K1918" s="25">
        <v>-10.9320267710576</v>
      </c>
      <c r="L1918" s="25">
        <v>-3.48279263292358</v>
      </c>
      <c r="M1918" s="28">
        <v>1</v>
      </c>
      <c r="N1918" s="28">
        <v>1</v>
      </c>
    </row>
    <row r="1919" spans="7:14">
      <c r="G1919" s="24">
        <v>1918</v>
      </c>
      <c r="H1919" s="25">
        <f>S0_</f>
        <v>100</v>
      </c>
      <c r="I1919" s="25">
        <f ca="1">S0_*EXP((mu_-sigma_^2/2)*Dt_+sigma_*SQRT(Dt_)*_xlfn.NORM.INV(RAND(),0,1))</f>
        <v>94.3655996019116</v>
      </c>
      <c r="J1919" s="25">
        <f ca="1">MAX(k_-I1919,0)*EXP(-rs_*T_)</f>
        <v>2.55782069057427</v>
      </c>
      <c r="K1919" s="25">
        <v>-5.47061332349785</v>
      </c>
      <c r="L1919" s="25">
        <v>-3.48279263292358</v>
      </c>
      <c r="M1919" s="28">
        <v>1</v>
      </c>
      <c r="N1919" s="28">
        <v>1</v>
      </c>
    </row>
    <row r="1920" spans="7:14">
      <c r="G1920" s="24">
        <v>1919</v>
      </c>
      <c r="H1920" s="25">
        <f>S0_</f>
        <v>100</v>
      </c>
      <c r="I1920" s="25">
        <f ca="1">S0_*EXP((mu_-sigma_^2/2)*Dt_+sigma_*SQRT(Dt_)*_xlfn.NORM.INV(RAND(),0,1))</f>
        <v>116.51111389439</v>
      </c>
      <c r="J1920" s="25">
        <f ca="1">MAX(k_-I1920,0)*EXP(-rs_*T_)</f>
        <v>0</v>
      </c>
      <c r="K1920" s="25">
        <v>16.0311503043137</v>
      </c>
      <c r="L1920" s="25">
        <v>15.4611503043137</v>
      </c>
      <c r="M1920" s="28">
        <v>0</v>
      </c>
      <c r="N1920" s="28">
        <v>0</v>
      </c>
    </row>
    <row r="1921" spans="7:14">
      <c r="G1921" s="24">
        <v>1920</v>
      </c>
      <c r="H1921" s="25">
        <f>S0_</f>
        <v>100</v>
      </c>
      <c r="I1921" s="25">
        <f ca="1">S0_*EXP((mu_-sigma_^2/2)*Dt_+sigma_*SQRT(Dt_)*_xlfn.NORM.INV(RAND(),0,1))</f>
        <v>100.24840266866</v>
      </c>
      <c r="J1921" s="25">
        <f ca="1">MAX(k_-I1921,0)*EXP(-rs_*T_)</f>
        <v>0</v>
      </c>
      <c r="K1921" s="25">
        <v>0.241181821090709</v>
      </c>
      <c r="L1921" s="25">
        <v>-0.328818178909291</v>
      </c>
      <c r="M1921" s="28">
        <v>0</v>
      </c>
      <c r="N1921" s="28">
        <v>1</v>
      </c>
    </row>
    <row r="1922" spans="7:14">
      <c r="G1922" s="24">
        <v>1921</v>
      </c>
      <c r="H1922" s="25">
        <f>S0_</f>
        <v>100</v>
      </c>
      <c r="I1922" s="25">
        <f ca="1">S0_*EXP((mu_-sigma_^2/2)*Dt_+sigma_*SQRT(Dt_)*_xlfn.NORM.INV(RAND(),0,1))</f>
        <v>101.115463912972</v>
      </c>
      <c r="J1922" s="25">
        <f ca="1">MAX(k_-I1922,0)*EXP(-rs_*T_)</f>
        <v>0</v>
      </c>
      <c r="K1922" s="25">
        <v>1.08303835599862</v>
      </c>
      <c r="L1922" s="25">
        <v>0.513038355998616</v>
      </c>
      <c r="M1922" s="28">
        <v>0</v>
      </c>
      <c r="N1922" s="28">
        <v>0</v>
      </c>
    </row>
    <row r="1923" spans="7:14">
      <c r="G1923" s="24">
        <v>1922</v>
      </c>
      <c r="H1923" s="25">
        <f>S0_</f>
        <v>100</v>
      </c>
      <c r="I1923" s="25">
        <f ca="1">S0_*EXP((mu_-sigma_^2/2)*Dt_+sigma_*SQRT(Dt_)*_xlfn.NORM.INV(RAND(),0,1))</f>
        <v>120.380666828846</v>
      </c>
      <c r="J1923" s="25">
        <f ca="1">MAX(k_-I1923,0)*EXP(-rs_*T_)</f>
        <v>0</v>
      </c>
      <c r="K1923" s="25">
        <v>19.7882187310441</v>
      </c>
      <c r="L1923" s="25">
        <v>19.2182187310441</v>
      </c>
      <c r="M1923" s="28">
        <v>0</v>
      </c>
      <c r="N1923" s="28">
        <v>0</v>
      </c>
    </row>
    <row r="1924" spans="7:14">
      <c r="G1924" s="24">
        <v>1923</v>
      </c>
      <c r="H1924" s="25">
        <f>S0_</f>
        <v>100</v>
      </c>
      <c r="I1924" s="25">
        <f ca="1">S0_*EXP((mu_-sigma_^2/2)*Dt_+sigma_*SQRT(Dt_)*_xlfn.NORM.INV(RAND(),0,1))</f>
        <v>113.990185050857</v>
      </c>
      <c r="J1924" s="25">
        <f ca="1">MAX(k_-I1924,0)*EXP(-rs_*T_)</f>
        <v>0</v>
      </c>
      <c r="K1924" s="25">
        <v>13.5835026497916</v>
      </c>
      <c r="L1924" s="25">
        <v>13.0135026497916</v>
      </c>
      <c r="M1924" s="28">
        <v>0</v>
      </c>
      <c r="N1924" s="28">
        <v>0</v>
      </c>
    </row>
    <row r="1925" spans="7:14">
      <c r="G1925" s="24">
        <v>1924</v>
      </c>
      <c r="H1925" s="25">
        <f>S0_</f>
        <v>100</v>
      </c>
      <c r="I1925" s="25">
        <f ca="1">S0_*EXP((mu_-sigma_^2/2)*Dt_+sigma_*SQRT(Dt_)*_xlfn.NORM.INV(RAND(),0,1))</f>
        <v>92.5235473897488</v>
      </c>
      <c r="J1925" s="25">
        <f ca="1">MAX(k_-I1925,0)*EXP(-rs_*T_)</f>
        <v>4.34632606159041</v>
      </c>
      <c r="K1925" s="25">
        <v>-7.259118694514</v>
      </c>
      <c r="L1925" s="25">
        <v>-3.48279263292358</v>
      </c>
      <c r="M1925" s="28">
        <v>1</v>
      </c>
      <c r="N1925" s="28">
        <v>1</v>
      </c>
    </row>
    <row r="1926" spans="7:14">
      <c r="G1926" s="24">
        <v>1925</v>
      </c>
      <c r="H1926" s="25">
        <f>S0_</f>
        <v>100</v>
      </c>
      <c r="I1926" s="25">
        <f ca="1">S0_*EXP((mu_-sigma_^2/2)*Dt_+sigma_*SQRT(Dt_)*_xlfn.NORM.INV(RAND(),0,1))</f>
        <v>109.460546867747</v>
      </c>
      <c r="J1926" s="25">
        <f ca="1">MAX(k_-I1926,0)*EXP(-rs_*T_)</f>
        <v>0</v>
      </c>
      <c r="K1926" s="25">
        <v>9.18553707326716</v>
      </c>
      <c r="L1926" s="25">
        <v>8.61553707326716</v>
      </c>
      <c r="M1926" s="28">
        <v>0</v>
      </c>
      <c r="N1926" s="28">
        <v>0</v>
      </c>
    </row>
    <row r="1927" spans="7:14">
      <c r="G1927" s="24">
        <v>1926</v>
      </c>
      <c r="H1927" s="25">
        <f>S0_</f>
        <v>100</v>
      </c>
      <c r="I1927" s="25">
        <f ca="1">S0_*EXP((mu_-sigma_^2/2)*Dt_+sigma_*SQRT(Dt_)*_xlfn.NORM.INV(RAND(),0,1))</f>
        <v>120.635314035516</v>
      </c>
      <c r="J1927" s="25">
        <f ca="1">MAX(k_-I1927,0)*EXP(-rs_*T_)</f>
        <v>0</v>
      </c>
      <c r="K1927" s="25">
        <v>20.0354635669051</v>
      </c>
      <c r="L1927" s="25">
        <v>19.4654635669051</v>
      </c>
      <c r="M1927" s="28">
        <v>0</v>
      </c>
      <c r="N1927" s="28">
        <v>0</v>
      </c>
    </row>
    <row r="1928" spans="7:14">
      <c r="G1928" s="24">
        <v>1927</v>
      </c>
      <c r="H1928" s="25">
        <f>S0_</f>
        <v>100</v>
      </c>
      <c r="I1928" s="25">
        <f ca="1">S0_*EXP((mu_-sigma_^2/2)*Dt_+sigma_*SQRT(Dt_)*_xlfn.NORM.INV(RAND(),0,1))</f>
        <v>122.830926414263</v>
      </c>
      <c r="J1928" s="25">
        <f ca="1">MAX(k_-I1928,0)*EXP(-rs_*T_)</f>
        <v>0</v>
      </c>
      <c r="K1928" s="25">
        <v>22.1672514207623</v>
      </c>
      <c r="L1928" s="25">
        <v>21.5972514207623</v>
      </c>
      <c r="M1928" s="28">
        <v>0</v>
      </c>
      <c r="N1928" s="28">
        <v>0</v>
      </c>
    </row>
    <row r="1929" spans="7:14">
      <c r="G1929" s="24">
        <v>1928</v>
      </c>
      <c r="H1929" s="25">
        <f>S0_</f>
        <v>100</v>
      </c>
      <c r="I1929" s="25">
        <f ca="1">S0_*EXP((mu_-sigma_^2/2)*Dt_+sigma_*SQRT(Dt_)*_xlfn.NORM.INV(RAND(),0,1))</f>
        <v>96.1869030318465</v>
      </c>
      <c r="J1929" s="25">
        <f ca="1">MAX(k_-I1929,0)*EXP(-rs_*T_)</f>
        <v>0.789460952896688</v>
      </c>
      <c r="K1929" s="25">
        <v>-3.70225358582027</v>
      </c>
      <c r="L1929" s="25">
        <v>-3.48279263292358</v>
      </c>
      <c r="M1929" s="28">
        <v>1</v>
      </c>
      <c r="N1929" s="28">
        <v>1</v>
      </c>
    </row>
    <row r="1930" spans="7:14">
      <c r="G1930" s="24">
        <v>1929</v>
      </c>
      <c r="H1930" s="25">
        <f>S0_</f>
        <v>100</v>
      </c>
      <c r="I1930" s="25">
        <f ca="1">S0_*EXP((mu_-sigma_^2/2)*Dt_+sigma_*SQRT(Dt_)*_xlfn.NORM.INV(RAND(),0,1))</f>
        <v>103.757651430261</v>
      </c>
      <c r="J1930" s="25">
        <f ca="1">MAX(k_-I1930,0)*EXP(-rs_*T_)</f>
        <v>0</v>
      </c>
      <c r="K1930" s="25">
        <v>3.64841980105323</v>
      </c>
      <c r="L1930" s="25">
        <v>3.07841980105323</v>
      </c>
      <c r="M1930" s="28">
        <v>0</v>
      </c>
      <c r="N1930" s="28">
        <v>0</v>
      </c>
    </row>
    <row r="1931" spans="7:14">
      <c r="G1931" s="24">
        <v>1930</v>
      </c>
      <c r="H1931" s="25">
        <f>S0_</f>
        <v>100</v>
      </c>
      <c r="I1931" s="25">
        <f ca="1">S0_*EXP((mu_-sigma_^2/2)*Dt_+sigma_*SQRT(Dt_)*_xlfn.NORM.INV(RAND(),0,1))</f>
        <v>83.3353691167335</v>
      </c>
      <c r="J1931" s="25">
        <f ca="1">MAX(k_-I1931,0)*EXP(-rs_*T_)</f>
        <v>13.2674120561329</v>
      </c>
      <c r="K1931" s="25">
        <v>-16.1802046890565</v>
      </c>
      <c r="L1931" s="25">
        <v>-3.48279263292358</v>
      </c>
      <c r="M1931" s="28">
        <v>1</v>
      </c>
      <c r="N1931" s="28">
        <v>1</v>
      </c>
    </row>
    <row r="1932" spans="7:14">
      <c r="G1932" s="24">
        <v>1931</v>
      </c>
      <c r="H1932" s="25">
        <f>S0_</f>
        <v>100</v>
      </c>
      <c r="I1932" s="25">
        <f ca="1">S0_*EXP((mu_-sigma_^2/2)*Dt_+sigma_*SQRT(Dt_)*_xlfn.NORM.INV(RAND(),0,1))</f>
        <v>100.750837612693</v>
      </c>
      <c r="J1932" s="25">
        <f ca="1">MAX(k_-I1932,0)*EXP(-rs_*T_)</f>
        <v>0</v>
      </c>
      <c r="K1932" s="25">
        <v>0.729011422258328</v>
      </c>
      <c r="L1932" s="25">
        <v>0.159011422258328</v>
      </c>
      <c r="M1932" s="28">
        <v>0</v>
      </c>
      <c r="N1932" s="28">
        <v>0</v>
      </c>
    </row>
    <row r="1933" spans="7:14">
      <c r="G1933" s="24">
        <v>1932</v>
      </c>
      <c r="H1933" s="25">
        <f>S0_</f>
        <v>100</v>
      </c>
      <c r="I1933" s="25">
        <f ca="1">S0_*EXP((mu_-sigma_^2/2)*Dt_+sigma_*SQRT(Dt_)*_xlfn.NORM.INV(RAND(),0,1))</f>
        <v>96.9590200386389</v>
      </c>
      <c r="J1933" s="25">
        <f ca="1">MAX(k_-I1933,0)*EXP(-rs_*T_)</f>
        <v>0.0397887098500654</v>
      </c>
      <c r="K1933" s="25">
        <v>-2.95258134277365</v>
      </c>
      <c r="L1933" s="25">
        <v>-3.48279263292358</v>
      </c>
      <c r="M1933" s="28">
        <v>1</v>
      </c>
      <c r="N1933" s="28">
        <v>1</v>
      </c>
    </row>
    <row r="1934" spans="7:14">
      <c r="G1934" s="24">
        <v>1933</v>
      </c>
      <c r="H1934" s="25">
        <f>S0_</f>
        <v>100</v>
      </c>
      <c r="I1934" s="25">
        <f ca="1">S0_*EXP((mu_-sigma_^2/2)*Dt_+sigma_*SQRT(Dt_)*_xlfn.NORM.INV(RAND(),0,1))</f>
        <v>110.550756210968</v>
      </c>
      <c r="J1934" s="25">
        <f ca="1">MAX(k_-I1934,0)*EXP(-rs_*T_)</f>
        <v>0</v>
      </c>
      <c r="K1934" s="25">
        <v>10.2440549876934</v>
      </c>
      <c r="L1934" s="25">
        <v>9.67405498769339</v>
      </c>
      <c r="M1934" s="28">
        <v>0</v>
      </c>
      <c r="N1934" s="28">
        <v>0</v>
      </c>
    </row>
    <row r="1935" spans="7:14">
      <c r="G1935" s="24">
        <v>1934</v>
      </c>
      <c r="H1935" s="25">
        <f>S0_</f>
        <v>100</v>
      </c>
      <c r="I1935" s="25">
        <f ca="1">S0_*EXP((mu_-sigma_^2/2)*Dt_+sigma_*SQRT(Dt_)*_xlfn.NORM.INV(RAND(),0,1))</f>
        <v>113.13242049579</v>
      </c>
      <c r="J1935" s="25">
        <f ca="1">MAX(k_-I1935,0)*EXP(-rs_*T_)</f>
        <v>0</v>
      </c>
      <c r="K1935" s="25">
        <v>12.7506725575301</v>
      </c>
      <c r="L1935" s="25">
        <v>12.1806725575301</v>
      </c>
      <c r="M1935" s="28">
        <v>0</v>
      </c>
      <c r="N1935" s="28">
        <v>0</v>
      </c>
    </row>
    <row r="1936" spans="7:14">
      <c r="G1936" s="24">
        <v>1935</v>
      </c>
      <c r="H1936" s="25">
        <f>S0_</f>
        <v>100</v>
      </c>
      <c r="I1936" s="25">
        <f ca="1">S0_*EXP((mu_-sigma_^2/2)*Dt_+sigma_*SQRT(Dt_)*_xlfn.NORM.INV(RAND(),0,1))</f>
        <v>99.3746330248354</v>
      </c>
      <c r="J1936" s="25">
        <f ca="1">MAX(k_-I1936,0)*EXP(-rs_*T_)</f>
        <v>0</v>
      </c>
      <c r="K1936" s="25">
        <v>-0.607188106044408</v>
      </c>
      <c r="L1936" s="25">
        <v>-1.17718810604441</v>
      </c>
      <c r="M1936" s="28">
        <v>1</v>
      </c>
      <c r="N1936" s="28">
        <v>1</v>
      </c>
    </row>
    <row r="1937" spans="7:14">
      <c r="G1937" s="24">
        <v>1936</v>
      </c>
      <c r="H1937" s="25">
        <f>S0_</f>
        <v>100</v>
      </c>
      <c r="I1937" s="25">
        <f ca="1">S0_*EXP((mu_-sigma_^2/2)*Dt_+sigma_*SQRT(Dt_)*_xlfn.NORM.INV(RAND(),0,1))</f>
        <v>110.04632541476</v>
      </c>
      <c r="J1937" s="25">
        <f ca="1">MAX(k_-I1937,0)*EXP(-rs_*T_)</f>
        <v>0</v>
      </c>
      <c r="K1937" s="25">
        <v>9.75428755202228</v>
      </c>
      <c r="L1937" s="25">
        <v>9.18428755202228</v>
      </c>
      <c r="M1937" s="28">
        <v>0</v>
      </c>
      <c r="N1937" s="28">
        <v>0</v>
      </c>
    </row>
    <row r="1938" spans="7:14">
      <c r="G1938" s="24">
        <v>1937</v>
      </c>
      <c r="H1938" s="25">
        <f>S0_</f>
        <v>100</v>
      </c>
      <c r="I1938" s="25">
        <f ca="1">S0_*EXP((mu_-sigma_^2/2)*Dt_+sigma_*SQRT(Dt_)*_xlfn.NORM.INV(RAND(),0,1))</f>
        <v>95.4971350438392</v>
      </c>
      <c r="J1938" s="25">
        <f ca="1">MAX(k_-I1938,0)*EXP(-rs_*T_)</f>
        <v>1.45917799086137</v>
      </c>
      <c r="K1938" s="25">
        <v>-4.37197062378495</v>
      </c>
      <c r="L1938" s="25">
        <v>-3.48279263292358</v>
      </c>
      <c r="M1938" s="28">
        <v>1</v>
      </c>
      <c r="N1938" s="28">
        <v>1</v>
      </c>
    </row>
    <row r="1939" spans="7:14">
      <c r="G1939" s="24">
        <v>1938</v>
      </c>
      <c r="H1939" s="25">
        <f>S0_</f>
        <v>100</v>
      </c>
      <c r="I1939" s="25">
        <f ca="1">S0_*EXP((mu_-sigma_^2/2)*Dt_+sigma_*SQRT(Dt_)*_xlfn.NORM.INV(RAND(),0,1))</f>
        <v>92.2849545773096</v>
      </c>
      <c r="J1939" s="25">
        <f ca="1">MAX(k_-I1939,0)*EXP(-rs_*T_)</f>
        <v>4.57798319037088</v>
      </c>
      <c r="K1939" s="25">
        <v>-7.49077582329446</v>
      </c>
      <c r="L1939" s="25">
        <v>-3.48279263292358</v>
      </c>
      <c r="M1939" s="28">
        <v>1</v>
      </c>
      <c r="N1939" s="28">
        <v>1</v>
      </c>
    </row>
    <row r="1940" spans="7:14">
      <c r="G1940" s="24">
        <v>1939</v>
      </c>
      <c r="H1940" s="25">
        <f>S0_</f>
        <v>100</v>
      </c>
      <c r="I1940" s="25">
        <f ca="1">S0_*EXP((mu_-sigma_^2/2)*Dt_+sigma_*SQRT(Dt_)*_xlfn.NORM.INV(RAND(),0,1))</f>
        <v>110.170545857174</v>
      </c>
      <c r="J1940" s="25">
        <f ca="1">MAX(k_-I1940,0)*EXP(-rs_*T_)</f>
        <v>0</v>
      </c>
      <c r="K1940" s="25">
        <v>9.87489701519631</v>
      </c>
      <c r="L1940" s="25">
        <v>9.30489701519631</v>
      </c>
      <c r="M1940" s="28">
        <v>0</v>
      </c>
      <c r="N1940" s="28">
        <v>0</v>
      </c>
    </row>
    <row r="1941" spans="7:14">
      <c r="G1941" s="24">
        <v>1940</v>
      </c>
      <c r="H1941" s="25">
        <f>S0_</f>
        <v>100</v>
      </c>
      <c r="I1941" s="25">
        <f ca="1">S0_*EXP((mu_-sigma_^2/2)*Dt_+sigma_*SQRT(Dt_)*_xlfn.NORM.INV(RAND(),0,1))</f>
        <v>104.528165417138</v>
      </c>
      <c r="J1941" s="25">
        <f ca="1">MAX(k_-I1941,0)*EXP(-rs_*T_)</f>
        <v>0</v>
      </c>
      <c r="K1941" s="25">
        <v>4.39653562256662</v>
      </c>
      <c r="L1941" s="25">
        <v>3.82653562256662</v>
      </c>
      <c r="M1941" s="28">
        <v>0</v>
      </c>
      <c r="N1941" s="28">
        <v>0</v>
      </c>
    </row>
    <row r="1942" spans="7:14">
      <c r="G1942" s="24">
        <v>1941</v>
      </c>
      <c r="H1942" s="25">
        <f>S0_</f>
        <v>100</v>
      </c>
      <c r="I1942" s="25">
        <f ca="1">S0_*EXP((mu_-sigma_^2/2)*Dt_+sigma_*SQRT(Dt_)*_xlfn.NORM.INV(RAND(),0,1))</f>
        <v>94.3870941057684</v>
      </c>
      <c r="J1942" s="25">
        <f ca="1">MAX(k_-I1942,0)*EXP(-rs_*T_)</f>
        <v>2.53695101308011</v>
      </c>
      <c r="K1942" s="25">
        <v>-5.44974364600369</v>
      </c>
      <c r="L1942" s="25">
        <v>-3.48279263292358</v>
      </c>
      <c r="M1942" s="28">
        <v>1</v>
      </c>
      <c r="N1942" s="28">
        <v>1</v>
      </c>
    </row>
    <row r="1943" spans="7:14">
      <c r="G1943" s="24">
        <v>1942</v>
      </c>
      <c r="H1943" s="25">
        <f>S0_</f>
        <v>100</v>
      </c>
      <c r="I1943" s="25">
        <f ca="1">S0_*EXP((mu_-sigma_^2/2)*Dt_+sigma_*SQRT(Dt_)*_xlfn.NORM.INV(RAND(),0,1))</f>
        <v>110.009971425468</v>
      </c>
      <c r="J1943" s="25">
        <f ca="1">MAX(k_-I1943,0)*EXP(-rs_*T_)</f>
        <v>0</v>
      </c>
      <c r="K1943" s="25">
        <v>9.71899034129326</v>
      </c>
      <c r="L1943" s="25">
        <v>9.14899034129326</v>
      </c>
      <c r="M1943" s="28">
        <v>0</v>
      </c>
      <c r="N1943" s="28">
        <v>0</v>
      </c>
    </row>
    <row r="1944" spans="7:14">
      <c r="G1944" s="24">
        <v>1943</v>
      </c>
      <c r="H1944" s="25">
        <f>S0_</f>
        <v>100</v>
      </c>
      <c r="I1944" s="25">
        <f ca="1">S0_*EXP((mu_-sigma_^2/2)*Dt_+sigma_*SQRT(Dt_)*_xlfn.NORM.INV(RAND(),0,1))</f>
        <v>102.050839353372</v>
      </c>
      <c r="J1944" s="25">
        <f ca="1">MAX(k_-I1944,0)*EXP(-rs_*T_)</f>
        <v>0</v>
      </c>
      <c r="K1944" s="25">
        <v>1.99122325327033</v>
      </c>
      <c r="L1944" s="25">
        <v>1.42122325327033</v>
      </c>
      <c r="M1944" s="28">
        <v>0</v>
      </c>
      <c r="N1944" s="28">
        <v>0</v>
      </c>
    </row>
    <row r="1945" spans="7:14">
      <c r="G1945" s="24">
        <v>1944</v>
      </c>
      <c r="H1945" s="25">
        <f>S0_</f>
        <v>100</v>
      </c>
      <c r="I1945" s="25">
        <f ca="1">S0_*EXP((mu_-sigma_^2/2)*Dt_+sigma_*SQRT(Dt_)*_xlfn.NORM.INV(RAND(),0,1))</f>
        <v>101.668337013116</v>
      </c>
      <c r="J1945" s="25">
        <f ca="1">MAX(k_-I1945,0)*EXP(-rs_*T_)</f>
        <v>0</v>
      </c>
      <c r="K1945" s="25">
        <v>1.61983992034648</v>
      </c>
      <c r="L1945" s="25">
        <v>1.04983992034648</v>
      </c>
      <c r="M1945" s="28">
        <v>0</v>
      </c>
      <c r="N1945" s="28">
        <v>0</v>
      </c>
    </row>
    <row r="1946" spans="7:14">
      <c r="G1946" s="24">
        <v>1945</v>
      </c>
      <c r="H1946" s="25">
        <f>S0_</f>
        <v>100</v>
      </c>
      <c r="I1946" s="25">
        <f ca="1">S0_*EXP((mu_-sigma_^2/2)*Dt_+sigma_*SQRT(Dt_)*_xlfn.NORM.INV(RAND(),0,1))</f>
        <v>94.4208014679907</v>
      </c>
      <c r="J1946" s="25">
        <f ca="1">MAX(k_-I1946,0)*EXP(-rs_*T_)</f>
        <v>2.50422349429466</v>
      </c>
      <c r="K1946" s="25">
        <v>-5.41701612721824</v>
      </c>
      <c r="L1946" s="25">
        <v>-3.48279263292358</v>
      </c>
      <c r="M1946" s="28">
        <v>1</v>
      </c>
      <c r="N1946" s="28">
        <v>1</v>
      </c>
    </row>
    <row r="1947" spans="7:14">
      <c r="G1947" s="24">
        <v>1946</v>
      </c>
      <c r="H1947" s="25">
        <f>S0_</f>
        <v>100</v>
      </c>
      <c r="I1947" s="25">
        <f ca="1">S0_*EXP((mu_-sigma_^2/2)*Dt_+sigma_*SQRT(Dt_)*_xlfn.NORM.INV(RAND(),0,1))</f>
        <v>116.256922597021</v>
      </c>
      <c r="J1947" s="25">
        <f ca="1">MAX(k_-I1947,0)*EXP(-rs_*T_)</f>
        <v>0</v>
      </c>
      <c r="K1947" s="25">
        <v>15.7843481248704</v>
      </c>
      <c r="L1947" s="25">
        <v>15.2143481248704</v>
      </c>
      <c r="M1947" s="28">
        <v>0</v>
      </c>
      <c r="N1947" s="28">
        <v>0</v>
      </c>
    </row>
    <row r="1948" spans="7:14">
      <c r="G1948" s="24">
        <v>1947</v>
      </c>
      <c r="H1948" s="25">
        <f>S0_</f>
        <v>100</v>
      </c>
      <c r="I1948" s="25">
        <f ca="1">S0_*EXP((mu_-sigma_^2/2)*Dt_+sigma_*SQRT(Dt_)*_xlfn.NORM.INV(RAND(),0,1))</f>
        <v>97.5825244727642</v>
      </c>
      <c r="J1948" s="25">
        <f ca="1">MAX(k_-I1948,0)*EXP(-rs_*T_)</f>
        <v>0</v>
      </c>
      <c r="K1948" s="25">
        <v>-2.34720163533512</v>
      </c>
      <c r="L1948" s="25">
        <v>-2.91720163533512</v>
      </c>
      <c r="M1948" s="28">
        <v>1</v>
      </c>
      <c r="N1948" s="28">
        <v>1</v>
      </c>
    </row>
    <row r="1949" spans="7:14">
      <c r="G1949" s="24">
        <v>1948</v>
      </c>
      <c r="H1949" s="25">
        <f>S0_</f>
        <v>100</v>
      </c>
      <c r="I1949" s="25">
        <f ca="1">S0_*EXP((mu_-sigma_^2/2)*Dt_+sigma_*SQRT(Dt_)*_xlfn.NORM.INV(RAND(),0,1))</f>
        <v>96.5726092224094</v>
      </c>
      <c r="J1949" s="25">
        <f ca="1">MAX(k_-I1949,0)*EXP(-rs_*T_)</f>
        <v>0.414966902781782</v>
      </c>
      <c r="K1949" s="25">
        <v>-3.32775953570536</v>
      </c>
      <c r="L1949" s="25">
        <v>-3.48279263292358</v>
      </c>
      <c r="M1949" s="28">
        <v>1</v>
      </c>
      <c r="N1949" s="28">
        <v>1</v>
      </c>
    </row>
    <row r="1950" spans="7:14">
      <c r="G1950" s="24">
        <v>1949</v>
      </c>
      <c r="H1950" s="25">
        <f>S0_</f>
        <v>100</v>
      </c>
      <c r="I1950" s="25">
        <f ca="1">S0_*EXP((mu_-sigma_^2/2)*Dt_+sigma_*SQRT(Dt_)*_xlfn.NORM.INV(RAND(),0,1))</f>
        <v>104.018371714947</v>
      </c>
      <c r="J1950" s="25">
        <f ca="1">MAX(k_-I1950,0)*EXP(-rs_*T_)</f>
        <v>0</v>
      </c>
      <c r="K1950" s="25">
        <v>3.90156117588194</v>
      </c>
      <c r="L1950" s="25">
        <v>3.33156117588194</v>
      </c>
      <c r="M1950" s="28">
        <v>0</v>
      </c>
      <c r="N1950" s="28">
        <v>0</v>
      </c>
    </row>
    <row r="1951" spans="7:14">
      <c r="G1951" s="24">
        <v>1950</v>
      </c>
      <c r="H1951" s="25">
        <f>S0_</f>
        <v>100</v>
      </c>
      <c r="I1951" s="25">
        <f ca="1">S0_*EXP((mu_-sigma_^2/2)*Dt_+sigma_*SQRT(Dt_)*_xlfn.NORM.INV(RAND(),0,1))</f>
        <v>96.4919814501687</v>
      </c>
      <c r="J1951" s="25">
        <f ca="1">MAX(k_-I1951,0)*EXP(-rs_*T_)</f>
        <v>0.49325089644573</v>
      </c>
      <c r="K1951" s="25">
        <v>-3.40604352936931</v>
      </c>
      <c r="L1951" s="25">
        <v>-3.48279263292358</v>
      </c>
      <c r="M1951" s="28">
        <v>1</v>
      </c>
      <c r="N1951" s="28">
        <v>1</v>
      </c>
    </row>
    <row r="1952" spans="7:14">
      <c r="G1952" s="24">
        <v>1951</v>
      </c>
      <c r="H1952" s="25">
        <f>S0_</f>
        <v>100</v>
      </c>
      <c r="I1952" s="25">
        <f ca="1">S0_*EXP((mu_-sigma_^2/2)*Dt_+sigma_*SQRT(Dt_)*_xlfn.NORM.INV(RAND(),0,1))</f>
        <v>107.793861792802</v>
      </c>
      <c r="J1952" s="25">
        <f ca="1">MAX(k_-I1952,0)*EXP(-rs_*T_)</f>
        <v>0</v>
      </c>
      <c r="K1952" s="25">
        <v>7.56730107069944</v>
      </c>
      <c r="L1952" s="25">
        <v>6.99730107069944</v>
      </c>
      <c r="M1952" s="28">
        <v>0</v>
      </c>
      <c r="N1952" s="28">
        <v>0</v>
      </c>
    </row>
    <row r="1953" spans="7:14">
      <c r="G1953" s="24">
        <v>1952</v>
      </c>
      <c r="H1953" s="25">
        <f>S0_</f>
        <v>100</v>
      </c>
      <c r="I1953" s="25">
        <f ca="1">S0_*EXP((mu_-sigma_^2/2)*Dt_+sigma_*SQRT(Dt_)*_xlfn.NORM.INV(RAND(),0,1))</f>
        <v>108.061796353938</v>
      </c>
      <c r="J1953" s="25">
        <f ca="1">MAX(k_-I1953,0)*EXP(-rs_*T_)</f>
        <v>0</v>
      </c>
      <c r="K1953" s="25">
        <v>7.82744700929313</v>
      </c>
      <c r="L1953" s="25">
        <v>7.25744700929313</v>
      </c>
      <c r="M1953" s="28">
        <v>0</v>
      </c>
      <c r="N1953" s="28">
        <v>0</v>
      </c>
    </row>
    <row r="1954" spans="7:14">
      <c r="G1954" s="24">
        <v>1953</v>
      </c>
      <c r="H1954" s="25">
        <f>S0_</f>
        <v>100</v>
      </c>
      <c r="I1954" s="25">
        <f ca="1">S0_*EXP((mu_-sigma_^2/2)*Dt_+sigma_*SQRT(Dt_)*_xlfn.NORM.INV(RAND(),0,1))</f>
        <v>110.365236482664</v>
      </c>
      <c r="J1954" s="25">
        <f ca="1">MAX(k_-I1954,0)*EXP(-rs_*T_)</f>
        <v>0</v>
      </c>
      <c r="K1954" s="25">
        <v>10.063928155071</v>
      </c>
      <c r="L1954" s="25">
        <v>9.49392815507104</v>
      </c>
      <c r="M1954" s="28">
        <v>0</v>
      </c>
      <c r="N1954" s="28">
        <v>0</v>
      </c>
    </row>
    <row r="1955" spans="7:14">
      <c r="G1955" s="24">
        <v>1954</v>
      </c>
      <c r="H1955" s="25">
        <f>S0_</f>
        <v>100</v>
      </c>
      <c r="I1955" s="25">
        <f ca="1">S0_*EXP((mu_-sigma_^2/2)*Dt_+sigma_*SQRT(Dt_)*_xlfn.NORM.INV(RAND(),0,1))</f>
        <v>116.977933194448</v>
      </c>
      <c r="J1955" s="25">
        <f ca="1">MAX(k_-I1955,0)*EXP(-rs_*T_)</f>
        <v>0</v>
      </c>
      <c r="K1955" s="25">
        <v>16.4843995770188</v>
      </c>
      <c r="L1955" s="25">
        <v>15.9143995770188</v>
      </c>
      <c r="M1955" s="28">
        <v>0</v>
      </c>
      <c r="N1955" s="28">
        <v>0</v>
      </c>
    </row>
    <row r="1956" spans="7:14">
      <c r="G1956" s="24">
        <v>1955</v>
      </c>
      <c r="H1956" s="25">
        <f>S0_</f>
        <v>100</v>
      </c>
      <c r="I1956" s="25">
        <f ca="1">S0_*EXP((mu_-sigma_^2/2)*Dt_+sigma_*SQRT(Dt_)*_xlfn.NORM.INV(RAND(),0,1))</f>
        <v>89.2007559227006</v>
      </c>
      <c r="J1956" s="25">
        <f ca="1">MAX(k_-I1956,0)*EXP(-rs_*T_)</f>
        <v>7.57252689691024</v>
      </c>
      <c r="K1956" s="25">
        <v>-10.4853195298338</v>
      </c>
      <c r="L1956" s="25">
        <v>-3.48279263292358</v>
      </c>
      <c r="M1956" s="28">
        <v>1</v>
      </c>
      <c r="N1956" s="28">
        <v>1</v>
      </c>
    </row>
    <row r="1957" spans="7:14">
      <c r="G1957" s="24">
        <v>1956</v>
      </c>
      <c r="H1957" s="25">
        <f>S0_</f>
        <v>100</v>
      </c>
      <c r="I1957" s="25">
        <f ca="1">S0_*EXP((mu_-sigma_^2/2)*Dt_+sigma_*SQRT(Dt_)*_xlfn.NORM.INV(RAND(),0,1))</f>
        <v>100.499908258666</v>
      </c>
      <c r="J1957" s="25">
        <f ca="1">MAX(k_-I1957,0)*EXP(-rs_*T_)</f>
        <v>0</v>
      </c>
      <c r="K1957" s="25">
        <v>0.485376364326367</v>
      </c>
      <c r="L1957" s="25">
        <v>-0.0846236356736325</v>
      </c>
      <c r="M1957" s="28">
        <v>0</v>
      </c>
      <c r="N1957" s="28">
        <v>1</v>
      </c>
    </row>
    <row r="1958" spans="7:14">
      <c r="G1958" s="24">
        <v>1957</v>
      </c>
      <c r="H1958" s="25">
        <f>S0_</f>
        <v>100</v>
      </c>
      <c r="I1958" s="25">
        <f ca="1">S0_*EXP((mu_-sigma_^2/2)*Dt_+sigma_*SQRT(Dt_)*_xlfn.NORM.INV(RAND(),0,1))</f>
        <v>98.9294713699824</v>
      </c>
      <c r="J1958" s="25">
        <f ca="1">MAX(k_-I1958,0)*EXP(-rs_*T_)</f>
        <v>0</v>
      </c>
      <c r="K1958" s="25">
        <v>-1.03940930228306</v>
      </c>
      <c r="L1958" s="25">
        <v>-1.60940930228306</v>
      </c>
      <c r="M1958" s="28">
        <v>1</v>
      </c>
      <c r="N1958" s="28">
        <v>1</v>
      </c>
    </row>
    <row r="1959" spans="7:14">
      <c r="G1959" s="24">
        <v>1958</v>
      </c>
      <c r="H1959" s="25">
        <f>S0_</f>
        <v>100</v>
      </c>
      <c r="I1959" s="25">
        <f ca="1">S0_*EXP((mu_-sigma_^2/2)*Dt_+sigma_*SQRT(Dt_)*_xlfn.NORM.INV(RAND(),0,1))</f>
        <v>92.0867641272667</v>
      </c>
      <c r="J1959" s="25">
        <f ca="1">MAX(k_-I1959,0)*EXP(-rs_*T_)</f>
        <v>4.77041241797112</v>
      </c>
      <c r="K1959" s="25">
        <v>-7.68320505089471</v>
      </c>
      <c r="L1959" s="25">
        <v>-3.48279263292358</v>
      </c>
      <c r="M1959" s="28">
        <v>1</v>
      </c>
      <c r="N1959" s="28">
        <v>1</v>
      </c>
    </row>
    <row r="1960" spans="7:14">
      <c r="G1960" s="24">
        <v>1959</v>
      </c>
      <c r="H1960" s="25">
        <f>S0_</f>
        <v>100</v>
      </c>
      <c r="I1960" s="25">
        <f ca="1">S0_*EXP((mu_-sigma_^2/2)*Dt_+sigma_*SQRT(Dt_)*_xlfn.NORM.INV(RAND(),0,1))</f>
        <v>105.992460201585</v>
      </c>
      <c r="J1960" s="25">
        <f ca="1">MAX(k_-I1960,0)*EXP(-rs_*T_)</f>
        <v>0</v>
      </c>
      <c r="K1960" s="25">
        <v>5.8182646427553</v>
      </c>
      <c r="L1960" s="25">
        <v>5.2482646427553</v>
      </c>
      <c r="M1960" s="28">
        <v>0</v>
      </c>
      <c r="N1960" s="28">
        <v>0</v>
      </c>
    </row>
    <row r="1961" spans="7:14">
      <c r="G1961" s="24">
        <v>1960</v>
      </c>
      <c r="H1961" s="25">
        <f>S0_</f>
        <v>100</v>
      </c>
      <c r="I1961" s="25">
        <f ca="1">S0_*EXP((mu_-sigma_^2/2)*Dt_+sigma_*SQRT(Dt_)*_xlfn.NORM.INV(RAND(),0,1))</f>
        <v>104.014761223623</v>
      </c>
      <c r="J1961" s="25">
        <f ca="1">MAX(k_-I1961,0)*EXP(-rs_*T_)</f>
        <v>0</v>
      </c>
      <c r="K1961" s="25">
        <v>3.89805563837164</v>
      </c>
      <c r="L1961" s="25">
        <v>3.32805563837164</v>
      </c>
      <c r="M1961" s="28">
        <v>0</v>
      </c>
      <c r="N1961" s="28">
        <v>0</v>
      </c>
    </row>
    <row r="1962" spans="7:14">
      <c r="G1962" s="24">
        <v>1961</v>
      </c>
      <c r="H1962" s="25">
        <f>S0_</f>
        <v>100</v>
      </c>
      <c r="I1962" s="25">
        <f ca="1">S0_*EXP((mu_-sigma_^2/2)*Dt_+sigma_*SQRT(Dt_)*_xlfn.NORM.INV(RAND(),0,1))</f>
        <v>115.923666401014</v>
      </c>
      <c r="J1962" s="25">
        <f ca="1">MAX(k_-I1962,0)*EXP(-rs_*T_)</f>
        <v>0</v>
      </c>
      <c r="K1962" s="25">
        <v>15.4607793940019</v>
      </c>
      <c r="L1962" s="25">
        <v>14.8907793940019</v>
      </c>
      <c r="M1962" s="28">
        <v>0</v>
      </c>
      <c r="N1962" s="28">
        <v>0</v>
      </c>
    </row>
    <row r="1963" spans="7:14">
      <c r="G1963" s="24">
        <v>1962</v>
      </c>
      <c r="H1963" s="25">
        <f>S0_</f>
        <v>100</v>
      </c>
      <c r="I1963" s="25">
        <f ca="1">S0_*EXP((mu_-sigma_^2/2)*Dt_+sigma_*SQRT(Dt_)*_xlfn.NORM.INV(RAND(),0,1))</f>
        <v>96.4933795883093</v>
      </c>
      <c r="J1963" s="25">
        <f ca="1">MAX(k_-I1963,0)*EXP(-rs_*T_)</f>
        <v>0.491893400953826</v>
      </c>
      <c r="K1963" s="25">
        <v>-3.40468603387741</v>
      </c>
      <c r="L1963" s="25">
        <v>-3.48279263292358</v>
      </c>
      <c r="M1963" s="28">
        <v>1</v>
      </c>
      <c r="N1963" s="28">
        <v>1</v>
      </c>
    </row>
    <row r="1964" spans="7:14">
      <c r="G1964" s="24">
        <v>1963</v>
      </c>
      <c r="H1964" s="25">
        <f>S0_</f>
        <v>100</v>
      </c>
      <c r="I1964" s="25">
        <f ca="1">S0_*EXP((mu_-sigma_^2/2)*Dt_+sigma_*SQRT(Dt_)*_xlfn.NORM.INV(RAND(),0,1))</f>
        <v>102.842795733416</v>
      </c>
      <c r="J1964" s="25">
        <f ca="1">MAX(k_-I1964,0)*EXP(-rs_*T_)</f>
        <v>0</v>
      </c>
      <c r="K1964" s="25">
        <v>2.76015815640048</v>
      </c>
      <c r="L1964" s="25">
        <v>2.19015815640048</v>
      </c>
      <c r="M1964" s="28">
        <v>0</v>
      </c>
      <c r="N1964" s="28">
        <v>0</v>
      </c>
    </row>
    <row r="1965" spans="7:14">
      <c r="G1965" s="24">
        <v>1964</v>
      </c>
      <c r="H1965" s="25">
        <f>S0_</f>
        <v>100</v>
      </c>
      <c r="I1965" s="25">
        <f ca="1">S0_*EXP((mu_-sigma_^2/2)*Dt_+sigma_*SQRT(Dt_)*_xlfn.NORM.INV(RAND(),0,1))</f>
        <v>105.302095692691</v>
      </c>
      <c r="J1965" s="25">
        <f ca="1">MAX(k_-I1965,0)*EXP(-rs_*T_)</f>
        <v>0</v>
      </c>
      <c r="K1965" s="25">
        <v>5.14796842424168</v>
      </c>
      <c r="L1965" s="25">
        <v>4.57796842424168</v>
      </c>
      <c r="M1965" s="28">
        <v>0</v>
      </c>
      <c r="N1965" s="28">
        <v>0</v>
      </c>
    </row>
    <row r="1966" spans="7:14">
      <c r="G1966" s="24">
        <v>1965</v>
      </c>
      <c r="H1966" s="25">
        <f>S0_</f>
        <v>100</v>
      </c>
      <c r="I1966" s="25">
        <f ca="1">S0_*EXP((mu_-sigma_^2/2)*Dt_+sigma_*SQRT(Dt_)*_xlfn.NORM.INV(RAND(),0,1))</f>
        <v>93.6377930089029</v>
      </c>
      <c r="J1966" s="25">
        <f ca="1">MAX(k_-I1966,0)*EXP(-rs_*T_)</f>
        <v>3.2644705846773</v>
      </c>
      <c r="K1966" s="25">
        <v>-6.17726321760089</v>
      </c>
      <c r="L1966" s="25">
        <v>-3.48279263292358</v>
      </c>
      <c r="M1966" s="28">
        <v>1</v>
      </c>
      <c r="N1966" s="28">
        <v>1</v>
      </c>
    </row>
    <row r="1967" spans="7:14">
      <c r="G1967" s="24">
        <v>1966</v>
      </c>
      <c r="H1967" s="25">
        <f>S0_</f>
        <v>100</v>
      </c>
      <c r="I1967" s="25">
        <f ca="1">S0_*EXP((mu_-sigma_^2/2)*Dt_+sigma_*SQRT(Dt_)*_xlfn.NORM.INV(RAND(),0,1))</f>
        <v>101.18061545235</v>
      </c>
      <c r="J1967" s="25">
        <f ca="1">MAX(k_-I1967,0)*EXP(-rs_*T_)</f>
        <v>0</v>
      </c>
      <c r="K1967" s="25">
        <v>1.14629599730666</v>
      </c>
      <c r="L1967" s="25">
        <v>0.576295997306662</v>
      </c>
      <c r="M1967" s="28">
        <v>0</v>
      </c>
      <c r="N1967" s="28">
        <v>0</v>
      </c>
    </row>
    <row r="1968" spans="7:14">
      <c r="G1968" s="24">
        <v>1967</v>
      </c>
      <c r="H1968" s="25">
        <f>S0_</f>
        <v>100</v>
      </c>
      <c r="I1968" s="25">
        <f ca="1">S0_*EXP((mu_-sigma_^2/2)*Dt_+sigma_*SQRT(Dt_)*_xlfn.NORM.INV(RAND(),0,1))</f>
        <v>111.369286243102</v>
      </c>
      <c r="J1968" s="25">
        <f ca="1">MAX(k_-I1968,0)*EXP(-rs_*T_)</f>
        <v>0</v>
      </c>
      <c r="K1968" s="25">
        <v>11.0387910701693</v>
      </c>
      <c r="L1968" s="25">
        <v>10.4687910701693</v>
      </c>
      <c r="M1968" s="28">
        <v>0</v>
      </c>
      <c r="N1968" s="28">
        <v>0</v>
      </c>
    </row>
    <row r="1969" spans="7:14">
      <c r="G1969" s="24">
        <v>1968</v>
      </c>
      <c r="H1969" s="25">
        <f>S0_</f>
        <v>100</v>
      </c>
      <c r="I1969" s="25">
        <f ca="1">S0_*EXP((mu_-sigma_^2/2)*Dt_+sigma_*SQRT(Dt_)*_xlfn.NORM.INV(RAND(),0,1))</f>
        <v>108.145155981217</v>
      </c>
      <c r="J1969" s="25">
        <f ca="1">MAX(k_-I1969,0)*EXP(-rs_*T_)</f>
        <v>0</v>
      </c>
      <c r="K1969" s="25">
        <v>7.90838344536698</v>
      </c>
      <c r="L1969" s="25">
        <v>7.33838344536698</v>
      </c>
      <c r="M1969" s="28">
        <v>0</v>
      </c>
      <c r="N1969" s="28">
        <v>0</v>
      </c>
    </row>
    <row r="1970" spans="7:14">
      <c r="G1970" s="24">
        <v>1969</v>
      </c>
      <c r="H1970" s="25">
        <f>S0_</f>
        <v>100</v>
      </c>
      <c r="I1970" s="25">
        <f ca="1">S0_*EXP((mu_-sigma_^2/2)*Dt_+sigma_*SQRT(Dt_)*_xlfn.NORM.INV(RAND(),0,1))</f>
        <v>106.93713263664</v>
      </c>
      <c r="J1970" s="25">
        <f ca="1">MAX(k_-I1970,0)*EXP(-rs_*T_)</f>
        <v>0</v>
      </c>
      <c r="K1970" s="25">
        <v>6.73547627920592</v>
      </c>
      <c r="L1970" s="25">
        <v>6.16547627920592</v>
      </c>
      <c r="M1970" s="28">
        <v>0</v>
      </c>
      <c r="N1970" s="28">
        <v>0</v>
      </c>
    </row>
    <row r="1971" spans="7:14">
      <c r="G1971" s="24">
        <v>1970</v>
      </c>
      <c r="H1971" s="25">
        <f>S0_</f>
        <v>100</v>
      </c>
      <c r="I1971" s="25">
        <f ca="1">S0_*EXP((mu_-sigma_^2/2)*Dt_+sigma_*SQRT(Dt_)*_xlfn.NORM.INV(RAND(),0,1))</f>
        <v>100.770354061204</v>
      </c>
      <c r="J1971" s="25">
        <f ca="1">MAX(k_-I1971,0)*EXP(-rs_*T_)</f>
        <v>0</v>
      </c>
      <c r="K1971" s="25">
        <v>0.747960544738985</v>
      </c>
      <c r="L1971" s="25">
        <v>0.177960544738985</v>
      </c>
      <c r="M1971" s="28">
        <v>0</v>
      </c>
      <c r="N1971" s="28">
        <v>0</v>
      </c>
    </row>
    <row r="1972" spans="7:14">
      <c r="G1972" s="24">
        <v>1971</v>
      </c>
      <c r="H1972" s="25">
        <f>S0_</f>
        <v>100</v>
      </c>
      <c r="I1972" s="25">
        <f ca="1">S0_*EXP((mu_-sigma_^2/2)*Dt_+sigma_*SQRT(Dt_)*_xlfn.NORM.INV(RAND(),0,1))</f>
        <v>104.06382562144</v>
      </c>
      <c r="J1972" s="25">
        <f ca="1">MAX(k_-I1972,0)*EXP(-rs_*T_)</f>
        <v>0</v>
      </c>
      <c r="K1972" s="25">
        <v>3.94569377720539</v>
      </c>
      <c r="L1972" s="25">
        <v>3.37569377720539</v>
      </c>
      <c r="M1972" s="28">
        <v>0</v>
      </c>
      <c r="N1972" s="28">
        <v>0</v>
      </c>
    </row>
    <row r="1973" spans="7:14">
      <c r="G1973" s="24">
        <v>1972</v>
      </c>
      <c r="H1973" s="25">
        <f>S0_</f>
        <v>100</v>
      </c>
      <c r="I1973" s="25">
        <f ca="1">S0_*EXP((mu_-sigma_^2/2)*Dt_+sigma_*SQRT(Dt_)*_xlfn.NORM.INV(RAND(),0,1))</f>
        <v>102.62231366136</v>
      </c>
      <c r="J1973" s="25">
        <f ca="1">MAX(k_-I1973,0)*EXP(-rs_*T_)</f>
        <v>0</v>
      </c>
      <c r="K1973" s="25">
        <v>2.54608530467444</v>
      </c>
      <c r="L1973" s="25">
        <v>1.97608530467444</v>
      </c>
      <c r="M1973" s="28">
        <v>0</v>
      </c>
      <c r="N1973" s="28">
        <v>0</v>
      </c>
    </row>
    <row r="1974" spans="7:14">
      <c r="G1974" s="24">
        <v>1973</v>
      </c>
      <c r="H1974" s="25">
        <f>S0_</f>
        <v>100</v>
      </c>
      <c r="I1974" s="25">
        <f ca="1">S0_*EXP((mu_-sigma_^2/2)*Dt_+sigma_*SQRT(Dt_)*_xlfn.NORM.INV(RAND(),0,1))</f>
        <v>110.077800182158</v>
      </c>
      <c r="J1974" s="25">
        <f ca="1">MAX(k_-I1974,0)*EXP(-rs_*T_)</f>
        <v>0</v>
      </c>
      <c r="K1974" s="25">
        <v>9.78484737555487</v>
      </c>
      <c r="L1974" s="25">
        <v>9.21484737555487</v>
      </c>
      <c r="M1974" s="28">
        <v>0</v>
      </c>
      <c r="N1974" s="28">
        <v>0</v>
      </c>
    </row>
    <row r="1975" spans="7:14">
      <c r="G1975" s="24">
        <v>1974</v>
      </c>
      <c r="H1975" s="25">
        <f>S0_</f>
        <v>100</v>
      </c>
      <c r="I1975" s="25">
        <f ca="1">S0_*EXP((mu_-sigma_^2/2)*Dt_+sigma_*SQRT(Dt_)*_xlfn.NORM.INV(RAND(),0,1))</f>
        <v>108.451829252159</v>
      </c>
      <c r="J1975" s="25">
        <f ca="1">MAX(k_-I1975,0)*EXP(-rs_*T_)</f>
        <v>0</v>
      </c>
      <c r="K1975" s="25">
        <v>8.20614199347274</v>
      </c>
      <c r="L1975" s="25">
        <v>7.63614199347274</v>
      </c>
      <c r="M1975" s="28">
        <v>0</v>
      </c>
      <c r="N1975" s="28">
        <v>0</v>
      </c>
    </row>
    <row r="1976" spans="7:14">
      <c r="G1976" s="24">
        <v>1975</v>
      </c>
      <c r="H1976" s="25">
        <f>S0_</f>
        <v>100</v>
      </c>
      <c r="I1976" s="25">
        <f ca="1">S0_*EXP((mu_-sigma_^2/2)*Dt_+sigma_*SQRT(Dt_)*_xlfn.NORM.INV(RAND(),0,1))</f>
        <v>121.018798294132</v>
      </c>
      <c r="J1976" s="25">
        <f ca="1">MAX(k_-I1976,0)*EXP(-rs_*T_)</f>
        <v>0</v>
      </c>
      <c r="K1976" s="25">
        <v>20.4078002746846</v>
      </c>
      <c r="L1976" s="25">
        <v>19.8378002746846</v>
      </c>
      <c r="M1976" s="28">
        <v>0</v>
      </c>
      <c r="N1976" s="28">
        <v>0</v>
      </c>
    </row>
    <row r="1977" spans="7:14">
      <c r="G1977" s="24">
        <v>1976</v>
      </c>
      <c r="H1977" s="25">
        <f>S0_</f>
        <v>100</v>
      </c>
      <c r="I1977" s="25">
        <f ca="1">S0_*EXP((mu_-sigma_^2/2)*Dt_+sigma_*SQRT(Dt_)*_xlfn.NORM.INV(RAND(),0,1))</f>
        <v>97.3484851641893</v>
      </c>
      <c r="J1977" s="25">
        <f ca="1">MAX(k_-I1977,0)*EXP(-rs_*T_)</f>
        <v>0</v>
      </c>
      <c r="K1977" s="25">
        <v>-2.57443762661234</v>
      </c>
      <c r="L1977" s="25">
        <v>-3.14443762661234</v>
      </c>
      <c r="M1977" s="28">
        <v>1</v>
      </c>
      <c r="N1977" s="28">
        <v>1</v>
      </c>
    </row>
    <row r="1978" spans="7:14">
      <c r="G1978" s="24">
        <v>1977</v>
      </c>
      <c r="H1978" s="25">
        <f>S0_</f>
        <v>100</v>
      </c>
      <c r="I1978" s="25">
        <f ca="1">S0_*EXP((mu_-sigma_^2/2)*Dt_+sigma_*SQRT(Dt_)*_xlfn.NORM.INV(RAND(),0,1))</f>
        <v>120.213060472637</v>
      </c>
      <c r="J1978" s="25">
        <f ca="1">MAX(k_-I1978,0)*EXP(-rs_*T_)</f>
        <v>0</v>
      </c>
      <c r="K1978" s="25">
        <v>19.6254845445119</v>
      </c>
      <c r="L1978" s="25">
        <v>19.0554845445119</v>
      </c>
      <c r="M1978" s="28">
        <v>0</v>
      </c>
      <c r="N1978" s="28">
        <v>0</v>
      </c>
    </row>
    <row r="1979" spans="7:14">
      <c r="G1979" s="24">
        <v>1978</v>
      </c>
      <c r="H1979" s="25">
        <f>S0_</f>
        <v>100</v>
      </c>
      <c r="I1979" s="25">
        <f ca="1">S0_*EXP((mu_-sigma_^2/2)*Dt_+sigma_*SQRT(Dt_)*_xlfn.NORM.INV(RAND(),0,1))</f>
        <v>97.063917402284</v>
      </c>
      <c r="J1979" s="25">
        <f ca="1">MAX(k_-I1979,0)*EXP(-rs_*T_)</f>
        <v>0</v>
      </c>
      <c r="K1979" s="25">
        <v>-2.85073325342739</v>
      </c>
      <c r="L1979" s="25">
        <v>-3.42073325342739</v>
      </c>
      <c r="M1979" s="28">
        <v>1</v>
      </c>
      <c r="N1979" s="28">
        <v>1</v>
      </c>
    </row>
    <row r="1980" spans="7:14">
      <c r="G1980" s="24">
        <v>1979</v>
      </c>
      <c r="H1980" s="25">
        <f>S0_</f>
        <v>100</v>
      </c>
      <c r="I1980" s="25">
        <f ca="1">S0_*EXP((mu_-sigma_^2/2)*Dt_+sigma_*SQRT(Dt_)*_xlfn.NORM.INV(RAND(),0,1))</f>
        <v>107.438982721242</v>
      </c>
      <c r="J1980" s="25">
        <f ca="1">MAX(k_-I1980,0)*EXP(-rs_*T_)</f>
        <v>0</v>
      </c>
      <c r="K1980" s="25">
        <v>7.2227380222928</v>
      </c>
      <c r="L1980" s="25">
        <v>6.6527380222928</v>
      </c>
      <c r="M1980" s="28">
        <v>0</v>
      </c>
      <c r="N1980" s="28">
        <v>0</v>
      </c>
    </row>
    <row r="1981" spans="7:14">
      <c r="G1981" s="24">
        <v>1980</v>
      </c>
      <c r="H1981" s="25">
        <f>S0_</f>
        <v>100</v>
      </c>
      <c r="I1981" s="25">
        <f ca="1">S0_*EXP((mu_-sigma_^2/2)*Dt_+sigma_*SQRT(Dt_)*_xlfn.NORM.INV(RAND(),0,1))</f>
        <v>99.4186360256623</v>
      </c>
      <c r="J1981" s="25">
        <f ca="1">MAX(k_-I1981,0)*EXP(-rs_*T_)</f>
        <v>0</v>
      </c>
      <c r="K1981" s="25">
        <v>-0.564464233832681</v>
      </c>
      <c r="L1981" s="25">
        <v>-1.13446423383268</v>
      </c>
      <c r="M1981" s="28">
        <v>1</v>
      </c>
      <c r="N1981" s="28">
        <v>1</v>
      </c>
    </row>
    <row r="1982" spans="7:14">
      <c r="G1982" s="24">
        <v>1981</v>
      </c>
      <c r="H1982" s="25">
        <f>S0_</f>
        <v>100</v>
      </c>
      <c r="I1982" s="25">
        <f ca="1">S0_*EXP((mu_-sigma_^2/2)*Dt_+sigma_*SQRT(Dt_)*_xlfn.NORM.INV(RAND(),0,1))</f>
        <v>112.026139092316</v>
      </c>
      <c r="J1982" s="25">
        <f ca="1">MAX(k_-I1982,0)*EXP(-rs_*T_)</f>
        <v>0</v>
      </c>
      <c r="K1982" s="25">
        <v>11.6765497835372</v>
      </c>
      <c r="L1982" s="25">
        <v>11.1065497835372</v>
      </c>
      <c r="M1982" s="28">
        <v>0</v>
      </c>
      <c r="N1982" s="28">
        <v>0</v>
      </c>
    </row>
    <row r="1983" spans="7:14">
      <c r="G1983" s="24">
        <v>1982</v>
      </c>
      <c r="H1983" s="25">
        <f>S0_</f>
        <v>100</v>
      </c>
      <c r="I1983" s="25">
        <f ca="1">S0_*EXP((mu_-sigma_^2/2)*Dt_+sigma_*SQRT(Dt_)*_xlfn.NORM.INV(RAND(),0,1))</f>
        <v>101.12197065868</v>
      </c>
      <c r="J1983" s="25">
        <f ca="1">MAX(k_-I1983,0)*EXP(-rs_*T_)</f>
        <v>0</v>
      </c>
      <c r="K1983" s="25">
        <v>1.08935595632006</v>
      </c>
      <c r="L1983" s="25">
        <v>0.519355956320061</v>
      </c>
      <c r="M1983" s="28">
        <v>0</v>
      </c>
      <c r="N1983" s="28">
        <v>0</v>
      </c>
    </row>
    <row r="1984" spans="7:14">
      <c r="G1984" s="24">
        <v>1983</v>
      </c>
      <c r="H1984" s="25">
        <f>S0_</f>
        <v>100</v>
      </c>
      <c r="I1984" s="25">
        <f ca="1">S0_*EXP((mu_-sigma_^2/2)*Dt_+sigma_*SQRT(Dt_)*_xlfn.NORM.INV(RAND(),0,1))</f>
        <v>121.736877718298</v>
      </c>
      <c r="J1984" s="25">
        <f ca="1">MAX(k_-I1984,0)*EXP(-rs_*T_)</f>
        <v>0</v>
      </c>
      <c r="K1984" s="25">
        <v>21.1050057602065</v>
      </c>
      <c r="L1984" s="25">
        <v>20.5350057602065</v>
      </c>
      <c r="M1984" s="28">
        <v>0</v>
      </c>
      <c r="N1984" s="28">
        <v>0</v>
      </c>
    </row>
    <row r="1985" spans="7:14">
      <c r="G1985" s="24">
        <v>1984</v>
      </c>
      <c r="H1985" s="25">
        <f>S0_</f>
        <v>100</v>
      </c>
      <c r="I1985" s="25">
        <f ca="1">S0_*EXP((mu_-sigma_^2/2)*Dt_+sigma_*SQRT(Dt_)*_xlfn.NORM.INV(RAND(),0,1))</f>
        <v>101.676977938348</v>
      </c>
      <c r="J1985" s="25">
        <f ca="1">MAX(k_-I1985,0)*EXP(-rs_*T_)</f>
        <v>0</v>
      </c>
      <c r="K1985" s="25">
        <v>1.62822966146545</v>
      </c>
      <c r="L1985" s="25">
        <v>1.05822966146545</v>
      </c>
      <c r="M1985" s="28">
        <v>0</v>
      </c>
      <c r="N1985" s="28">
        <v>0</v>
      </c>
    </row>
    <row r="1986" spans="7:14">
      <c r="G1986" s="24">
        <v>1985</v>
      </c>
      <c r="H1986" s="25">
        <f>S0_</f>
        <v>100</v>
      </c>
      <c r="I1986" s="25">
        <f ca="1">S0_*EXP((mu_-sigma_^2/2)*Dt_+sigma_*SQRT(Dt_)*_xlfn.NORM.INV(RAND(),0,1))</f>
        <v>98.9367910705273</v>
      </c>
      <c r="J1986" s="25">
        <f ca="1">MAX(k_-I1986,0)*EXP(-rs_*T_)</f>
        <v>0</v>
      </c>
      <c r="K1986" s="25">
        <v>-1.0323023790089</v>
      </c>
      <c r="L1986" s="25">
        <v>-1.6023023790089</v>
      </c>
      <c r="M1986" s="28">
        <v>1</v>
      </c>
      <c r="N1986" s="28">
        <v>1</v>
      </c>
    </row>
    <row r="1987" spans="7:14">
      <c r="G1987" s="24">
        <v>1986</v>
      </c>
      <c r="H1987" s="25">
        <f>S0_</f>
        <v>100</v>
      </c>
      <c r="I1987" s="25">
        <f ca="1">S0_*EXP((mu_-sigma_^2/2)*Dt_+sigma_*SQRT(Dt_)*_xlfn.NORM.INV(RAND(),0,1))</f>
        <v>100.380583944323</v>
      </c>
      <c r="J1987" s="25">
        <f ca="1">MAX(k_-I1987,0)*EXP(-rs_*T_)</f>
        <v>0</v>
      </c>
      <c r="K1987" s="25">
        <v>0.369520703077961</v>
      </c>
      <c r="L1987" s="25">
        <v>-0.200479296922039</v>
      </c>
      <c r="M1987" s="28">
        <v>0</v>
      </c>
      <c r="N1987" s="28">
        <v>1</v>
      </c>
    </row>
    <row r="1988" spans="7:14">
      <c r="G1988" s="24">
        <v>1987</v>
      </c>
      <c r="H1988" s="25">
        <f>S0_</f>
        <v>100</v>
      </c>
      <c r="I1988" s="25">
        <f ca="1">S0_*EXP((mu_-sigma_^2/2)*Dt_+sigma_*SQRT(Dt_)*_xlfn.NORM.INV(RAND(),0,1))</f>
        <v>116.397250675301</v>
      </c>
      <c r="J1988" s="25">
        <f ca="1">MAX(k_-I1988,0)*EXP(-rs_*T_)</f>
        <v>0</v>
      </c>
      <c r="K1988" s="25">
        <v>15.9205969890723</v>
      </c>
      <c r="L1988" s="25">
        <v>15.3505969890723</v>
      </c>
      <c r="M1988" s="28">
        <v>0</v>
      </c>
      <c r="N1988" s="28">
        <v>0</v>
      </c>
    </row>
    <row r="1989" spans="7:14">
      <c r="G1989" s="24">
        <v>1988</v>
      </c>
      <c r="H1989" s="25">
        <f>S0_</f>
        <v>100</v>
      </c>
      <c r="I1989" s="25">
        <f ca="1">S0_*EXP((mu_-sigma_^2/2)*Dt_+sigma_*SQRT(Dt_)*_xlfn.NORM.INV(RAND(),0,1))</f>
        <v>118.706501529564</v>
      </c>
      <c r="J1989" s="25">
        <f ca="1">MAX(k_-I1989,0)*EXP(-rs_*T_)</f>
        <v>0</v>
      </c>
      <c r="K1989" s="25">
        <v>18.162719947696</v>
      </c>
      <c r="L1989" s="25">
        <v>17.592719947696</v>
      </c>
      <c r="M1989" s="28">
        <v>0</v>
      </c>
      <c r="N1989" s="28">
        <v>0</v>
      </c>
    </row>
    <row r="1990" spans="7:14">
      <c r="G1990" s="24">
        <v>1989</v>
      </c>
      <c r="H1990" s="25">
        <f>S0_</f>
        <v>100</v>
      </c>
      <c r="I1990" s="25">
        <f ca="1">S0_*EXP((mu_-sigma_^2/2)*Dt_+sigma_*SQRT(Dt_)*_xlfn.NORM.INV(RAND(),0,1))</f>
        <v>117.905007234593</v>
      </c>
      <c r="J1990" s="25">
        <f ca="1">MAX(k_-I1990,0)*EXP(-rs_*T_)</f>
        <v>0</v>
      </c>
      <c r="K1990" s="25">
        <v>17.384524388455</v>
      </c>
      <c r="L1990" s="25">
        <v>16.814524388455</v>
      </c>
      <c r="M1990" s="28">
        <v>0</v>
      </c>
      <c r="N1990" s="28">
        <v>0</v>
      </c>
    </row>
    <row r="1991" spans="7:14">
      <c r="G1991" s="24">
        <v>1990</v>
      </c>
      <c r="H1991" s="25">
        <f>S0_</f>
        <v>100</v>
      </c>
      <c r="I1991" s="25">
        <f ca="1">S0_*EXP((mu_-sigma_^2/2)*Dt_+sigma_*SQRT(Dt_)*_xlfn.NORM.INV(RAND(),0,1))</f>
        <v>107.083493568316</v>
      </c>
      <c r="J1991" s="25">
        <f ca="1">MAX(k_-I1991,0)*EXP(-rs_*T_)</f>
        <v>0</v>
      </c>
      <c r="K1991" s="25">
        <v>6.87758262705052</v>
      </c>
      <c r="L1991" s="25">
        <v>6.30758262705052</v>
      </c>
      <c r="M1991" s="28">
        <v>0</v>
      </c>
      <c r="N1991" s="28">
        <v>0</v>
      </c>
    </row>
    <row r="1992" spans="7:14">
      <c r="G1992" s="24">
        <v>1991</v>
      </c>
      <c r="H1992" s="25">
        <f>S0_</f>
        <v>100</v>
      </c>
      <c r="I1992" s="25">
        <f ca="1">S0_*EXP((mu_-sigma_^2/2)*Dt_+sigma_*SQRT(Dt_)*_xlfn.NORM.INV(RAND(),0,1))</f>
        <v>105.768284286457</v>
      </c>
      <c r="J1992" s="25">
        <f ca="1">MAX(k_-I1992,0)*EXP(-rs_*T_)</f>
        <v>0</v>
      </c>
      <c r="K1992" s="25">
        <v>5.60060532473369</v>
      </c>
      <c r="L1992" s="25">
        <v>5.03060532473369</v>
      </c>
      <c r="M1992" s="28">
        <v>0</v>
      </c>
      <c r="N1992" s="28">
        <v>0</v>
      </c>
    </row>
    <row r="1993" spans="7:14">
      <c r="G1993" s="24">
        <v>1992</v>
      </c>
      <c r="H1993" s="25">
        <f>S0_</f>
        <v>100</v>
      </c>
      <c r="I1993" s="25">
        <f ca="1">S0_*EXP((mu_-sigma_^2/2)*Dt_+sigma_*SQRT(Dt_)*_xlfn.NORM.INV(RAND(),0,1))</f>
        <v>98.607309459899</v>
      </c>
      <c r="J1993" s="25">
        <f ca="1">MAX(k_-I1993,0)*EXP(-rs_*T_)</f>
        <v>0</v>
      </c>
      <c r="K1993" s="25">
        <v>-1.35220624838287</v>
      </c>
      <c r="L1993" s="25">
        <v>-1.92220624838287</v>
      </c>
      <c r="M1993" s="28">
        <v>1</v>
      </c>
      <c r="N1993" s="28">
        <v>1</v>
      </c>
    </row>
    <row r="1994" spans="7:14">
      <c r="G1994" s="24">
        <v>1993</v>
      </c>
      <c r="H1994" s="25">
        <f>S0_</f>
        <v>100</v>
      </c>
      <c r="I1994" s="25">
        <f ca="1">S0_*EXP((mu_-sigma_^2/2)*Dt_+sigma_*SQRT(Dt_)*_xlfn.NORM.INV(RAND(),0,1))</f>
        <v>99.4240697797472</v>
      </c>
      <c r="J1994" s="25">
        <f ca="1">MAX(k_-I1994,0)*EXP(-rs_*T_)</f>
        <v>0</v>
      </c>
      <c r="K1994" s="25">
        <v>-0.559188434210166</v>
      </c>
      <c r="L1994" s="25">
        <v>-1.12918843421017</v>
      </c>
      <c r="M1994" s="28">
        <v>1</v>
      </c>
      <c r="N1994" s="28">
        <v>1</v>
      </c>
    </row>
    <row r="1995" spans="7:14">
      <c r="G1995" s="24">
        <v>1994</v>
      </c>
      <c r="H1995" s="25">
        <f>S0_</f>
        <v>100</v>
      </c>
      <c r="I1995" s="25">
        <f ca="1">S0_*EXP((mu_-sigma_^2/2)*Dt_+sigma_*SQRT(Dt_)*_xlfn.NORM.INV(RAND(),0,1))</f>
        <v>112.684441357464</v>
      </c>
      <c r="J1995" s="25">
        <f ca="1">MAX(k_-I1995,0)*EXP(-rs_*T_)</f>
        <v>0</v>
      </c>
      <c r="K1995" s="25">
        <v>12.3157157795903</v>
      </c>
      <c r="L1995" s="25">
        <v>11.7457157795903</v>
      </c>
      <c r="M1995" s="28">
        <v>0</v>
      </c>
      <c r="N1995" s="28">
        <v>0</v>
      </c>
    </row>
    <row r="1996" spans="7:14">
      <c r="G1996" s="24">
        <v>1995</v>
      </c>
      <c r="H1996" s="25">
        <f>S0_</f>
        <v>100</v>
      </c>
      <c r="I1996" s="25">
        <f ca="1">S0_*EXP((mu_-sigma_^2/2)*Dt_+sigma_*SQRT(Dt_)*_xlfn.NORM.INV(RAND(),0,1))</f>
        <v>102.477623454256</v>
      </c>
      <c r="J1996" s="25">
        <f ca="1">MAX(k_-I1996,0)*EXP(-rs_*T_)</f>
        <v>0</v>
      </c>
      <c r="K1996" s="25">
        <v>2.40560111490498</v>
      </c>
      <c r="L1996" s="25">
        <v>1.83560111490498</v>
      </c>
      <c r="M1996" s="28">
        <v>0</v>
      </c>
      <c r="N1996" s="28">
        <v>0</v>
      </c>
    </row>
    <row r="1997" spans="7:14">
      <c r="G1997" s="24">
        <v>1996</v>
      </c>
      <c r="H1997" s="25">
        <f>S0_</f>
        <v>100</v>
      </c>
      <c r="I1997" s="25">
        <f ca="1">S0_*EXP((mu_-sigma_^2/2)*Dt_+sigma_*SQRT(Dt_)*_xlfn.NORM.INV(RAND(),0,1))</f>
        <v>109.24605982448</v>
      </c>
      <c r="J1997" s="25">
        <f ca="1">MAX(k_-I1997,0)*EXP(-rs_*T_)</f>
        <v>0</v>
      </c>
      <c r="K1997" s="25">
        <v>8.97728498010502</v>
      </c>
      <c r="L1997" s="25">
        <v>8.40728498010502</v>
      </c>
      <c r="M1997" s="28">
        <v>0</v>
      </c>
      <c r="N1997" s="28">
        <v>0</v>
      </c>
    </row>
    <row r="1998" spans="7:14">
      <c r="G1998" s="24">
        <v>1997</v>
      </c>
      <c r="H1998" s="25">
        <f>S0_</f>
        <v>100</v>
      </c>
      <c r="I1998" s="25">
        <f ca="1">S0_*EXP((mu_-sigma_^2/2)*Dt_+sigma_*SQRT(Dt_)*_xlfn.NORM.INV(RAND(),0,1))</f>
        <v>90.5524512031453</v>
      </c>
      <c r="J1998" s="25">
        <f ca="1">MAX(k_-I1998,0)*EXP(-rs_*T_)</f>
        <v>6.26012421196458</v>
      </c>
      <c r="K1998" s="25">
        <v>-9.17291684488816</v>
      </c>
      <c r="L1998" s="25">
        <v>-3.48279263292358</v>
      </c>
      <c r="M1998" s="28">
        <v>1</v>
      </c>
      <c r="N1998" s="28">
        <v>1</v>
      </c>
    </row>
    <row r="1999" spans="7:14">
      <c r="G1999" s="24">
        <v>1998</v>
      </c>
      <c r="H1999" s="25">
        <f>S0_</f>
        <v>100</v>
      </c>
      <c r="I1999" s="25">
        <f ca="1">S0_*EXP((mu_-sigma_^2/2)*Dt_+sigma_*SQRT(Dt_)*_xlfn.NORM.INV(RAND(),0,1))</f>
        <v>104.379136578807</v>
      </c>
      <c r="J1999" s="25">
        <f ca="1">MAX(k_-I1999,0)*EXP(-rs_*T_)</f>
        <v>0</v>
      </c>
      <c r="K1999" s="25">
        <v>4.25183892177192</v>
      </c>
      <c r="L1999" s="25">
        <v>3.68183892177192</v>
      </c>
      <c r="M1999" s="28">
        <v>0</v>
      </c>
      <c r="N1999" s="28">
        <v>0</v>
      </c>
    </row>
    <row r="2000" spans="7:14">
      <c r="G2000" s="24">
        <v>1999</v>
      </c>
      <c r="H2000" s="25">
        <f>S0_</f>
        <v>100</v>
      </c>
      <c r="I2000" s="25">
        <f ca="1">S0_*EXP((mu_-sigma_^2/2)*Dt_+sigma_*SQRT(Dt_)*_xlfn.NORM.INV(RAND(),0,1))</f>
        <v>112.477503758847</v>
      </c>
      <c r="J2000" s="25">
        <f ca="1">MAX(k_-I2000,0)*EXP(-rs_*T_)</f>
        <v>0</v>
      </c>
      <c r="K2000" s="25">
        <v>12.1147936753484</v>
      </c>
      <c r="L2000" s="25">
        <v>11.5447936753484</v>
      </c>
      <c r="M2000" s="28">
        <v>0</v>
      </c>
      <c r="N2000" s="28">
        <v>0</v>
      </c>
    </row>
    <row r="2001" spans="7:14">
      <c r="G2001" s="24">
        <v>2000</v>
      </c>
      <c r="H2001" s="25">
        <f>S0_</f>
        <v>100</v>
      </c>
      <c r="I2001" s="25">
        <f ca="1">S0_*EXP((mu_-sigma_^2/2)*Dt_+sigma_*SQRT(Dt_)*_xlfn.NORM.INV(RAND(),0,1))</f>
        <v>117.169249631011</v>
      </c>
      <c r="J2001" s="25">
        <f ca="1">MAX(k_-I2001,0)*EXP(-rs_*T_)</f>
        <v>0</v>
      </c>
      <c r="K2001" s="25">
        <v>16.6701546126786</v>
      </c>
      <c r="L2001" s="25">
        <v>16.1001546126786</v>
      </c>
      <c r="M2001" s="28">
        <v>0</v>
      </c>
      <c r="N2001" s="28">
        <v>0</v>
      </c>
    </row>
  </sheetData>
  <mergeCells count="3">
    <mergeCell ref="P1:U1"/>
    <mergeCell ref="V1:AA1"/>
    <mergeCell ref="AB1:AG1"/>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workbookViewId="0">
      <selection activeCell="D40" sqref="D40"/>
    </sheetView>
  </sheetViews>
  <sheetFormatPr defaultColWidth="9" defaultRowHeight="17.6"/>
  <cols>
    <col min="1" max="1" width="26" customWidth="1"/>
    <col min="2" max="3" width="18" customWidth="1"/>
    <col min="4" max="4" width="22" customWidth="1"/>
    <col min="5" max="5" width="3" customWidth="1"/>
    <col min="6" max="10" width="15" customWidth="1"/>
  </cols>
  <sheetData>
    <row r="1" ht="26" spans="1:10">
      <c r="A1" s="1" t="s">
        <v>129</v>
      </c>
      <c r="B1" s="1"/>
      <c r="C1" s="1"/>
      <c r="D1" s="1"/>
      <c r="E1" s="1"/>
      <c r="F1" s="1"/>
      <c r="G1" s="1"/>
      <c r="H1" s="1"/>
      <c r="I1" s="1"/>
      <c r="J1" s="1"/>
    </row>
    <row r="2" spans="1:10">
      <c r="A2" s="2"/>
      <c r="B2" s="2"/>
      <c r="C2" s="2"/>
      <c r="D2" s="2"/>
      <c r="E2" s="2"/>
      <c r="F2" s="2"/>
      <c r="G2" s="2"/>
      <c r="H2" s="2"/>
      <c r="I2" s="2"/>
      <c r="J2" s="2"/>
    </row>
    <row r="3" spans="1:10">
      <c r="A3" s="4" t="s">
        <v>130</v>
      </c>
      <c r="B3" s="4"/>
      <c r="C3" s="4"/>
      <c r="D3" s="4"/>
      <c r="E3" s="4"/>
      <c r="F3" s="4"/>
      <c r="G3" s="4"/>
      <c r="H3" s="4"/>
      <c r="I3" s="4"/>
      <c r="J3" s="4"/>
    </row>
    <row r="4" spans="1:10">
      <c r="A4" s="2"/>
      <c r="B4" s="2"/>
      <c r="C4" s="2"/>
      <c r="D4" s="2"/>
      <c r="E4" s="2"/>
      <c r="F4" s="2"/>
      <c r="G4" s="2"/>
      <c r="H4" s="2"/>
      <c r="I4" s="2"/>
      <c r="J4" s="2"/>
    </row>
    <row r="5" spans="1:10">
      <c r="A5" s="9" t="s">
        <v>131</v>
      </c>
      <c r="B5" s="9" t="s">
        <v>132</v>
      </c>
      <c r="C5" s="9" t="s">
        <v>133</v>
      </c>
      <c r="D5" s="9" t="s">
        <v>134</v>
      </c>
      <c r="E5" s="2"/>
      <c r="F5" s="9" t="s">
        <v>135</v>
      </c>
      <c r="G5" s="9"/>
      <c r="H5" s="9"/>
      <c r="I5" s="9"/>
      <c r="J5" s="9"/>
    </row>
    <row r="6" spans="1:10">
      <c r="A6" s="2" t="s">
        <v>136</v>
      </c>
      <c r="B6" s="5">
        <f>Pricing_Asian_Options!AJ2</f>
        <v>0.46508544967924</v>
      </c>
      <c r="C6" s="5">
        <f>Pricing_Asian_Options!AJ3</f>
        <v>0.371627613426963</v>
      </c>
      <c r="D6" s="5">
        <f>Pricing_Asian_Options!AJ4</f>
        <v>0.558543285931517</v>
      </c>
      <c r="E6" s="2"/>
      <c r="F6" s="3" t="s">
        <v>137</v>
      </c>
      <c r="G6" s="3"/>
      <c r="H6" s="3"/>
      <c r="I6" s="3"/>
      <c r="J6" s="3"/>
    </row>
    <row r="7" spans="1:10">
      <c r="A7" s="2" t="s">
        <v>138</v>
      </c>
      <c r="B7" s="5">
        <f>Pricing_Asian_Options!AJ6</f>
        <v>7.90934015967068</v>
      </c>
      <c r="C7" s="5">
        <f>Pricing_Asian_Options!AJ7</f>
        <v>7.50885273145829</v>
      </c>
      <c r="D7" s="5">
        <f>Pricing_Asian_Options!AJ8</f>
        <v>8.30982758788307</v>
      </c>
      <c r="E7" s="2"/>
      <c r="F7" s="3"/>
      <c r="G7" s="3"/>
      <c r="H7" s="3"/>
      <c r="I7" s="3"/>
      <c r="J7" s="3"/>
    </row>
    <row r="8" spans="1:10">
      <c r="A8" s="2" t="s">
        <v>139</v>
      </c>
      <c r="B8" s="5">
        <f>Pricing_Asian_Options!AM2</f>
        <v>0.115</v>
      </c>
      <c r="C8" s="5">
        <f>Pricing_Asian_Options!AM3</f>
        <v>0.095216921113987</v>
      </c>
      <c r="D8" s="5">
        <f>Pricing_Asian_Options!AM4</f>
        <v>0.134783078886013</v>
      </c>
      <c r="E8" s="2"/>
      <c r="F8" s="3"/>
      <c r="G8" s="3"/>
      <c r="H8" s="3"/>
      <c r="I8" s="3"/>
      <c r="J8" s="3"/>
    </row>
    <row r="9" spans="1:10">
      <c r="A9" s="2" t="s">
        <v>140</v>
      </c>
      <c r="B9" s="5">
        <f>Pricing_Asian_Options!AM6</f>
        <v>0.816</v>
      </c>
      <c r="C9" s="5">
        <f>Pricing_Asian_Options!AM7</f>
        <v>0.79197146361176</v>
      </c>
      <c r="D9" s="5">
        <f>Pricing_Asian_Options!AM8</f>
        <v>0.84002853638824</v>
      </c>
      <c r="E9" s="2"/>
      <c r="F9" s="3"/>
      <c r="G9" s="3"/>
      <c r="H9" s="3"/>
      <c r="I9" s="3"/>
      <c r="J9" s="3"/>
    </row>
    <row r="10" spans="1:10">
      <c r="A10" s="2" t="s">
        <v>141</v>
      </c>
      <c r="B10" s="5">
        <f>Pricing_Asian_Options!AE3</f>
        <v>0</v>
      </c>
      <c r="C10" s="5" t="s">
        <v>7</v>
      </c>
      <c r="D10" s="5" t="s">
        <v>7</v>
      </c>
      <c r="E10" s="2"/>
      <c r="F10" s="3"/>
      <c r="G10" s="3"/>
      <c r="H10" s="3"/>
      <c r="I10" s="3"/>
      <c r="J10" s="3"/>
    </row>
    <row r="11" spans="1:10">
      <c r="A11" s="2" t="s">
        <v>142</v>
      </c>
      <c r="B11" s="5">
        <f>Pricing_Asian_Options!AE2</f>
        <v>13.7635392070792</v>
      </c>
      <c r="C11" s="5" t="s">
        <v>7</v>
      </c>
      <c r="D11" s="5" t="s">
        <v>7</v>
      </c>
      <c r="E11" s="2"/>
      <c r="F11" s="3"/>
      <c r="G11" s="3"/>
      <c r="H11" s="3"/>
      <c r="I11" s="3"/>
      <c r="J11" s="3"/>
    </row>
    <row r="12" spans="1:10">
      <c r="A12" s="2" t="s">
        <v>143</v>
      </c>
      <c r="B12" s="5">
        <f>Pricing_Asian_Options!AG2</f>
        <v>31.0749665677632</v>
      </c>
      <c r="C12" s="5" t="s">
        <v>7</v>
      </c>
      <c r="D12" s="5" t="s">
        <v>7</v>
      </c>
      <c r="E12" s="2"/>
      <c r="F12" s="3"/>
      <c r="G12" s="3"/>
      <c r="H12" s="3"/>
      <c r="I12" s="3"/>
      <c r="J12" s="3"/>
    </row>
    <row r="13" spans="1:10">
      <c r="A13" s="2"/>
      <c r="B13" s="2"/>
      <c r="C13" s="2"/>
      <c r="D13" s="2"/>
      <c r="E13" s="2"/>
      <c r="F13" s="2"/>
      <c r="G13" s="2"/>
      <c r="H13" s="2"/>
      <c r="I13" s="2"/>
      <c r="J13" s="2"/>
    </row>
    <row r="14" spans="1:10">
      <c r="A14" s="4" t="s">
        <v>144</v>
      </c>
      <c r="B14" s="4"/>
      <c r="C14" s="4"/>
      <c r="D14" s="4"/>
      <c r="E14" s="4"/>
      <c r="F14" s="4"/>
      <c r="G14" s="4"/>
      <c r="H14" s="4"/>
      <c r="I14" s="4"/>
      <c r="J14" s="4"/>
    </row>
    <row r="15" spans="1:10">
      <c r="A15" s="2"/>
      <c r="B15" s="2"/>
      <c r="C15" s="2"/>
      <c r="D15" s="2"/>
      <c r="E15" s="2"/>
      <c r="F15" s="2"/>
      <c r="G15" s="2"/>
      <c r="H15" s="2"/>
      <c r="I15" s="2"/>
      <c r="J15" s="2"/>
    </row>
    <row r="16" spans="1:10">
      <c r="A16" s="9" t="s">
        <v>131</v>
      </c>
      <c r="B16" s="9" t="s">
        <v>145</v>
      </c>
      <c r="C16" s="9" t="s">
        <v>146</v>
      </c>
      <c r="D16" s="9" t="s">
        <v>147</v>
      </c>
      <c r="E16" s="2"/>
      <c r="F16" s="9" t="s">
        <v>135</v>
      </c>
      <c r="G16" s="9"/>
      <c r="H16" s="9"/>
      <c r="I16" s="9"/>
      <c r="J16" s="9"/>
    </row>
    <row r="17" spans="1:10">
      <c r="A17" s="2" t="s">
        <v>148</v>
      </c>
      <c r="B17" s="7">
        <f ca="1">Hedging!AC2</f>
        <v>3.82246301647926</v>
      </c>
      <c r="C17" s="7">
        <f ca="1">Hedging!AE2</f>
        <v>4.20168080529216</v>
      </c>
      <c r="D17" s="2" t="s">
        <v>149</v>
      </c>
      <c r="E17" s="2"/>
      <c r="F17" s="3" t="s">
        <v>150</v>
      </c>
      <c r="G17" s="3"/>
      <c r="H17" s="3"/>
      <c r="I17" s="3"/>
      <c r="J17" s="3"/>
    </row>
    <row r="18" spans="1:10">
      <c r="A18" s="2" t="s">
        <v>151</v>
      </c>
      <c r="B18" s="7">
        <f ca="1">Hedging!AC3</f>
        <v>72.2395085666734</v>
      </c>
      <c r="C18" s="7">
        <f ca="1">Hedging!AE3</f>
        <v>52.008801715722</v>
      </c>
      <c r="D18" s="2" t="s">
        <v>152</v>
      </c>
      <c r="E18" s="2"/>
      <c r="F18" s="3"/>
      <c r="G18" s="3"/>
      <c r="H18" s="3"/>
      <c r="I18" s="3"/>
      <c r="J18" s="3"/>
    </row>
    <row r="19" spans="1:10">
      <c r="A19" s="2" t="s">
        <v>153</v>
      </c>
      <c r="B19" s="7">
        <f ca="1">Hedging!AC4</f>
        <v>0.34</v>
      </c>
      <c r="C19" s="7">
        <f ca="1">Hedging!AE4</f>
        <v>0.363</v>
      </c>
      <c r="D19" s="2" t="s">
        <v>154</v>
      </c>
      <c r="E19" s="2"/>
      <c r="F19" s="3"/>
      <c r="G19" s="3"/>
      <c r="H19" s="3"/>
      <c r="I19" s="3"/>
      <c r="J19" s="3"/>
    </row>
    <row r="20" spans="1:10">
      <c r="A20" s="2" t="s">
        <v>155</v>
      </c>
      <c r="B20" s="7">
        <f ca="1">Hedging!AC7</f>
        <v>-18.2253598992345</v>
      </c>
      <c r="C20" s="7">
        <f ca="1">Hedging!AE7</f>
        <v>-3.48279263292358</v>
      </c>
      <c r="D20" s="2" t="s">
        <v>156</v>
      </c>
      <c r="E20" s="2"/>
      <c r="F20" s="3"/>
      <c r="G20" s="3"/>
      <c r="H20" s="3"/>
      <c r="I20" s="3"/>
      <c r="J20" s="3"/>
    </row>
    <row r="21" spans="1:10">
      <c r="A21" s="2" t="s">
        <v>157</v>
      </c>
      <c r="B21" s="7">
        <f ca="1">Hedging!AC6</f>
        <v>36.7217841526084</v>
      </c>
      <c r="C21" s="7">
        <f ca="1">Hedging!AE6</f>
        <v>36.1517841526084</v>
      </c>
      <c r="D21" s="2" t="s">
        <v>158</v>
      </c>
      <c r="E21" s="2"/>
      <c r="F21" s="3"/>
      <c r="G21" s="3"/>
      <c r="H21" s="3"/>
      <c r="I21" s="3"/>
      <c r="J21" s="3"/>
    </row>
    <row r="22" spans="1:10">
      <c r="A22" s="2" t="s">
        <v>159</v>
      </c>
      <c r="B22" s="10">
        <f ca="1">1-C18/B18</f>
        <v>0.280050449571919</v>
      </c>
      <c r="C22" s="11"/>
      <c r="D22" s="2" t="s">
        <v>160</v>
      </c>
      <c r="E22" s="2"/>
      <c r="F22" s="3"/>
      <c r="G22" s="3"/>
      <c r="H22" s="3"/>
      <c r="I22" s="3"/>
      <c r="J22" s="3"/>
    </row>
    <row r="23" spans="1:10">
      <c r="A23" s="2" t="s">
        <v>161</v>
      </c>
      <c r="B23" s="7">
        <f ca="1">C20-B20</f>
        <v>14.7425672663109</v>
      </c>
      <c r="C23" s="7"/>
      <c r="D23" s="2" t="s">
        <v>162</v>
      </c>
      <c r="E23" s="2"/>
      <c r="F23" s="3"/>
      <c r="G23" s="3"/>
      <c r="H23" s="3"/>
      <c r="I23" s="3"/>
      <c r="J23" s="3"/>
    </row>
    <row r="24" spans="1:10">
      <c r="A24" s="2" t="s">
        <v>163</v>
      </c>
      <c r="B24" s="7">
        <f ca="1">Hedging!Z2</f>
        <v>0.949217788812888</v>
      </c>
      <c r="C24" s="7">
        <f>Hedging!D9</f>
        <v>0.57</v>
      </c>
      <c r="D24" s="2" t="s">
        <v>164</v>
      </c>
      <c r="E24" s="2"/>
      <c r="F24" s="3"/>
      <c r="G24" s="3"/>
      <c r="H24" s="3"/>
      <c r="I24" s="3"/>
      <c r="J24" s="3"/>
    </row>
    <row r="25" spans="1:10">
      <c r="A25" s="2"/>
      <c r="B25" s="2"/>
      <c r="C25" s="2"/>
      <c r="D25" s="2"/>
      <c r="E25" s="2"/>
      <c r="F25" s="2"/>
      <c r="G25" s="2"/>
      <c r="H25" s="2"/>
      <c r="I25" s="2"/>
      <c r="J25" s="2"/>
    </row>
    <row r="26" spans="1:10">
      <c r="A26" s="12" t="s">
        <v>165</v>
      </c>
      <c r="B26" s="12"/>
      <c r="C26" s="12"/>
      <c r="D26" s="12"/>
      <c r="E26" s="12"/>
      <c r="F26" s="12"/>
      <c r="G26" s="12"/>
      <c r="H26" s="12"/>
      <c r="I26" s="12"/>
      <c r="J26" s="12"/>
    </row>
    <row r="27" spans="1:10">
      <c r="A27" s="13" t="s">
        <v>166</v>
      </c>
      <c r="B27" s="3" t="s">
        <v>167</v>
      </c>
      <c r="C27" s="3" t="s">
        <v>7</v>
      </c>
      <c r="D27" s="3" t="s">
        <v>7</v>
      </c>
      <c r="E27" s="3" t="s">
        <v>7</v>
      </c>
      <c r="F27" s="3" t="s">
        <v>7</v>
      </c>
      <c r="G27" s="3" t="s">
        <v>7</v>
      </c>
      <c r="H27" s="3" t="s">
        <v>7</v>
      </c>
      <c r="I27" s="3" t="s">
        <v>7</v>
      </c>
      <c r="J27" s="3" t="s">
        <v>7</v>
      </c>
    </row>
    <row r="28" spans="1:10">
      <c r="A28" s="13" t="s">
        <v>166</v>
      </c>
      <c r="B28" s="3" t="s">
        <v>168</v>
      </c>
      <c r="C28" s="3" t="s">
        <v>7</v>
      </c>
      <c r="D28" s="3" t="s">
        <v>7</v>
      </c>
      <c r="E28" s="3" t="s">
        <v>7</v>
      </c>
      <c r="F28" s="3" t="s">
        <v>7</v>
      </c>
      <c r="G28" s="3" t="s">
        <v>7</v>
      </c>
      <c r="H28" s="3" t="s">
        <v>7</v>
      </c>
      <c r="I28" s="3" t="s">
        <v>7</v>
      </c>
      <c r="J28" s="3" t="s">
        <v>7</v>
      </c>
    </row>
    <row r="29" spans="1:10">
      <c r="A29" s="13" t="s">
        <v>166</v>
      </c>
      <c r="B29" s="3" t="s">
        <v>169</v>
      </c>
      <c r="C29" s="3" t="s">
        <v>7</v>
      </c>
      <c r="D29" s="3" t="s">
        <v>7</v>
      </c>
      <c r="E29" s="3" t="s">
        <v>7</v>
      </c>
      <c r="F29" s="3" t="s">
        <v>7</v>
      </c>
      <c r="G29" s="3" t="s">
        <v>7</v>
      </c>
      <c r="H29" s="3" t="s">
        <v>7</v>
      </c>
      <c r="I29" s="3" t="s">
        <v>7</v>
      </c>
      <c r="J29" s="3" t="s">
        <v>7</v>
      </c>
    </row>
    <row r="30" spans="1:10">
      <c r="A30" s="13" t="s">
        <v>166</v>
      </c>
      <c r="B30" s="3" t="s">
        <v>170</v>
      </c>
      <c r="C30" s="3" t="s">
        <v>7</v>
      </c>
      <c r="D30" s="3" t="s">
        <v>7</v>
      </c>
      <c r="E30" s="3" t="s">
        <v>7</v>
      </c>
      <c r="F30" s="3" t="s">
        <v>7</v>
      </c>
      <c r="G30" s="3" t="s">
        <v>7</v>
      </c>
      <c r="H30" s="3" t="s">
        <v>7</v>
      </c>
      <c r="I30" s="3" t="s">
        <v>7</v>
      </c>
      <c r="J30" s="3" t="s">
        <v>7</v>
      </c>
    </row>
    <row r="31" spans="1:10">
      <c r="A31" s="13" t="s">
        <v>166</v>
      </c>
      <c r="B31" s="3" t="s">
        <v>171</v>
      </c>
      <c r="C31" s="3" t="s">
        <v>7</v>
      </c>
      <c r="D31" s="3" t="s">
        <v>7</v>
      </c>
      <c r="E31" s="3" t="s">
        <v>7</v>
      </c>
      <c r="F31" s="3" t="s">
        <v>7</v>
      </c>
      <c r="G31" s="3" t="s">
        <v>7</v>
      </c>
      <c r="H31" s="3" t="s">
        <v>7</v>
      </c>
      <c r="I31" s="3" t="s">
        <v>7</v>
      </c>
      <c r="J31" s="3" t="s">
        <v>7</v>
      </c>
    </row>
    <row r="32" spans="1:10">
      <c r="A32" s="2"/>
      <c r="B32" s="2"/>
      <c r="C32" s="2"/>
      <c r="D32" s="2"/>
      <c r="E32" s="2"/>
      <c r="F32" s="2"/>
      <c r="G32" s="2"/>
      <c r="H32" s="2"/>
      <c r="I32" s="2"/>
      <c r="J32" s="2"/>
    </row>
    <row r="33" spans="1:10">
      <c r="A33" s="12" t="s">
        <v>172</v>
      </c>
      <c r="B33" s="12"/>
      <c r="C33" s="12"/>
      <c r="D33" s="12"/>
      <c r="E33" s="12"/>
      <c r="F33" s="12"/>
      <c r="G33" s="12"/>
      <c r="H33" s="12"/>
      <c r="I33" s="12"/>
      <c r="J33" s="12"/>
    </row>
    <row r="34" spans="1:10">
      <c r="A34" s="2" t="s">
        <v>166</v>
      </c>
      <c r="B34" s="3" t="s">
        <v>173</v>
      </c>
      <c r="C34" s="3" t="s">
        <v>7</v>
      </c>
      <c r="D34" s="3" t="s">
        <v>7</v>
      </c>
      <c r="E34" s="3" t="s">
        <v>7</v>
      </c>
      <c r="F34" s="3" t="s">
        <v>7</v>
      </c>
      <c r="G34" s="3" t="s">
        <v>7</v>
      </c>
      <c r="H34" s="3" t="s">
        <v>7</v>
      </c>
      <c r="I34" s="3" t="s">
        <v>7</v>
      </c>
      <c r="J34" s="3" t="s">
        <v>7</v>
      </c>
    </row>
    <row r="35" spans="1:10">
      <c r="A35" s="2" t="s">
        <v>166</v>
      </c>
      <c r="B35" s="3" t="s">
        <v>174</v>
      </c>
      <c r="C35" s="3" t="s">
        <v>7</v>
      </c>
      <c r="D35" s="3" t="s">
        <v>7</v>
      </c>
      <c r="E35" s="3" t="s">
        <v>7</v>
      </c>
      <c r="F35" s="3" t="s">
        <v>7</v>
      </c>
      <c r="G35" s="3" t="s">
        <v>7</v>
      </c>
      <c r="H35" s="3" t="s">
        <v>7</v>
      </c>
      <c r="I35" s="3" t="s">
        <v>7</v>
      </c>
      <c r="J35" s="3" t="s">
        <v>7</v>
      </c>
    </row>
    <row r="36" spans="1:10">
      <c r="A36" s="2" t="s">
        <v>166</v>
      </c>
      <c r="B36" s="3" t="s">
        <v>175</v>
      </c>
      <c r="C36" s="3" t="s">
        <v>7</v>
      </c>
      <c r="D36" s="3" t="s">
        <v>7</v>
      </c>
      <c r="E36" s="3" t="s">
        <v>7</v>
      </c>
      <c r="F36" s="3" t="s">
        <v>7</v>
      </c>
      <c r="G36" s="3" t="s">
        <v>7</v>
      </c>
      <c r="H36" s="3" t="s">
        <v>7</v>
      </c>
      <c r="I36" s="3" t="s">
        <v>7</v>
      </c>
      <c r="J36" s="3" t="s">
        <v>7</v>
      </c>
    </row>
    <row r="37" spans="1:10">
      <c r="A37" s="2" t="s">
        <v>166</v>
      </c>
      <c r="B37" s="3" t="s">
        <v>176</v>
      </c>
      <c r="C37" s="3" t="s">
        <v>7</v>
      </c>
      <c r="D37" s="3" t="s">
        <v>7</v>
      </c>
      <c r="E37" s="3" t="s">
        <v>7</v>
      </c>
      <c r="F37" s="3" t="s">
        <v>7</v>
      </c>
      <c r="G37" s="3" t="s">
        <v>7</v>
      </c>
      <c r="H37" s="3" t="s">
        <v>7</v>
      </c>
      <c r="I37" s="3" t="s">
        <v>7</v>
      </c>
      <c r="J37" s="3" t="s">
        <v>7</v>
      </c>
    </row>
    <row r="38" spans="1:10">
      <c r="A38" s="2" t="s">
        <v>166</v>
      </c>
      <c r="B38" s="3" t="s">
        <v>177</v>
      </c>
      <c r="C38" s="3" t="s">
        <v>7</v>
      </c>
      <c r="D38" s="3" t="s">
        <v>7</v>
      </c>
      <c r="E38" s="3" t="s">
        <v>7</v>
      </c>
      <c r="F38" s="3" t="s">
        <v>7</v>
      </c>
      <c r="G38" s="3" t="s">
        <v>7</v>
      </c>
      <c r="H38" s="3" t="s">
        <v>7</v>
      </c>
      <c r="I38" s="3" t="s">
        <v>7</v>
      </c>
      <c r="J38" s="3" t="s">
        <v>7</v>
      </c>
    </row>
    <row r="39" spans="1:10">
      <c r="A39" s="2"/>
      <c r="B39" s="2"/>
      <c r="C39" s="2"/>
      <c r="D39" s="2"/>
      <c r="E39" s="2"/>
      <c r="F39" s="2"/>
      <c r="G39" s="2"/>
      <c r="H39" s="2"/>
      <c r="I39" s="2"/>
      <c r="J39" s="2"/>
    </row>
    <row r="40" spans="1:10">
      <c r="A40" s="2"/>
      <c r="B40" s="2"/>
      <c r="C40" s="2"/>
      <c r="D40" s="2"/>
      <c r="E40" s="2"/>
      <c r="F40" s="2"/>
      <c r="G40" s="2"/>
      <c r="H40" s="2"/>
      <c r="I40" s="2"/>
      <c r="J40" s="2"/>
    </row>
    <row r="41" spans="1:10">
      <c r="A41" s="2"/>
      <c r="B41" s="2"/>
      <c r="C41" s="2"/>
      <c r="D41" s="2"/>
      <c r="E41" s="2"/>
      <c r="F41" s="2"/>
      <c r="G41" s="2"/>
      <c r="H41" s="2"/>
      <c r="I41" s="2"/>
      <c r="J41" s="2"/>
    </row>
    <row r="42" spans="1:10">
      <c r="A42" s="2"/>
      <c r="B42" s="2"/>
      <c r="C42" s="2"/>
      <c r="D42" s="2"/>
      <c r="E42" s="2"/>
      <c r="F42" s="2"/>
      <c r="G42" s="2"/>
      <c r="H42" s="2"/>
      <c r="I42" s="2"/>
      <c r="J42" s="2"/>
    </row>
    <row r="43" spans="1:10">
      <c r="A43" s="2"/>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sheetData>
  <mergeCells count="19">
    <mergeCell ref="A1:J1"/>
    <mergeCell ref="A3:J3"/>
    <mergeCell ref="F5:J5"/>
    <mergeCell ref="A14:J14"/>
    <mergeCell ref="F16:J16"/>
    <mergeCell ref="A26:J26"/>
    <mergeCell ref="B27:J27"/>
    <mergeCell ref="B28:J28"/>
    <mergeCell ref="B29:J29"/>
    <mergeCell ref="B30:J30"/>
    <mergeCell ref="B31:J31"/>
    <mergeCell ref="A33:J33"/>
    <mergeCell ref="B34:J34"/>
    <mergeCell ref="B35:J35"/>
    <mergeCell ref="B36:J36"/>
    <mergeCell ref="B37:J37"/>
    <mergeCell ref="B38:J38"/>
    <mergeCell ref="F6:J12"/>
    <mergeCell ref="F17:J24"/>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7"/>
  <sheetViews>
    <sheetView workbookViewId="0">
      <selection activeCell="S16" sqref="S16"/>
    </sheetView>
  </sheetViews>
  <sheetFormatPr defaultColWidth="9" defaultRowHeight="17.6"/>
  <cols>
    <col min="1" max="7" width="22" customWidth="1"/>
  </cols>
  <sheetData>
    <row r="1" ht="26" spans="1:10">
      <c r="A1" s="1" t="s">
        <v>178</v>
      </c>
      <c r="B1" s="1"/>
      <c r="C1" s="1"/>
      <c r="D1" s="1"/>
      <c r="E1" s="1"/>
      <c r="F1" s="1"/>
      <c r="G1" s="1"/>
      <c r="H1" s="1"/>
      <c r="I1" s="2"/>
      <c r="J1" s="2"/>
    </row>
    <row r="2" spans="1:10">
      <c r="A2" s="2"/>
      <c r="B2" s="2"/>
      <c r="C2" s="2"/>
      <c r="D2" s="2"/>
      <c r="E2" s="2"/>
      <c r="F2" s="2"/>
      <c r="G2" s="2"/>
      <c r="H2" s="2"/>
      <c r="I2" s="2"/>
      <c r="J2" s="2"/>
    </row>
    <row r="3" spans="1:10">
      <c r="A3" s="3" t="s">
        <v>179</v>
      </c>
      <c r="B3" s="3"/>
      <c r="C3" s="3"/>
      <c r="D3" s="3"/>
      <c r="E3" s="3"/>
      <c r="F3" s="3"/>
      <c r="G3" s="3"/>
      <c r="H3" s="3"/>
      <c r="I3" s="2"/>
      <c r="J3" s="2"/>
    </row>
    <row r="4" spans="1:10">
      <c r="A4" s="3"/>
      <c r="B4" s="3"/>
      <c r="C4" s="3"/>
      <c r="D4" s="3"/>
      <c r="E4" s="3"/>
      <c r="F4" s="3"/>
      <c r="G4" s="3"/>
      <c r="H4" s="3"/>
      <c r="I4" s="2"/>
      <c r="J4" s="2"/>
    </row>
    <row r="5" spans="1:10">
      <c r="A5" s="3"/>
      <c r="B5" s="3"/>
      <c r="C5" s="3"/>
      <c r="D5" s="3"/>
      <c r="E5" s="3"/>
      <c r="F5" s="3"/>
      <c r="G5" s="3"/>
      <c r="H5" s="3"/>
      <c r="I5" s="2"/>
      <c r="J5" s="2"/>
    </row>
    <row r="6" spans="1:10">
      <c r="A6" s="2"/>
      <c r="B6" s="2"/>
      <c r="C6" s="2"/>
      <c r="D6" s="2"/>
      <c r="E6" s="2"/>
      <c r="F6" s="2"/>
      <c r="G6" s="2"/>
      <c r="H6" s="2"/>
      <c r="I6" s="2"/>
      <c r="J6" s="2"/>
    </row>
    <row r="7" spans="1:10">
      <c r="A7" s="4" t="s">
        <v>180</v>
      </c>
      <c r="B7" s="4" t="s">
        <v>181</v>
      </c>
      <c r="C7" s="4" t="s">
        <v>182</v>
      </c>
      <c r="D7" s="2"/>
      <c r="E7" s="4" t="s">
        <v>183</v>
      </c>
      <c r="F7" s="4" t="s">
        <v>184</v>
      </c>
      <c r="G7" s="4" t="s">
        <v>185</v>
      </c>
      <c r="H7" s="2"/>
      <c r="I7" s="2"/>
      <c r="J7" s="2"/>
    </row>
    <row r="8" spans="1:10">
      <c r="A8" s="2">
        <v>25</v>
      </c>
      <c r="B8" s="5">
        <f>AVERAGE(Pricing_Asian_Options!$Z$3:$Z$27)</f>
        <v>0.0354720569511907</v>
      </c>
      <c r="C8" s="5">
        <f>AVERAGE(Pricing_Asian_Options!$Y$3:$Y$27)</f>
        <v>10.3446588102731</v>
      </c>
      <c r="D8" s="2"/>
      <c r="E8" s="2">
        <v>50</v>
      </c>
      <c r="F8" s="7">
        <f ca="1">AVERAGE(Hedging!$K$2:$K$51)</f>
        <v>7.06226938551721</v>
      </c>
      <c r="G8" s="7">
        <f ca="1">AVERAGE(Hedging!$L$2:$L$51)</f>
        <v>6.58822773624432</v>
      </c>
      <c r="H8" s="2"/>
      <c r="I8" s="2"/>
      <c r="J8" s="2"/>
    </row>
    <row r="9" spans="1:10">
      <c r="A9" s="2">
        <v>50</v>
      </c>
      <c r="B9" s="5">
        <f>AVERAGE(Pricing_Asian_Options!$Z$3:$Z$52)</f>
        <v>0.389470073816151</v>
      </c>
      <c r="C9" s="5">
        <f>AVERAGE(Pricing_Asian_Options!$Y$3:$Y$52)</f>
        <v>8.28417436116597</v>
      </c>
      <c r="D9" s="2"/>
      <c r="E9" s="2">
        <v>100</v>
      </c>
      <c r="F9" s="7">
        <f ca="1">AVERAGE(Hedging!$K$2:$K$101)</f>
        <v>4.85757110758156</v>
      </c>
      <c r="G9" s="7">
        <f ca="1">AVERAGE(Hedging!$L$2:$L$101)</f>
        <v>4.84326460320726</v>
      </c>
      <c r="H9" s="2"/>
      <c r="I9" s="2"/>
      <c r="J9" s="2"/>
    </row>
    <row r="10" spans="1:10">
      <c r="A10" s="2">
        <v>75</v>
      </c>
      <c r="B10" s="5">
        <f>AVERAGE(Pricing_Asian_Options!$Z$3:$Z$77)</f>
        <v>0.3278260547121</v>
      </c>
      <c r="C10" s="5">
        <f>AVERAGE(Pricing_Asian_Options!$Y$3:$Y$77)</f>
        <v>8.21053030063015</v>
      </c>
      <c r="D10" s="2"/>
      <c r="E10" s="2">
        <v>150</v>
      </c>
      <c r="F10" s="7">
        <f ca="1">AVERAGE(Hedging!$K$2:$K$151)</f>
        <v>5.04553826519644</v>
      </c>
      <c r="G10" s="7">
        <f ca="1">AVERAGE(Hedging!$L$2:$L$151)</f>
        <v>5.01175413229047</v>
      </c>
      <c r="H10" s="2"/>
      <c r="I10" s="2"/>
      <c r="J10" s="2"/>
    </row>
    <row r="11" spans="1:10">
      <c r="A11" s="2">
        <v>100</v>
      </c>
      <c r="B11" s="5">
        <f>AVERAGE(Pricing_Asian_Options!$Z$3:$Z$102)</f>
        <v>0.530395280160849</v>
      </c>
      <c r="C11" s="5">
        <f>AVERAGE(Pricing_Asian_Options!$Y$3:$Y$102)</f>
        <v>7.9190038385779</v>
      </c>
      <c r="D11" s="2"/>
      <c r="E11" s="2">
        <v>200</v>
      </c>
      <c r="F11" s="7">
        <f ca="1">AVERAGE(Hedging!$K$2:$K$201)</f>
        <v>4.97395453770752</v>
      </c>
      <c r="G11" s="7">
        <f ca="1">AVERAGE(Hedging!$L$2:$L$201)</f>
        <v>4.9787086668512</v>
      </c>
      <c r="H11" s="2"/>
      <c r="I11" s="2"/>
      <c r="J11" s="2"/>
    </row>
    <row r="12" spans="1:10">
      <c r="A12" s="2">
        <v>125</v>
      </c>
      <c r="B12" s="5">
        <f>AVERAGE(Pricing_Asian_Options!$Z$3:$Z$127)</f>
        <v>0.541819728204157</v>
      </c>
      <c r="C12" s="5">
        <f>AVERAGE(Pricing_Asian_Options!$Y$3:$Y$127)</f>
        <v>8.26257840191406</v>
      </c>
      <c r="D12" s="2"/>
      <c r="E12" s="2">
        <v>250</v>
      </c>
      <c r="F12" s="7">
        <f ca="1">AVERAGE(Hedging!$K$2:$K$251)</f>
        <v>4.7836661516619</v>
      </c>
      <c r="G12" s="7">
        <f ca="1">AVERAGE(Hedging!$L$2:$L$251)</f>
        <v>4.70150183627579</v>
      </c>
      <c r="H12" s="2"/>
      <c r="I12" s="2"/>
      <c r="J12" s="2"/>
    </row>
    <row r="13" spans="1:10">
      <c r="A13" s="2">
        <v>150</v>
      </c>
      <c r="B13" s="5">
        <f>AVERAGE(Pricing_Asian_Options!$Z$3:$Z$152)</f>
        <v>0.49074259253643</v>
      </c>
      <c r="C13" s="5">
        <f>AVERAGE(Pricing_Asian_Options!$Y$3:$Y$152)</f>
        <v>8.06937404226472</v>
      </c>
      <c r="D13" s="2"/>
      <c r="E13" s="2">
        <v>300</v>
      </c>
      <c r="F13" s="7">
        <f ca="1">AVERAGE(Hedging!$K$2:$K$301)</f>
        <v>4.55516498203295</v>
      </c>
      <c r="G13" s="7">
        <f ca="1">AVERAGE(Hedging!$L$2:$L$301)</f>
        <v>4.56628792348593</v>
      </c>
      <c r="H13" s="2"/>
      <c r="I13" s="2"/>
      <c r="J13" s="2"/>
    </row>
    <row r="14" spans="1:10">
      <c r="A14" s="2">
        <v>175</v>
      </c>
      <c r="B14" s="5">
        <f>AVERAGE(Pricing_Asian_Options!$Z$3:$Z$177)</f>
        <v>0.473781339898447</v>
      </c>
      <c r="C14" s="5">
        <f>AVERAGE(Pricing_Asian_Options!$Y$3:$Y$177)</f>
        <v>7.84083009743788</v>
      </c>
      <c r="D14" s="2"/>
      <c r="E14" s="2">
        <v>350</v>
      </c>
      <c r="F14" s="7">
        <f ca="1">AVERAGE(Hedging!$K$2:$K$351)</f>
        <v>4.29816539130662</v>
      </c>
      <c r="G14" s="7">
        <f ca="1">AVERAGE(Hedging!$L$2:$L$351)</f>
        <v>4.48533599524837</v>
      </c>
      <c r="H14" s="2"/>
      <c r="I14" s="2"/>
      <c r="J14" s="2"/>
    </row>
    <row r="15" spans="1:10">
      <c r="A15" s="2">
        <v>200</v>
      </c>
      <c r="B15" s="5">
        <f>AVERAGE(Pricing_Asian_Options!$Z$3:$Z$202)</f>
        <v>0.443793247455065</v>
      </c>
      <c r="C15" s="5">
        <f>AVERAGE(Pricing_Asian_Options!$Y$3:$Y$202)</f>
        <v>7.77887352131282</v>
      </c>
      <c r="D15" s="2"/>
      <c r="E15" s="2">
        <v>400</v>
      </c>
      <c r="F15" s="7">
        <f ca="1">AVERAGE(Hedging!$K$2:$K$401)</f>
        <v>4.31337850498696</v>
      </c>
      <c r="G15" s="7">
        <f ca="1">AVERAGE(Hedging!$L$2:$L$401)</f>
        <v>4.5202489589217</v>
      </c>
      <c r="H15" s="2"/>
      <c r="I15" s="2"/>
      <c r="J15" s="2"/>
    </row>
    <row r="16" spans="1:10">
      <c r="A16" s="2">
        <v>225</v>
      </c>
      <c r="B16" s="5">
        <f>AVERAGE(Pricing_Asian_Options!$Z$3:$Z$227)</f>
        <v>0.479186025967985</v>
      </c>
      <c r="C16" s="5">
        <f>AVERAGE(Pricing_Asian_Options!$Y$3:$Y$227)</f>
        <v>7.70414319734542</v>
      </c>
      <c r="D16" s="2"/>
      <c r="E16" s="2">
        <v>450</v>
      </c>
      <c r="F16" s="7">
        <f ca="1">AVERAGE(Hedging!$K$2:$K$451)</f>
        <v>4.19709511771422</v>
      </c>
      <c r="G16" s="7">
        <f ca="1">AVERAGE(Hedging!$L$2:$L$451)</f>
        <v>4.43612341775083</v>
      </c>
      <c r="H16" s="2"/>
      <c r="I16" s="2"/>
      <c r="J16" s="2"/>
    </row>
    <row r="17" spans="1:10">
      <c r="A17" s="2">
        <v>250</v>
      </c>
      <c r="B17" s="5">
        <f>AVERAGE(Pricing_Asian_Options!$Z$3:$Z$252)</f>
        <v>0.478110617798492</v>
      </c>
      <c r="C17" s="5">
        <f>AVERAGE(Pricing_Asian_Options!$Y$3:$Y$252)</f>
        <v>7.66153984112814</v>
      </c>
      <c r="D17" s="2"/>
      <c r="E17" s="2">
        <v>500</v>
      </c>
      <c r="F17" s="7">
        <f ca="1">AVERAGE(Hedging!$K$2:$K$501)</f>
        <v>4.13303558252893</v>
      </c>
      <c r="G17" s="7">
        <f ca="1">AVERAGE(Hedging!$L$2:$L$501)</f>
        <v>4.39041894248577</v>
      </c>
      <c r="H17" s="2"/>
      <c r="I17" s="2"/>
      <c r="J17" s="2"/>
    </row>
    <row r="18" spans="1:10">
      <c r="A18" s="2">
        <v>275</v>
      </c>
      <c r="B18" s="5">
        <f>AVERAGE(Pricing_Asian_Options!$Z$3:$Z$277)</f>
        <v>0.465532195874236</v>
      </c>
      <c r="C18" s="5">
        <f>AVERAGE(Pricing_Asian_Options!$Y$3:$Y$277)</f>
        <v>7.80786890639897</v>
      </c>
      <c r="D18" s="2"/>
      <c r="E18" s="2">
        <v>550</v>
      </c>
      <c r="F18" s="7">
        <f ca="1">AVERAGE(Hedging!$K$2:$K$551)</f>
        <v>3.98611353056822</v>
      </c>
      <c r="G18" s="7">
        <f ca="1">AVERAGE(Hedging!$L$2:$L$551)</f>
        <v>4.31313712585546</v>
      </c>
      <c r="H18" s="2"/>
      <c r="I18" s="2"/>
      <c r="J18" s="2"/>
    </row>
    <row r="19" spans="1:10">
      <c r="A19" s="2">
        <v>300</v>
      </c>
      <c r="B19" s="5">
        <f>AVERAGE(Pricing_Asian_Options!$Z$3:$Z$302)</f>
        <v>0.445807497523924</v>
      </c>
      <c r="C19" s="5">
        <f>AVERAGE(Pricing_Asian_Options!$Y$3:$Y$302)</f>
        <v>7.84664185025884</v>
      </c>
      <c r="D19" s="2"/>
      <c r="E19" s="2">
        <v>600</v>
      </c>
      <c r="F19" s="7">
        <f ca="1">AVERAGE(Hedging!$K$2:$K$601)</f>
        <v>4.05014486369565</v>
      </c>
      <c r="G19" s="7">
        <f ca="1">AVERAGE(Hedging!$L$2:$L$601)</f>
        <v>4.35471327046033</v>
      </c>
      <c r="H19" s="2"/>
      <c r="I19" s="2"/>
      <c r="J19" s="2"/>
    </row>
    <row r="20" spans="1:10">
      <c r="A20" s="2">
        <v>325</v>
      </c>
      <c r="B20" s="5">
        <f>AVERAGE(Pricing_Asian_Options!$Z$3:$Z$327)</f>
        <v>0.446639249694892</v>
      </c>
      <c r="C20" s="5">
        <f>AVERAGE(Pricing_Asian_Options!$Y$3:$Y$327)</f>
        <v>7.67843260555601</v>
      </c>
      <c r="D20" s="2"/>
      <c r="E20" s="2">
        <v>650</v>
      </c>
      <c r="F20" s="7">
        <f ca="1">AVERAGE(Hedging!$K$2:$K$651)</f>
        <v>4.10230068257612</v>
      </c>
      <c r="G20" s="7">
        <f ca="1">AVERAGE(Hedging!$L$2:$L$651)</f>
        <v>4.41387603784042</v>
      </c>
      <c r="H20" s="2"/>
      <c r="I20" s="2"/>
      <c r="J20" s="2"/>
    </row>
    <row r="21" spans="1:10">
      <c r="A21" s="2">
        <v>350</v>
      </c>
      <c r="B21" s="5">
        <f>AVERAGE(Pricing_Asian_Options!$Z$3:$Z$352)</f>
        <v>0.446586130049118</v>
      </c>
      <c r="C21" s="5">
        <f>AVERAGE(Pricing_Asian_Options!$Y$3:$Y$352)</f>
        <v>7.77607837714061</v>
      </c>
      <c r="D21" s="2"/>
      <c r="E21" s="2">
        <v>700</v>
      </c>
      <c r="F21" s="7">
        <f ca="1">AVERAGE(Hedging!$K$2:$K$701)</f>
        <v>4.02688676510598</v>
      </c>
      <c r="G21" s="7">
        <f ca="1">AVERAGE(Hedging!$L$2:$L$701)</f>
        <v>4.34293904771924</v>
      </c>
      <c r="H21" s="2"/>
      <c r="I21" s="2"/>
      <c r="J21" s="2"/>
    </row>
    <row r="22" spans="1:10">
      <c r="A22" s="2">
        <v>375</v>
      </c>
      <c r="B22" s="5">
        <f>AVERAGE(Pricing_Asian_Options!$Z$3:$Z$377)</f>
        <v>0.488946784404662</v>
      </c>
      <c r="C22" s="5">
        <f>AVERAGE(Pricing_Asian_Options!$Y$3:$Y$377)</f>
        <v>7.66157106347573</v>
      </c>
      <c r="D22" s="2"/>
      <c r="E22" s="2">
        <v>750</v>
      </c>
      <c r="F22" s="7">
        <f ca="1">AVERAGE(Hedging!$K$2:$K$751)</f>
        <v>4.07659421874383</v>
      </c>
      <c r="G22" s="7">
        <f ca="1">AVERAGE(Hedging!$L$2:$L$751)</f>
        <v>4.3692169259642</v>
      </c>
      <c r="H22" s="2"/>
      <c r="I22" s="2"/>
      <c r="J22" s="2"/>
    </row>
    <row r="23" spans="1:10">
      <c r="A23" s="2">
        <v>400</v>
      </c>
      <c r="B23" s="5">
        <f>AVERAGE(Pricing_Asian_Options!$Z$3:$Z$402)</f>
        <v>0.471536168030514</v>
      </c>
      <c r="C23" s="5">
        <f>AVERAGE(Pricing_Asian_Options!$Y$3:$Y$402)</f>
        <v>7.72336340663261</v>
      </c>
      <c r="D23" s="2"/>
      <c r="E23" s="2">
        <v>800</v>
      </c>
      <c r="F23" s="7">
        <f ca="1">AVERAGE(Hedging!$K$2:$K$801)</f>
        <v>4.15062449892224</v>
      </c>
      <c r="G23" s="7">
        <f ca="1">AVERAGE(Hedging!$L$2:$L$801)</f>
        <v>4.4211583069976</v>
      </c>
      <c r="H23" s="2"/>
      <c r="I23" s="2"/>
      <c r="J23" s="2"/>
    </row>
    <row r="24" spans="1:10">
      <c r="A24" s="2">
        <v>425</v>
      </c>
      <c r="B24" s="5">
        <f>AVERAGE(Pricing_Asian_Options!$Z$3:$Z$427)</f>
        <v>0.468049891080139</v>
      </c>
      <c r="C24" s="5">
        <f>AVERAGE(Pricing_Asian_Options!$Y$3:$Y$427)</f>
        <v>7.84443921481536</v>
      </c>
      <c r="D24" s="2"/>
      <c r="E24" s="2">
        <v>850</v>
      </c>
      <c r="F24" s="7">
        <f ca="1">AVERAGE(Hedging!$K$2:$K$851)</f>
        <v>4.03874293516252</v>
      </c>
      <c r="G24" s="7">
        <f ca="1">AVERAGE(Hedging!$L$2:$L$851)</f>
        <v>4.33770563913791</v>
      </c>
      <c r="H24" s="2"/>
      <c r="I24" s="2"/>
      <c r="J24" s="2"/>
    </row>
    <row r="25" spans="1:10">
      <c r="A25" s="2">
        <v>450</v>
      </c>
      <c r="B25" s="5">
        <f>AVERAGE(Pricing_Asian_Options!$Z$3:$Z$452)</f>
        <v>0.470952624281951</v>
      </c>
      <c r="C25" s="5">
        <f>AVERAGE(Pricing_Asian_Options!$Y$3:$Y$452)</f>
        <v>7.8040863259515</v>
      </c>
      <c r="D25" s="2"/>
      <c r="E25" s="2">
        <v>900</v>
      </c>
      <c r="F25" s="7">
        <f ca="1">AVERAGE(Hedging!$K$2:$K$901)</f>
        <v>4.0363519607852</v>
      </c>
      <c r="G25" s="7">
        <f ca="1">AVERAGE(Hedging!$L$2:$L$901)</f>
        <v>4.33831130357979</v>
      </c>
      <c r="H25" s="2"/>
      <c r="I25" s="2"/>
      <c r="J25" s="2"/>
    </row>
    <row r="26" spans="1:10">
      <c r="A26" s="2">
        <v>475</v>
      </c>
      <c r="B26" s="5">
        <f>AVERAGE(Pricing_Asian_Options!$Z$3:$Z$477)</f>
        <v>0.482606942879775</v>
      </c>
      <c r="C26" s="5">
        <f>AVERAGE(Pricing_Asian_Options!$Y$3:$Y$477)</f>
        <v>7.89151389631918</v>
      </c>
      <c r="D26" s="2"/>
      <c r="E26" s="2">
        <v>950</v>
      </c>
      <c r="F26" s="7">
        <f ca="1">AVERAGE(Hedging!$K$2:$K$951)</f>
        <v>4.06874995832704</v>
      </c>
      <c r="G26" s="7">
        <f ca="1">AVERAGE(Hedging!$L$2:$L$951)</f>
        <v>4.36125700241639</v>
      </c>
      <c r="H26" s="2"/>
      <c r="I26" s="2"/>
      <c r="J26" s="2"/>
    </row>
    <row r="27" spans="1:10">
      <c r="A27" s="2">
        <v>500</v>
      </c>
      <c r="B27" s="5">
        <f>AVERAGE(Pricing_Asian_Options!$Z$3:$Z$502)</f>
        <v>0.477964134933088</v>
      </c>
      <c r="C27" s="5">
        <f>AVERAGE(Pricing_Asian_Options!$Y$3:$Y$502)</f>
        <v>7.96849863466067</v>
      </c>
      <c r="D27" s="2"/>
      <c r="E27" s="2">
        <v>1000</v>
      </c>
      <c r="F27" s="7">
        <f ca="1">AVERAGE(Hedging!$K$2:$K$1001)</f>
        <v>4.05244148123077</v>
      </c>
      <c r="G27" s="7">
        <f ca="1">AVERAGE(Hedging!$L$2:$L$1001)</f>
        <v>4.35914182086153</v>
      </c>
      <c r="H27" s="2"/>
      <c r="I27" s="2"/>
      <c r="J27" s="2"/>
    </row>
    <row r="28" spans="1:10">
      <c r="A28" s="2">
        <v>525</v>
      </c>
      <c r="B28" s="5">
        <f>AVERAGE(Pricing_Asian_Options!$Z$3:$Z$527)</f>
        <v>0.480879557469515</v>
      </c>
      <c r="C28" s="5">
        <f>AVERAGE(Pricing_Asian_Options!$Y$3:$Y$527)</f>
        <v>7.91933628846079</v>
      </c>
      <c r="D28" s="2"/>
      <c r="E28" s="2">
        <v>1050</v>
      </c>
      <c r="F28" s="7">
        <f ca="1">AVERAGE(Hedging!$K$2:$K$1051)</f>
        <v>4.06542058249022</v>
      </c>
      <c r="G28" s="7">
        <f ca="1">AVERAGE(Hedging!$L$2:$L$1051)</f>
        <v>4.35788348673091</v>
      </c>
      <c r="H28" s="2"/>
      <c r="I28" s="2"/>
      <c r="J28" s="2"/>
    </row>
    <row r="29" spans="1:10">
      <c r="A29" s="2">
        <v>550</v>
      </c>
      <c r="B29" s="5">
        <f>AVERAGE(Pricing_Asian_Options!$Z$3:$Z$552)</f>
        <v>0.495542658911346</v>
      </c>
      <c r="C29" s="5">
        <f>AVERAGE(Pricing_Asian_Options!$Y$3:$Y$552)</f>
        <v>7.84700960098551</v>
      </c>
      <c r="D29" s="2"/>
      <c r="E29" s="2">
        <v>1100</v>
      </c>
      <c r="F29" s="7">
        <f ca="1">AVERAGE(Hedging!$K$2:$K$1101)</f>
        <v>4.08199734542187</v>
      </c>
      <c r="G29" s="7">
        <f ca="1">AVERAGE(Hedging!$L$2:$L$1101)</f>
        <v>4.3843955831707</v>
      </c>
      <c r="H29" s="2"/>
      <c r="I29" s="2"/>
      <c r="J29" s="2"/>
    </row>
    <row r="30" spans="1:10">
      <c r="A30" s="2">
        <v>575</v>
      </c>
      <c r="B30" s="5">
        <f>AVERAGE(Pricing_Asian_Options!$Z$3:$Z$577)</f>
        <v>0.505814331966092</v>
      </c>
      <c r="C30" s="5">
        <f>AVERAGE(Pricing_Asian_Options!$Y$3:$Y$577)</f>
        <v>7.84251517537674</v>
      </c>
      <c r="D30" s="2"/>
      <c r="E30" s="2">
        <v>1150</v>
      </c>
      <c r="F30" s="7">
        <f ca="1">AVERAGE(Hedging!$K$2:$K$1151)</f>
        <v>4.05692593238303</v>
      </c>
      <c r="G30" s="7">
        <f ca="1">AVERAGE(Hedging!$L$2:$L$1151)</f>
        <v>4.3621505105476</v>
      </c>
      <c r="H30" s="2"/>
      <c r="I30" s="2"/>
      <c r="J30" s="2"/>
    </row>
    <row r="31" spans="1:10">
      <c r="A31" s="2">
        <v>600</v>
      </c>
      <c r="B31" s="5">
        <f>AVERAGE(Pricing_Asian_Options!$Z$3:$Z$602)</f>
        <v>0.4870658416274</v>
      </c>
      <c r="C31" s="5">
        <f>AVERAGE(Pricing_Asian_Options!$Y$3:$Y$602)</f>
        <v>7.92036699456461</v>
      </c>
      <c r="D31" s="2"/>
      <c r="E31" s="2">
        <v>1200</v>
      </c>
      <c r="F31" s="7">
        <f ca="1">AVERAGE(Hedging!$K$2:$K$1201)</f>
        <v>4.12029225045421</v>
      </c>
      <c r="G31" s="7">
        <f ca="1">AVERAGE(Hedging!$L$2:$L$1201)</f>
        <v>4.41678076811957</v>
      </c>
      <c r="H31" s="2"/>
      <c r="I31" s="2"/>
      <c r="J31" s="2"/>
    </row>
    <row r="32" spans="1:10">
      <c r="A32" s="2">
        <v>625</v>
      </c>
      <c r="B32" s="5">
        <f>AVERAGE(Pricing_Asian_Options!$Z$3:$Z$627)</f>
        <v>0.498513811965941</v>
      </c>
      <c r="C32" s="5">
        <f>AVERAGE(Pricing_Asian_Options!$Y$3:$Y$627)</f>
        <v>7.88950039624754</v>
      </c>
      <c r="D32" s="2"/>
      <c r="E32" s="2">
        <v>1250</v>
      </c>
      <c r="F32" s="7">
        <f ca="1">AVERAGE(Hedging!$K$2:$K$1251)</f>
        <v>4.02298782716167</v>
      </c>
      <c r="G32" s="7">
        <f ca="1">AVERAGE(Hedging!$L$2:$L$1251)</f>
        <v>4.34267861614116</v>
      </c>
      <c r="H32" s="2"/>
      <c r="I32" s="2"/>
      <c r="J32" s="2"/>
    </row>
    <row r="33" spans="1:10">
      <c r="A33" s="2">
        <v>650</v>
      </c>
      <c r="B33" s="5">
        <f>AVERAGE(Pricing_Asian_Options!$Z$3:$Z$652)</f>
        <v>0.483272479340078</v>
      </c>
      <c r="C33" s="5">
        <f>AVERAGE(Pricing_Asian_Options!$Y$3:$Y$652)</f>
        <v>7.89879586693619</v>
      </c>
      <c r="D33" s="2"/>
      <c r="E33" s="2">
        <v>1300</v>
      </c>
      <c r="F33" s="7">
        <f ca="1">AVERAGE(Hedging!$K$2:$K$1301)</f>
        <v>4.08885290359585</v>
      </c>
      <c r="G33" s="7">
        <f ca="1">AVERAGE(Hedging!$L$2:$L$1301)</f>
        <v>4.40735157107812</v>
      </c>
      <c r="H33" s="2"/>
      <c r="I33" s="2"/>
      <c r="J33" s="2"/>
    </row>
    <row r="34" spans="1:10">
      <c r="A34" s="2">
        <v>675</v>
      </c>
      <c r="B34" s="5">
        <f>AVERAGE(Pricing_Asian_Options!$Z$3:$Z$677)</f>
        <v>0.470450083159639</v>
      </c>
      <c r="C34" s="5">
        <f>AVERAGE(Pricing_Asian_Options!$Y$3:$Y$677)</f>
        <v>7.92969231737618</v>
      </c>
      <c r="D34" s="2"/>
      <c r="E34" s="2">
        <v>1350</v>
      </c>
      <c r="F34" s="7">
        <f ca="1">AVERAGE(Hedging!$K$2:$K$1351)</f>
        <v>4.01824286774484</v>
      </c>
      <c r="G34" s="7">
        <f ca="1">AVERAGE(Hedging!$L$2:$L$1351)</f>
        <v>4.36125884867164</v>
      </c>
      <c r="H34" s="2"/>
      <c r="I34" s="2"/>
      <c r="J34" s="2"/>
    </row>
    <row r="35" spans="1:10">
      <c r="A35" s="2">
        <v>700</v>
      </c>
      <c r="B35" s="5">
        <f>AVERAGE(Pricing_Asian_Options!$Z$3:$Z$702)</f>
        <v>0.465452575290987</v>
      </c>
      <c r="C35" s="5">
        <f>AVERAGE(Pricing_Asian_Options!$Y$3:$Y$702)</f>
        <v>7.9046078616433</v>
      </c>
      <c r="D35" s="2"/>
      <c r="E35" s="2">
        <v>1400</v>
      </c>
      <c r="F35" s="7">
        <f ca="1">AVERAGE(Hedging!$K$2:$K$1401)</f>
        <v>3.94864305794163</v>
      </c>
      <c r="G35" s="7">
        <f ca="1">AVERAGE(Hedging!$L$2:$L$1401)</f>
        <v>4.32057969263611</v>
      </c>
      <c r="H35" s="2"/>
      <c r="I35" s="2"/>
      <c r="J35" s="2"/>
    </row>
    <row r="36" spans="1:10">
      <c r="A36" s="2">
        <v>725</v>
      </c>
      <c r="B36" s="5">
        <f>AVERAGE(Pricing_Asian_Options!$Z$3:$Z$727)</f>
        <v>0.465906480122524</v>
      </c>
      <c r="C36" s="5">
        <f>AVERAGE(Pricing_Asian_Options!$Y$3:$Y$727)</f>
        <v>7.90339334349403</v>
      </c>
      <c r="D36" s="2"/>
      <c r="E36" s="2">
        <v>1450</v>
      </c>
      <c r="F36" s="7">
        <f ca="1">AVERAGE(Hedging!$K$2:$K$1451)</f>
        <v>3.95229623164809</v>
      </c>
      <c r="G36" s="7">
        <f ca="1">AVERAGE(Hedging!$L$2:$L$1451)</f>
        <v>4.31405383444656</v>
      </c>
      <c r="H36" s="2"/>
      <c r="I36" s="2"/>
      <c r="J36" s="2"/>
    </row>
    <row r="37" spans="1:10">
      <c r="A37" s="2">
        <v>750</v>
      </c>
      <c r="B37" s="5">
        <f>AVERAGE(Pricing_Asian_Options!$Z$3:$Z$752)</f>
        <v>0.459632761426074</v>
      </c>
      <c r="C37" s="5">
        <f>AVERAGE(Pricing_Asian_Options!$Y$3:$Y$752)</f>
        <v>7.92317974436124</v>
      </c>
      <c r="D37" s="2"/>
      <c r="E37" s="2">
        <v>1500</v>
      </c>
      <c r="F37" s="7">
        <f ca="1">AVERAGE(Hedging!$K$2:$K$1501)</f>
        <v>3.91779134606327</v>
      </c>
      <c r="G37" s="7">
        <f ca="1">AVERAGE(Hedging!$L$2:$L$1501)</f>
        <v>4.2787468711553</v>
      </c>
      <c r="H37" s="2"/>
      <c r="I37" s="2"/>
      <c r="J37" s="2"/>
    </row>
    <row r="38" spans="1:10">
      <c r="A38" s="2">
        <v>775</v>
      </c>
      <c r="B38" s="5">
        <f>AVERAGE(Pricing_Asian_Options!$Z$3:$Z$777)</f>
        <v>0.458636892384671</v>
      </c>
      <c r="C38" s="5">
        <f>AVERAGE(Pricing_Asian_Options!$Y$3:$Y$777)</f>
        <v>7.91607363559571</v>
      </c>
      <c r="D38" s="2"/>
      <c r="E38" s="2">
        <v>1550</v>
      </c>
      <c r="F38" s="7">
        <f ca="1">AVERAGE(Hedging!$K$2:$K$1551)</f>
        <v>3.93760352414019</v>
      </c>
      <c r="G38" s="7">
        <f ca="1">AVERAGE(Hedging!$L$2:$L$1551)</f>
        <v>4.28544763267492</v>
      </c>
      <c r="H38" s="2"/>
      <c r="I38" s="2"/>
      <c r="J38" s="2"/>
    </row>
    <row r="39" spans="1:10">
      <c r="A39" s="2">
        <v>800</v>
      </c>
      <c r="B39" s="5">
        <f>AVERAGE(Pricing_Asian_Options!$Z$3:$Z$802)</f>
        <v>0.47075118618093</v>
      </c>
      <c r="C39" s="5">
        <f>AVERAGE(Pricing_Asian_Options!$Y$3:$Y$802)</f>
        <v>7.90789127183831</v>
      </c>
      <c r="D39" s="2"/>
      <c r="E39" s="2">
        <v>1600</v>
      </c>
      <c r="F39" s="7">
        <f ca="1">AVERAGE(Hedging!$K$2:$K$1601)</f>
        <v>3.88610547046997</v>
      </c>
      <c r="G39" s="7">
        <f ca="1">AVERAGE(Hedging!$L$2:$L$1601)</f>
        <v>4.25769147942133</v>
      </c>
      <c r="H39" s="2"/>
      <c r="I39" s="2"/>
      <c r="J39" s="2"/>
    </row>
    <row r="40" spans="1:10">
      <c r="A40" s="2">
        <v>825</v>
      </c>
      <c r="B40" s="5">
        <f>AVERAGE(Pricing_Asian_Options!$Z$3:$Z$827)</f>
        <v>0.466968091593366</v>
      </c>
      <c r="C40" s="5">
        <f>AVERAGE(Pricing_Asian_Options!$Y$3:$Y$827)</f>
        <v>7.85015858139074</v>
      </c>
      <c r="D40" s="2"/>
      <c r="E40" s="2">
        <v>1650</v>
      </c>
      <c r="F40" s="7">
        <f ca="1">AVERAGE(Hedging!$K$2:$K$1651)</f>
        <v>3.9130115239926</v>
      </c>
      <c r="G40" s="7">
        <f ca="1">AVERAGE(Hedging!$L$2:$L$1651)</f>
        <v>4.28070481412073</v>
      </c>
      <c r="H40" s="2"/>
      <c r="I40" s="2"/>
      <c r="J40" s="2"/>
    </row>
    <row r="41" spans="1:10">
      <c r="A41" s="2">
        <v>850</v>
      </c>
      <c r="B41" s="5">
        <f>AVERAGE(Pricing_Asian_Options!$Z$3:$Z$852)</f>
        <v>0.486439434292699</v>
      </c>
      <c r="C41" s="5">
        <f>AVERAGE(Pricing_Asian_Options!$Y$3:$Y$852)</f>
        <v>7.84007302899185</v>
      </c>
      <c r="D41" s="2"/>
      <c r="E41" s="2">
        <v>1700</v>
      </c>
      <c r="F41" s="7">
        <f ca="1">AVERAGE(Hedging!$K$2:$K$1701)</f>
        <v>3.89892047869851</v>
      </c>
      <c r="G41" s="7">
        <f ca="1">AVERAGE(Hedging!$L$2:$L$1701)</f>
        <v>4.26061954685177</v>
      </c>
      <c r="H41" s="2"/>
      <c r="I41" s="2"/>
      <c r="J41" s="2"/>
    </row>
    <row r="42" spans="1:10">
      <c r="A42" s="2">
        <v>875</v>
      </c>
      <c r="B42" s="5">
        <f>AVERAGE(Pricing_Asian_Options!$Z$3:$Z$877)</f>
        <v>0.485733255393387</v>
      </c>
      <c r="C42" s="5">
        <f>AVERAGE(Pricing_Asian_Options!$Y$3:$Y$877)</f>
        <v>7.82459800077039</v>
      </c>
      <c r="D42" s="2"/>
      <c r="E42" s="2">
        <v>1750</v>
      </c>
      <c r="F42" s="7">
        <f ca="1">AVERAGE(Hedging!$K$2:$K$1751)</f>
        <v>3.83616546472907</v>
      </c>
      <c r="G42" s="7">
        <f ca="1">AVERAGE(Hedging!$L$2:$L$1751)</f>
        <v>4.23515992890798</v>
      </c>
      <c r="H42" s="2"/>
      <c r="I42" s="2"/>
      <c r="J42" s="2"/>
    </row>
    <row r="43" spans="1:10">
      <c r="A43" s="2">
        <v>900</v>
      </c>
      <c r="B43" s="5">
        <f>AVERAGE(Pricing_Asian_Options!$Z$3:$Z$902)</f>
        <v>0.478706100442263</v>
      </c>
      <c r="C43" s="5">
        <f>AVERAGE(Pricing_Asian_Options!$Y$3:$Y$902)</f>
        <v>7.88596671273132</v>
      </c>
      <c r="D43" s="2"/>
      <c r="E43" s="2">
        <v>1800</v>
      </c>
      <c r="F43" s="7">
        <f ca="1">AVERAGE(Hedging!$K$2:$K$1801)</f>
        <v>3.81678919752849</v>
      </c>
      <c r="G43" s="7">
        <f ca="1">AVERAGE(Hedging!$L$2:$L$1801)</f>
        <v>4.21525933526164</v>
      </c>
      <c r="H43" s="2"/>
      <c r="I43" s="2"/>
      <c r="J43" s="2"/>
    </row>
    <row r="44" spans="1:10">
      <c r="A44" s="2">
        <v>925</v>
      </c>
      <c r="B44" s="5">
        <f>AVERAGE(Pricing_Asian_Options!$Z$3:$Z$927)</f>
        <v>0.472529997571485</v>
      </c>
      <c r="C44" s="5">
        <f>AVERAGE(Pricing_Asian_Options!$Y$3:$Y$927)</f>
        <v>7.89389901086139</v>
      </c>
      <c r="D44" s="2"/>
      <c r="E44" s="2">
        <v>1850</v>
      </c>
      <c r="F44" s="7">
        <f ca="1">AVERAGE(Hedging!$K$2:$K$1851)</f>
        <v>3.83584344976307</v>
      </c>
      <c r="G44" s="7">
        <f ca="1">AVERAGE(Hedging!$L$2:$L$1851)</f>
        <v>4.22565480918652</v>
      </c>
      <c r="H44" s="2"/>
      <c r="I44" s="2"/>
      <c r="J44" s="2"/>
    </row>
    <row r="45" spans="1:10">
      <c r="A45" s="2">
        <v>950</v>
      </c>
      <c r="B45" s="5">
        <f>AVERAGE(Pricing_Asian_Options!$Z$3:$Z$952)</f>
        <v>0.46073666650023</v>
      </c>
      <c r="C45" s="5">
        <f>AVERAGE(Pricing_Asian_Options!$Y$3:$Y$952)</f>
        <v>7.88583396676244</v>
      </c>
      <c r="D45" s="2"/>
      <c r="E45" s="2">
        <v>1900</v>
      </c>
      <c r="F45" s="7">
        <f ca="1">AVERAGE(Hedging!$K$2:$K$1901)</f>
        <v>3.78275153534568</v>
      </c>
      <c r="G45" s="7">
        <f ca="1">AVERAGE(Hedging!$L$2:$L$1901)</f>
        <v>4.17410143387768</v>
      </c>
      <c r="H45" s="2"/>
      <c r="I45" s="2"/>
      <c r="J45" s="2"/>
    </row>
    <row r="46" spans="1:7">
      <c r="A46">
        <v>975</v>
      </c>
      <c r="B46" s="6">
        <f>AVERAGE(Pricing_Asian_Options!$Z$3:$Z$977)</f>
        <v>0.471489685797358</v>
      </c>
      <c r="C46" s="6">
        <f>AVERAGE(Pricing_Asian_Options!$Y$3:$Y$977)</f>
        <v>7.90094652539901</v>
      </c>
      <c r="E46">
        <v>1950</v>
      </c>
      <c r="F46" s="8">
        <f ca="1">AVERAGE(Hedging!$K$2:$K$1951)</f>
        <v>3.77458600401333</v>
      </c>
      <c r="G46" s="8">
        <f ca="1">AVERAGE(Hedging!$L$2:$L$1951)</f>
        <v>4.16667633740478</v>
      </c>
    </row>
    <row r="47" spans="1:7">
      <c r="A47">
        <v>1000</v>
      </c>
      <c r="B47" s="6">
        <f>AVERAGE(Pricing_Asian_Options!$Z$3:$Z$1002)</f>
        <v>0.46508544967924</v>
      </c>
      <c r="C47" s="6">
        <f>AVERAGE(Pricing_Asian_Options!$Y$3:$Y$1002)</f>
        <v>7.90934015967068</v>
      </c>
      <c r="E47">
        <v>2000</v>
      </c>
      <c r="F47" s="8">
        <f ca="1">AVERAGE(Hedging!$K$2:$K$2001)</f>
        <v>3.82246301647926</v>
      </c>
      <c r="G47" s="8">
        <f ca="1">AVERAGE(Hedging!$L$2:$L$2001)</f>
        <v>4.20168080529216</v>
      </c>
    </row>
  </sheetData>
  <mergeCells count="2">
    <mergeCell ref="A1:H1"/>
    <mergeCell ref="A3:H5"/>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Project Overview</vt:lpstr>
      <vt:lpstr>Pricing_Asian_Options</vt:lpstr>
      <vt:lpstr>Hedging</vt:lpstr>
      <vt:lpstr>Results &amp; Interpretation</vt:lpstr>
      <vt:lpstr>Simulation Convergence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2026-09-29T17:18:31Z</dcterms:created>
  <dcterms:modified xsi:type="dcterms:W3CDTF">2026-09-29T17:29:13Z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114722DBC78F3D75AD82BB6A5A933487_42</vt:lpwstr>
  </property>
  <property fmtid="{D5CDD505-2E9C-101B-9397-08002B2CF9AE}" pid="3" name="KSOProductBuildVer">
    <vt:lpwstr>1033-6.14.0.8924</vt:lpwstr>
  </property>
</Properties>
</file>