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firstSheet="2" activeTab="6"/>
  </bookViews>
  <sheets>
    <sheet name="Portfolio Overview" sheetId="4" r:id="rId1"/>
    <sheet name="Investment Analysis" sheetId="5" r:id="rId2"/>
    <sheet name="1_Investment_Stategy1" sheetId="1" r:id="rId3"/>
    <sheet name="1_Investment_Stategy2" sheetId="2" r:id="rId4"/>
    <sheet name="Insurance Analysis" sheetId="6" r:id="rId5"/>
    <sheet name="2_Insurance" sheetId="3" r:id="rId6"/>
    <sheet name="Convergence" sheetId="7" r:id="rId7"/>
  </sheets>
  <definedNames>
    <definedName name="a">'2_Insurance'!$C$3</definedName>
    <definedName name="alive">'1_Investment_Stategy1'!$K$2:$K$51</definedName>
    <definedName name="alive_2">'1_Investment_Stategy2'!$J$2:$J$51</definedName>
    <definedName name="b">'2_Insurance'!$C$4</definedName>
    <definedName name="B0">'1_Investment_Stategy1'!$C$1</definedName>
    <definedName name="B0_2">'1_Investment_Stategy2'!$C$1</definedName>
    <definedName name="bin">'1_Investment_Stategy1'!$V$5:$V$21</definedName>
    <definedName name="bin_1">'2_Insurance'!$AC$9:$AC$15</definedName>
    <definedName name="bin2_">'1_Investment_Stategy2'!$U$5:$U$26</definedName>
    <definedName name="Bt">'1_Investment_Stategy1'!$G$2:$G$51</definedName>
    <definedName name="Bt_2">'1_Investment_Stategy2'!$G$2:$G$51</definedName>
    <definedName name="Dt">'1_Investment_Stategy1'!$C$5</definedName>
    <definedName name="Dt_2">'1_Investment_Stategy2'!$C$5</definedName>
    <definedName name="E_R">'2_Insurance'!$Z$1</definedName>
    <definedName name="E_ST1">'1_Investment_Stategy1'!$Z$1</definedName>
    <definedName name="E_ST2">'1_Investment_Stategy2'!$Y$1</definedName>
    <definedName name="ID">'2_Insurance'!$G$2:$G$201</definedName>
    <definedName name="k">'2_Insurance'!$C$16</definedName>
    <definedName name="loss">'2_Insurance'!$K$2:$K$201</definedName>
    <definedName name="max_R">'2_Insurance'!$Z$3</definedName>
    <definedName name="min_R">'2_Insurance'!$Z$4</definedName>
    <definedName name="mu">'1_Investment_Stategy1'!$C$3</definedName>
    <definedName name="mu_2">'1_Investment_Stategy2'!$C$3</definedName>
    <definedName name="mu_insur">'2_Insurance'!$C$1</definedName>
    <definedName name="N">'1_Investment_Stategy1'!$C$8</definedName>
    <definedName name="N_2">'1_Investment_Stategy2'!$C$8</definedName>
    <definedName name="N_insur">'2_Insurance'!$C$5</definedName>
    <definedName name="P">'2_Insurance'!$C$10:$D$13</definedName>
    <definedName name="P_R_1">'2_Insurance'!$Z$5</definedName>
    <definedName name="pc">'2_Insurance'!$C$15</definedName>
    <definedName name="pc_">'2_Insurance'!$C$15</definedName>
    <definedName name="pe">'2_Insurance'!$C$7</definedName>
    <definedName name="pick">'2_Insurance'!$L$2:$L$201</definedName>
    <definedName name="premium">'2_Insurance'!$J$2:$J$201</definedName>
    <definedName name="R_">'2_Insurance'!$U$2:$U$501</definedName>
    <definedName name="R_1">'2_Insurance'!$V$2:$V$501</definedName>
    <definedName name="ratio">'2_Insurance'!$Q$3</definedName>
    <definedName name="rc_">'2_Insurance'!$C$14</definedName>
    <definedName name="real_loss">'2_Insurance'!$N$2:$N$201</definedName>
    <definedName name="real_premium">'2_Insurance'!$M$2:$M$201</definedName>
    <definedName name="rs">'1_Investment_Stategy1'!$C$7</definedName>
    <definedName name="rs_2">'1_Investment_Stategy2'!$C$7</definedName>
    <definedName name="S">'2_Insurance'!$C$8</definedName>
    <definedName name="s_R">'2_Insurance'!$Z$2</definedName>
    <definedName name="S0">'1_Investment_Stategy1'!$C$2</definedName>
    <definedName name="S0_2">'1_Investment_Stategy2'!$C$2</definedName>
    <definedName name="SBt">'1_Investment_Stategy1'!$I$2:$I$51</definedName>
    <definedName name="SBt_2">'1_Investment_Stategy2'!$I$2:$I$51</definedName>
    <definedName name="sigma">'1_Investment_Stategy1'!$C$4</definedName>
    <definedName name="sigma_2">'1_Investment_Stategy2'!$C$4</definedName>
    <definedName name="sigma_insur">'2_Insurance'!$C$2</definedName>
    <definedName name="SSt">'1_Investment_Stategy1'!$J$2:$J$51</definedName>
    <definedName name="St">'1_Investment_Stategy1'!$H$2:$H$51</definedName>
    <definedName name="ST_1">'1_Investment_Stategy1'!$O$1</definedName>
    <definedName name="ST_2">'1_Investment_Stategy2'!$N$1</definedName>
    <definedName name="STS">'1_Investment_Stategy1'!$S$2:$S$2001</definedName>
    <definedName name="STS2_">'1_Investment_Stategy2'!$R$2:$R$2001</definedName>
    <definedName name="T">'1_Investment_Stategy1'!$C$6</definedName>
    <definedName name="T_2">'1_Investment_Stategy2'!$C$6</definedName>
    <definedName name="TL">'2_Insurance'!$Q$2</definedName>
    <definedName name="TP">'2_Insurance'!$Q$1</definedName>
    <definedName name="X">'2_Insurance'!$H$2:$H$201</definedName>
    <definedName name="Y">'2_Insurance'!$I$2:$I$201</definedName>
    <definedName name="year">'1_Investment_Stategy1'!$C$9</definedName>
    <definedName name="year_2">'1_Investment_Stategy2'!$C$9</definedName>
    <definedName name="year_insur">'2_Insurance'!$C$6</definedName>
    <definedName name="bin" localSheetId="3">'1_Investment_Stategy2'!$U$5:$U$26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<sst xmlns="http://schemas.openxmlformats.org/spreadsheetml/2006/main" count="286" uniqueCount="221">
  <si>
    <t>MGT239 Simulation for Business — Finance Simulation Portfolio</t>
  </si>
  <si>
    <t>PORTFOLIO SCOPE</t>
  </si>
  <si>
    <t>Two Monte Carlo simulation studies examine business decisions under uncertainty. The investment study compares withdrawal policies for a mixed stock-and-bond fund. The insurance study models annual loss-ratio risk when policy volume, coverage choice, claim occurrence, and claim severity are random. The portfolio emphasizes distributions, tail behavior, simulation precision, and managerial interpretation.</t>
  </si>
  <si>
    <t>PROJECT MAP</t>
  </si>
  <si>
    <t>Project</t>
  </si>
  <si>
    <t>Business Question</t>
  </si>
  <si>
    <t>Core Model</t>
  </si>
  <si>
    <t>Simulation Design</t>
  </si>
  <si>
    <t>Primary Output</t>
  </si>
  <si>
    <t>Decision Lens</t>
  </si>
  <si>
    <t>Original Model</t>
  </si>
  <si>
    <t>Analysis</t>
  </si>
  <si>
    <t>Investment Withdrawal Strategies</t>
  </si>
  <si>
    <t>How does withdrawal sequencing change fund longevity?</t>
  </si>
  <si>
    <t>GBM stock process + bond growth + recursive shortages + stopping time</t>
  </si>
  <si>
    <t>Fund-life distribution</t>
  </si>
  <si>
    <t>Capital preservation / withdrawal policy</t>
  </si>
  <si>
    <t>1_Investment_Stategy1 &amp; 1_Investment_Stategy2</t>
  </si>
  <si>
    <t>Investment Analysis</t>
  </si>
  <si>
    <t>Insurance Loss-Ratio Risk</t>
  </si>
  <si>
    <t>How do claim frequency and severity shape annual performance risk?</t>
  </si>
  <si>
    <t>Random sample size + coverage choice + Bernoulli claims + exponential severity</t>
  </si>
  <si>
    <t>Annual loss-ratio distribution</t>
  </si>
  <si>
    <t>Performance risk / tail exposure</t>
  </si>
  <si>
    <t>2_Insurance</t>
  </si>
  <si>
    <t>Insurance Analysis</t>
  </si>
  <si>
    <t>ANALYTICAL WORKFLOW</t>
  </si>
  <si>
    <t>Problem</t>
  </si>
  <si>
    <t>Define the business decision and uncertainty.</t>
  </si>
  <si>
    <t>Model</t>
  </si>
  <si>
    <t>Translate the system into state variables, probability distributions, recursive equations, and risk/stopping criteria.</t>
  </si>
  <si>
    <t>Generate repeated stochastic outcomes to approximate the outcome distribution.</t>
  </si>
  <si>
    <t>Results</t>
  </si>
  <si>
    <t>Summarize expected outcomes, dispersion, confidence intervals, tail probabilities, and distribution shape.</t>
  </si>
  <si>
    <t>Interpretation</t>
  </si>
  <si>
    <t>Explain what the simulated distribution means for the decision.</t>
  </si>
  <si>
    <t>Managerial / Analytical Implications</t>
  </si>
  <si>
    <t>Connect output to policy choice and risk management.</t>
  </si>
  <si>
    <t>Limitations</t>
  </si>
  <si>
    <t>State structural assumptions and finite-simulation uncertainty.</t>
  </si>
  <si>
    <t>Investment Withdrawal Strategies — Monte Carlo Fund-Life Analysis</t>
  </si>
  <si>
    <t>PROBLEM</t>
  </si>
  <si>
    <t>A $1,000,000 fund begins with $500,000 in stocks and $500,000 in bonds. Stocks follow geometric Brownian motion with 8% drift and 12% volatility; bonds earn 5% annually. The investor withdraws $120,000 at each year-end. Strategy 1 withdraws $60,000 from each fund and covers shortages from the other fund. Strategy 2 draws from bonds first and uses stocks after the bond fund cannot cover the withdrawal. The question is how withdrawal sequencing changes the distribution of time until depletion.</t>
  </si>
  <si>
    <t>MODEL</t>
  </si>
  <si>
    <t>Let S_t and B_t denote stock and bond balances before withdrawal. Strategy 1 uses shortage variables to transfer any unmet $60,000 withdrawal between funds. Stock evolves with geometric Brownian motion, while bonds grow deterministically after withdrawals. Strategy 2 withdraws $120,000 from bonds first and covers bond shortage from stock. Fund life is the stopping time measured by the number of periods for which total funds remain positive.</t>
  </si>
  <si>
    <t>SIMULATION DESIGN</t>
  </si>
  <si>
    <t>MODEL PARAMETERS</t>
  </si>
  <si>
    <t>RESULTS</t>
  </si>
  <si>
    <t>Parameter</t>
  </si>
  <si>
    <t>Meaning</t>
  </si>
  <si>
    <t>Value</t>
  </si>
  <si>
    <t>Units</t>
  </si>
  <si>
    <t>Metric</t>
  </si>
  <si>
    <t>Parallel</t>
  </si>
  <si>
    <t>Bond-First</t>
  </si>
  <si>
    <t>Difference</t>
  </si>
  <si>
    <t>B0</t>
  </si>
  <si>
    <t>Initial bond fund</t>
  </si>
  <si>
    <t>$000s</t>
  </si>
  <si>
    <t>Mean fund life</t>
  </si>
  <si>
    <t>Expected simulated years until depletion</t>
  </si>
  <si>
    <t>S0</t>
  </si>
  <si>
    <t>Initial stock fund</t>
  </si>
  <si>
    <t>Std. deviation</t>
  </si>
  <si>
    <t>Dispersion of stopping times</t>
  </si>
  <si>
    <t>μ</t>
  </si>
  <si>
    <t>Stock drift</t>
  </si>
  <si>
    <t>annual</t>
  </si>
  <si>
    <t>95% CI — lower</t>
  </si>
  <si>
    <t>Monte Carlo CI for estimated mean</t>
  </si>
  <si>
    <t>σ</t>
  </si>
  <si>
    <t>Stock volatility</t>
  </si>
  <si>
    <t>95% CI — upper</t>
  </si>
  <si>
    <t>r</t>
  </si>
  <si>
    <t>Bond return</t>
  </si>
  <si>
    <t>Minimum</t>
  </si>
  <si>
    <t>Shortest observed fund life</t>
  </si>
  <si>
    <t>N</t>
  </si>
  <si>
    <t>Monte Carlo replications</t>
  </si>
  <si>
    <t>paths</t>
  </si>
  <si>
    <t>Maximum</t>
  </si>
  <si>
    <t>Longest observed fund life</t>
  </si>
  <si>
    <t>INTERPRETATION</t>
  </si>
  <si>
    <t>DISTRIBUTION VISUALIZATION</t>
  </si>
  <si>
    <t>Upper Bin</t>
  </si>
  <si>
    <t>Parallel %</t>
  </si>
  <si>
    <t>Bond-First %</t>
  </si>
  <si>
    <t>Parallel Bar</t>
  </si>
  <si>
    <t>Bond-First Bar</t>
  </si>
  <si>
    <t>MANAGERIAL / ANALYTICAL IMPLICATIONS</t>
  </si>
  <si>
    <t>LIMITATIONS</t>
  </si>
  <si>
    <t>INPUT</t>
  </si>
  <si>
    <t>Sample Path</t>
  </si>
  <si>
    <t>years</t>
  </si>
  <si>
    <t>Bt</t>
  </si>
  <si>
    <t>St</t>
  </si>
  <si>
    <t>SBt</t>
  </si>
  <si>
    <t>SSt</t>
  </si>
  <si>
    <t>alive</t>
  </si>
  <si>
    <t>STAT</t>
  </si>
  <si>
    <t>ST_1</t>
  </si>
  <si>
    <t>Data Table</t>
  </si>
  <si>
    <t>run</t>
  </si>
  <si>
    <t>STS</t>
  </si>
  <si>
    <t>OUTPUT</t>
  </si>
  <si>
    <t>max</t>
  </si>
  <si>
    <t>E(ST1)</t>
  </si>
  <si>
    <t>min</t>
  </si>
  <si>
    <t>95%CI_LB</t>
  </si>
  <si>
    <t>mu</t>
  </si>
  <si>
    <t>95%CI_UB</t>
  </si>
  <si>
    <t>sigma</t>
  </si>
  <si>
    <t>bin</t>
  </si>
  <si>
    <t>f_sts</t>
  </si>
  <si>
    <t>Dt</t>
  </si>
  <si>
    <t>T</t>
  </si>
  <si>
    <t>rs</t>
  </si>
  <si>
    <t>year</t>
  </si>
  <si>
    <t>B0_2</t>
  </si>
  <si>
    <t>Bt_2</t>
  </si>
  <si>
    <t>St_2</t>
  </si>
  <si>
    <t>SBt_2</t>
  </si>
  <si>
    <t>alive_2</t>
  </si>
  <si>
    <t>ST_2</t>
  </si>
  <si>
    <t>STS2</t>
  </si>
  <si>
    <t>E(ST2)</t>
  </si>
  <si>
    <t>S0_2</t>
  </si>
  <si>
    <t>mu_2</t>
  </si>
  <si>
    <t>sigma_2</t>
  </si>
  <si>
    <t>bin2</t>
  </si>
  <si>
    <t>f_sts2</t>
  </si>
  <si>
    <t>Dt_2</t>
  </si>
  <si>
    <t>T_2</t>
  </si>
  <si>
    <t>rs_2</t>
  </si>
  <si>
    <t>N_2</t>
  </si>
  <si>
    <t>year_2</t>
  </si>
  <si>
    <t>Insurance Loss-Ratio Risk — Monte Carlo Analysis</t>
  </si>
  <si>
    <t>An insurance sales agent's compensation depends on annual loss performance. The number of policies sold is uncertain; customers may purchase excess coverage; claims occur randomly; and claim severity is uncertain. The objective is to estimate the annual loss-ratio distribution R=TL/TP and the probability of an F-grade year, defined as R&gt;1.</t>
  </si>
  <si>
    <t>Annual sales S follow N(100,10²) and are converted to an integer. Basic liability X is Uniform[50,200]. Every customer buys basic coverage and 40% buy excess coverage equal to 20% of X. Claim occurrence is Bernoulli with probability p_c. Conditional claim severity is exponential with mean r_c times premium. Because S varies by year, 200 potential policies are simulated and pick=1(ID≤S) selects actual sales.</t>
  </si>
  <si>
    <t>MODEL INPUTS</t>
  </si>
  <si>
    <t>SCENARIO DESIGN</t>
  </si>
  <si>
    <t>Input</t>
  </si>
  <si>
    <t>Role</t>
  </si>
  <si>
    <t>Scenario</t>
  </si>
  <si>
    <t>r_c</t>
  </si>
  <si>
    <t>p_c</t>
  </si>
  <si>
    <t>r_c × p_c</t>
  </si>
  <si>
    <t>Mean annual policy sales</t>
  </si>
  <si>
    <t>policies</t>
  </si>
  <si>
    <t>Volume uncertainty</t>
  </si>
  <si>
    <t>SD annual policy sales</t>
  </si>
  <si>
    <t>a</t>
  </si>
  <si>
    <t>Lower basic liability</t>
  </si>
  <si>
    <t>liability units</t>
  </si>
  <si>
    <t>Premium heterogeneity</t>
  </si>
  <si>
    <t>b</t>
  </si>
  <si>
    <t>Upper basic liability</t>
  </si>
  <si>
    <t>p_e</t>
  </si>
  <si>
    <t>Excess coverage probability</t>
  </si>
  <si>
    <t>probability</t>
  </si>
  <si>
    <t>Coverage choice</t>
  </si>
  <si>
    <t>Simulated years</t>
  </si>
  <si>
    <t>Monte Carlo sample size</t>
  </si>
  <si>
    <t>RESULTS — ORIGINAL SIMULATION</t>
  </si>
  <si>
    <t>LOSS-RATIO DISTRIBUTION</t>
  </si>
  <si>
    <t>Frequency</t>
  </si>
  <si>
    <t>Visual</t>
  </si>
  <si>
    <t>Mean loss ratio</t>
  </si>
  <si>
    <t>Average annual loss per dollar of premium</t>
  </si>
  <si>
    <t>Standard deviation</t>
  </si>
  <si>
    <t>Year-to-year dispersion</t>
  </si>
  <si>
    <t>Maximum R</t>
  </si>
  <si>
    <t>Most severe observed annual ratio</t>
  </si>
  <si>
    <t>Minimum R</t>
  </si>
  <si>
    <t>Lowest observed annual ratio</t>
  </si>
  <si>
    <t>P(R&gt;1)</t>
  </si>
  <si>
    <t>Estimated probability of an F-grade loss year</t>
  </si>
  <si>
    <t>Standard error</t>
  </si>
  <si>
    <t>Monte Carlo precision of estimated mean</t>
  </si>
  <si>
    <t>The model assumes independent policy outcomes, a fixed excess-coverage probability, Normal annual sales, Uniform basic liability, and exponential claim severity. It does not model claim dependence, richer policyholder heterogeneity, pricing changes, underwriting selection, inflation, deductibles, reinsurance, or multi-year learning. The 200-policy capacity is an implementation choice, and the 500-year simulation still contains Monte Carlo sampling error.</t>
  </si>
  <si>
    <t>mu_insur</t>
  </si>
  <si>
    <t>ID</t>
  </si>
  <si>
    <t>X</t>
  </si>
  <si>
    <t>Y</t>
  </si>
  <si>
    <t>premium</t>
  </si>
  <si>
    <t>loss</t>
  </si>
  <si>
    <t>pick</t>
  </si>
  <si>
    <t>real_premium</t>
  </si>
  <si>
    <t>real_loss</t>
  </si>
  <si>
    <t>TP</t>
  </si>
  <si>
    <t>R</t>
  </si>
  <si>
    <t>R&gt;1</t>
  </si>
  <si>
    <t>E(R)</t>
  </si>
  <si>
    <t>Data_Table_Scenarios</t>
  </si>
  <si>
    <t>rc</t>
  </si>
  <si>
    <t>pc</t>
  </si>
  <si>
    <t>k</t>
  </si>
  <si>
    <t>s_R</t>
  </si>
  <si>
    <t>max_R</t>
  </si>
  <si>
    <t>min_R</t>
  </si>
  <si>
    <t>standard_error</t>
  </si>
  <si>
    <t>sigma_insur</t>
  </si>
  <si>
    <t>TL</t>
  </si>
  <si>
    <t>ratio</t>
  </si>
  <si>
    <t>N_insur</t>
  </si>
  <si>
    <t>year_insur</t>
  </si>
  <si>
    <t>pe</t>
  </si>
  <si>
    <t>S</t>
  </si>
  <si>
    <t>bin_1</t>
  </si>
  <si>
    <t>f_k1</t>
  </si>
  <si>
    <t>Monte Carlo Convergence Diagnostics</t>
  </si>
  <si>
    <t>Running estimates show how Monte Carlo output changes as more replications are included. Stabilization indicates declining sampling noise for the specified model; it does not validate the structural assumptions.</t>
  </si>
  <si>
    <t>INVESTMENT RUNNING MEANS</t>
  </si>
  <si>
    <t>Replications</t>
  </si>
  <si>
    <t>Parallel Mean</t>
  </si>
  <si>
    <t>Bond-First Mean</t>
  </si>
  <si>
    <t>INSURANCE RUNNING ESTIMATES</t>
  </si>
  <si>
    <t>Simulated Years</t>
  </si>
  <si>
    <t>Mean R</t>
  </si>
  <si>
    <t>HOW TO READ CONVERGENCE</t>
  </si>
  <si>
    <t>Convergence addresses numerical precision, not structural validity. A stable estimate can still come from unrealistic assumptions. Final results should therefore be interpreted together with simulation size, standard error/confidence intervals, and model limitations.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</si>
</sst>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
  </numFmts>
  <fonts count="25">
    <font>
      <sz val="12"/>
      <color theme="1"/>
      <name val="Calibri"/>
      <charset val="134"/>
    </font>
    <font>
      <b/>
      <sz val="16"/>
      <color rgb="FFFFFFFF"/>
      <name val="Calibri"/>
      <charset val="134"/>
    </font>
    <font>
      <sz val="10"/>
      <color rgb="FF333333"/>
      <name val="Calibri"/>
      <charset val="134"/>
    </font>
    <font>
      <b/>
      <sz val="11"/>
      <color rgb="FFFFFFFF"/>
      <name val="Calibri"/>
      <charset val="134"/>
    </font>
    <font>
      <b/>
      <sz val="12"/>
      <color rgb="FF1F1F1F"/>
      <name val="Calibri"/>
      <charset val="134"/>
    </font>
    <font>
      <sz val="10"/>
      <color rgb="FF222222"/>
      <name val="Calibri"/>
      <charset val="134"/>
    </font>
    <font>
      <sz val="10"/>
      <color rgb="FF0000FF"/>
      <name val="Calibri"/>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7">
    <fill>
      <patternFill patternType="none"/>
    </fill>
    <fill>
      <patternFill patternType="gray125"/>
    </fill>
    <fill>
      <patternFill patternType="solid">
        <fgColor rgb="FF17365D"/>
        <bgColor indexed="64"/>
      </patternFill>
    </fill>
    <fill>
      <patternFill patternType="solid">
        <fgColor rgb="FFF3F6F9"/>
        <bgColor indexed="64"/>
      </patternFill>
    </fill>
    <fill>
      <patternFill patternType="solid">
        <fgColor rgb="FF1F4E78"/>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7" borderId="5" applyNumberFormat="0" applyAlignment="0" applyProtection="0">
      <alignment vertical="center"/>
    </xf>
    <xf numFmtId="0" fontId="17" fillId="8" borderId="6" applyNumberFormat="0" applyAlignment="0" applyProtection="0">
      <alignment vertical="center"/>
    </xf>
    <xf numFmtId="0" fontId="18" fillId="8" borderId="5" applyNumberFormat="0" applyAlignment="0" applyProtection="0">
      <alignment vertical="center"/>
    </xf>
    <xf numFmtId="0" fontId="3"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4" fillId="36" borderId="0" applyNumberFormat="0" applyBorder="0" applyAlignment="0" applyProtection="0">
      <alignment vertical="center"/>
    </xf>
  </cellStyleXfs>
  <cellXfs count="18">
    <xf numFmtId="0" fontId="0" fillId="0" borderId="0" xfId="0"/>
    <xf numFmtId="0" fontId="1" fillId="2" borderId="0" xfId="0" applyNumberFormat="1" applyFont="1" applyFill="1" applyBorder="1" applyAlignment="1">
      <alignment horizontal="left" vertical="center"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top" wrapText="1"/>
    </xf>
    <xf numFmtId="0" fontId="3" fillId="4" borderId="0" xfId="0" applyNumberFormat="1" applyFont="1" applyFill="1" applyBorder="1" applyAlignment="1">
      <alignment vertical="center" wrapText="1"/>
    </xf>
    <xf numFmtId="0" fontId="4" fillId="5" borderId="0" xfId="0" applyNumberFormat="1" applyFont="1" applyFill="1" applyBorder="1" applyAlignment="1">
      <alignment vertical="center" wrapText="1"/>
    </xf>
    <xf numFmtId="0" fontId="5" fillId="0" borderId="0" xfId="0" applyNumberFormat="1" applyFont="1" applyFill="1" applyBorder="1" applyAlignment="1">
      <alignment vertical="top" wrapText="1"/>
    </xf>
    <xf numFmtId="2" fontId="5" fillId="0" borderId="0" xfId="0" applyNumberFormat="1" applyFont="1" applyFill="1" applyBorder="1" applyAlignment="1">
      <alignment vertical="top" wrapText="1"/>
    </xf>
    <xf numFmtId="178" fontId="5" fillId="0" borderId="0" xfId="0" applyNumberFormat="1" applyFont="1" applyFill="1" applyBorder="1" applyAlignment="1">
      <alignment vertical="top" wrapText="1"/>
    </xf>
    <xf numFmtId="179" fontId="5" fillId="0" borderId="0" xfId="0" applyNumberFormat="1" applyFont="1" applyFill="1" applyBorder="1" applyAlignment="1">
      <alignment vertical="top" wrapText="1"/>
    </xf>
    <xf numFmtId="0" fontId="0" fillId="0" borderId="1" xfId="0" applyBorder="1"/>
    <xf numFmtId="0" fontId="0" fillId="0" borderId="0" xfId="0" applyBorder="1"/>
    <xf numFmtId="0" fontId="0" fillId="0" borderId="0" xfId="0" applyFill="1" applyBorder="1"/>
    <xf numFmtId="0" fontId="6" fillId="0" borderId="0" xfId="0" applyNumberFormat="1" applyFont="1" applyFill="1" applyBorder="1" applyAlignment="1">
      <alignment vertical="top" wrapText="1"/>
    </xf>
    <xf numFmtId="0" fontId="2" fillId="3" borderId="1" xfId="0" applyNumberFormat="1" applyFont="1" applyFill="1" applyBorder="1" applyAlignment="1">
      <alignment vertical="top" wrapText="1"/>
    </xf>
    <xf numFmtId="0" fontId="0" fillId="0" borderId="1" xfId="0" applyNumberFormat="1" applyFont="1" applyFill="1" applyBorder="1" applyAlignment="1">
      <alignment vertical="top" wrapText="1"/>
    </xf>
    <xf numFmtId="0" fontId="3" fillId="4" borderId="1" xfId="0" applyNumberFormat="1" applyFont="1" applyFill="1" applyBorder="1" applyAlignment="1">
      <alignment vertical="center" wrapText="1"/>
    </xf>
    <xf numFmtId="1" fontId="5" fillId="0"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strRef>
              <c:f>'1_Investment_Stategy2'!$U$4:$U$26</c:f>
              <c:strCache>
                <c:ptCount val="23"/>
                <c:pt idx="0">
                  <c:v>bin2</c:v>
                </c:pt>
                <c:pt idx="1">
                  <c:v>8</c:v>
                </c:pt>
                <c:pt idx="2">
                  <c:v>10</c:v>
                </c:pt>
                <c:pt idx="3">
                  <c:v>12</c:v>
                </c:pt>
                <c:pt idx="4">
                  <c:v>14</c:v>
                </c:pt>
                <c:pt idx="5">
                  <c:v>16</c:v>
                </c:pt>
                <c:pt idx="6">
                  <c:v>18</c:v>
                </c:pt>
                <c:pt idx="7">
                  <c:v>20</c:v>
                </c:pt>
                <c:pt idx="8">
                  <c:v>22</c:v>
                </c:pt>
                <c:pt idx="9">
                  <c:v>24</c:v>
                </c:pt>
                <c:pt idx="10">
                  <c:v>26</c:v>
                </c:pt>
                <c:pt idx="11">
                  <c:v>28</c:v>
                </c:pt>
                <c:pt idx="12">
                  <c:v>30</c:v>
                </c:pt>
                <c:pt idx="13">
                  <c:v>32</c:v>
                </c:pt>
                <c:pt idx="14">
                  <c:v>34</c:v>
                </c:pt>
                <c:pt idx="15">
                  <c:v>36</c:v>
                </c:pt>
                <c:pt idx="16">
                  <c:v>38</c:v>
                </c:pt>
                <c:pt idx="17">
                  <c:v>40</c:v>
                </c:pt>
                <c:pt idx="18">
                  <c:v>42</c:v>
                </c:pt>
                <c:pt idx="19">
                  <c:v>44</c:v>
                </c:pt>
                <c:pt idx="20">
                  <c:v>46</c:v>
                </c:pt>
                <c:pt idx="21">
                  <c:v>48</c:v>
                </c:pt>
                <c:pt idx="22">
                  <c:v>50</c:v>
                </c:pt>
              </c:strCache>
            </c:strRef>
          </c:cat>
          <c:val>
            <c:numRef>
              <c:f>'1_Investment_Stategy2'!$V$4:$V$27</c:f>
              <c:numCache>
                <c:formatCode>General</c:formatCode>
                <c:ptCount val="24"/>
                <c:pt idx="0">
                  <c:v>0</c:v>
                </c:pt>
                <c:pt idx="1">
                  <c:v>0.0005</c:v>
                </c:pt>
                <c:pt idx="2">
                  <c:v>0.1385</c:v>
                </c:pt>
                <c:pt idx="3">
                  <c:v>0.4425</c:v>
                </c:pt>
                <c:pt idx="4">
                  <c:v>0.2665</c:v>
                </c:pt>
                <c:pt idx="5">
                  <c:v>0.094</c:v>
                </c:pt>
                <c:pt idx="6">
                  <c:v>0.035</c:v>
                </c:pt>
                <c:pt idx="7">
                  <c:v>0.015</c:v>
                </c:pt>
                <c:pt idx="8">
                  <c:v>0.003</c:v>
                </c:pt>
                <c:pt idx="9">
                  <c:v>0.0025</c:v>
                </c:pt>
                <c:pt idx="10">
                  <c:v>0.001</c:v>
                </c:pt>
                <c:pt idx="11">
                  <c:v>0.001</c:v>
                </c:pt>
                <c:pt idx="12">
                  <c:v>0.0005</c:v>
                </c:pt>
                <c:pt idx="13">
                  <c:v>0</c:v>
                </c:pt>
                <c:pt idx="14">
                  <c:v>0</c:v>
                </c:pt>
                <c:pt idx="15">
                  <c:v>0</c:v>
                </c:pt>
                <c:pt idx="16">
                  <c:v>0</c:v>
                </c:pt>
                <c:pt idx="17">
                  <c:v>0</c:v>
                </c:pt>
                <c:pt idx="18">
                  <c:v>0</c:v>
                </c:pt>
                <c:pt idx="19">
                  <c:v>0</c:v>
                </c:pt>
                <c:pt idx="20">
                  <c:v>0</c:v>
                </c:pt>
                <c:pt idx="21">
                  <c:v>0</c:v>
                </c:pt>
                <c:pt idx="22">
                  <c:v>0</c:v>
                </c:pt>
                <c:pt idx="23">
                  <c:v>0</c:v>
                </c:pt>
              </c:numCache>
            </c:numRef>
          </c:val>
        </c:ser>
        <c:dLbls>
          <c:showLegendKey val="0"/>
          <c:showVal val="0"/>
          <c:showCatName val="0"/>
          <c:showSerName val="0"/>
          <c:showPercent val="0"/>
          <c:showBubbleSize val="0"/>
        </c:dLbls>
        <c:gapWidth val="150"/>
        <c:axId val="1793471775"/>
        <c:axId val="1872802079"/>
      </c:barChart>
      <c:catAx>
        <c:axId val="1793471775"/>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bin2</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872802079"/>
        <c:crosses val="autoZero"/>
        <c:auto val="1"/>
        <c:lblAlgn val="ctr"/>
        <c:lblOffset val="100"/>
        <c:noMultiLvlLbl val="0"/>
      </c:catAx>
      <c:valAx>
        <c:axId val="1872802079"/>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793471775"/>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0aed87f7-2c2e-4683-8c22-8e0c253d2b78}"/>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numRef>
              <c:f>'2_Insurance'!$AC$9:$AC$15</c:f>
              <c:numCache>
                <c:formatCode>General</c:formatCode>
                <c:ptCount val="7"/>
                <c:pt idx="0">
                  <c:v>0</c:v>
                </c:pt>
                <c:pt idx="1">
                  <c:v>1</c:v>
                </c:pt>
                <c:pt idx="2">
                  <c:v>2</c:v>
                </c:pt>
                <c:pt idx="3">
                  <c:v>3</c:v>
                </c:pt>
                <c:pt idx="4">
                  <c:v>4</c:v>
                </c:pt>
                <c:pt idx="5">
                  <c:v>5</c:v>
                </c:pt>
                <c:pt idx="6">
                  <c:v>6</c:v>
                </c:pt>
              </c:numCache>
            </c:numRef>
          </c:cat>
          <c:val>
            <c:numRef>
              <c:f>'2_Insurance'!$AD$9:$AD$16</c:f>
              <c:numCache>
                <c:formatCode>General</c:formatCode>
                <c:ptCount val="8"/>
                <c:pt idx="0">
                  <c:v>0</c:v>
                </c:pt>
                <c:pt idx="1">
                  <c:v>0.706</c:v>
                </c:pt>
                <c:pt idx="2">
                  <c:v>0.204</c:v>
                </c:pt>
                <c:pt idx="3">
                  <c:v>0.064</c:v>
                </c:pt>
                <c:pt idx="4">
                  <c:v>0.014</c:v>
                </c:pt>
                <c:pt idx="5">
                  <c:v>0.004</c:v>
                </c:pt>
                <c:pt idx="6">
                  <c:v>0.004</c:v>
                </c:pt>
                <c:pt idx="7">
                  <c:v>0.004</c:v>
                </c:pt>
              </c:numCache>
            </c:numRef>
          </c:val>
        </c:ser>
        <c:dLbls>
          <c:showLegendKey val="0"/>
          <c:showVal val="0"/>
          <c:showCatName val="0"/>
          <c:showSerName val="0"/>
          <c:showPercent val="0"/>
          <c:showBubbleSize val="0"/>
        </c:dLbls>
        <c:gapWidth val="150"/>
        <c:axId val="1794276367"/>
        <c:axId val="1836439199"/>
      </c:barChart>
      <c:catAx>
        <c:axId val="1794276367"/>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bin_1</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836439199"/>
        <c:crosses val="autoZero"/>
        <c:auto val="1"/>
        <c:lblAlgn val="ctr"/>
        <c:lblOffset val="100"/>
        <c:noMultiLvlLbl val="0"/>
      </c:catAx>
      <c:valAx>
        <c:axId val="1836439199"/>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794276367"/>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61f9de75-7b9a-488e-af43-3690193d805e}"/>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numRef>
              <c:f>'1_Investment_Stategy1'!$V$5:$V$21</c:f>
              <c:numCache>
                <c:formatCode>General</c:formatCode>
                <c:ptCount val="17"/>
                <c:pt idx="0">
                  <c:v>8</c:v>
                </c:pt>
                <c:pt idx="1">
                  <c:v>10</c:v>
                </c:pt>
                <c:pt idx="2">
                  <c:v>12</c:v>
                </c:pt>
                <c:pt idx="3">
                  <c:v>14</c:v>
                </c:pt>
                <c:pt idx="4">
                  <c:v>16</c:v>
                </c:pt>
                <c:pt idx="5">
                  <c:v>18</c:v>
                </c:pt>
                <c:pt idx="6">
                  <c:v>20</c:v>
                </c:pt>
                <c:pt idx="7">
                  <c:v>22</c:v>
                </c:pt>
                <c:pt idx="8">
                  <c:v>24</c:v>
                </c:pt>
                <c:pt idx="9">
                  <c:v>26</c:v>
                </c:pt>
                <c:pt idx="10">
                  <c:v>28</c:v>
                </c:pt>
                <c:pt idx="11">
                  <c:v>30</c:v>
                </c:pt>
                <c:pt idx="12">
                  <c:v>32</c:v>
                </c:pt>
                <c:pt idx="13">
                  <c:v>34</c:v>
                </c:pt>
                <c:pt idx="14">
                  <c:v>36</c:v>
                </c:pt>
                <c:pt idx="15">
                  <c:v>38</c:v>
                </c:pt>
                <c:pt idx="16">
                  <c:v>40</c:v>
                </c:pt>
              </c:numCache>
            </c:numRef>
          </c:cat>
          <c:val>
            <c:numRef>
              <c:f>'1_Investment_Stategy1'!$W$5:$W$21</c:f>
              <c:numCache>
                <c:formatCode>General</c:formatCode>
                <c:ptCount val="17"/>
                <c:pt idx="0">
                  <c:v>0</c:v>
                </c:pt>
                <c:pt idx="1">
                  <c:v>0.1115</c:v>
                </c:pt>
                <c:pt idx="2">
                  <c:v>0.6285</c:v>
                </c:pt>
                <c:pt idx="3">
                  <c:v>0.208</c:v>
                </c:pt>
                <c:pt idx="4">
                  <c:v>0.041</c:v>
                </c:pt>
                <c:pt idx="5">
                  <c:v>0.007</c:v>
                </c:pt>
                <c:pt idx="6">
                  <c:v>0.001</c:v>
                </c:pt>
                <c:pt idx="7">
                  <c:v>0.002</c:v>
                </c:pt>
                <c:pt idx="8">
                  <c:v>0</c:v>
                </c:pt>
                <c:pt idx="9">
                  <c:v>0</c:v>
                </c:pt>
                <c:pt idx="10">
                  <c:v>0</c:v>
                </c:pt>
                <c:pt idx="11">
                  <c:v>0.0005</c:v>
                </c:pt>
                <c:pt idx="12">
                  <c:v>0</c:v>
                </c:pt>
                <c:pt idx="13">
                  <c:v>0.0005</c:v>
                </c:pt>
                <c:pt idx="14">
                  <c:v>0</c:v>
                </c:pt>
                <c:pt idx="15">
                  <c:v>0</c:v>
                </c:pt>
                <c:pt idx="16">
                  <c:v>0</c:v>
                </c:pt>
              </c:numCache>
            </c:numRef>
          </c:val>
        </c:ser>
        <c:dLbls>
          <c:showLegendKey val="0"/>
          <c:showVal val="0"/>
          <c:showCatName val="0"/>
          <c:showSerName val="0"/>
          <c:showPercent val="0"/>
          <c:showBubbleSize val="0"/>
        </c:dLbls>
        <c:gapWidth val="150"/>
        <c:axId val="37499120"/>
        <c:axId val="1839759423"/>
      </c:barChart>
      <c:catAx>
        <c:axId val="37499120"/>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839759423"/>
        <c:crosses val="autoZero"/>
        <c:auto val="1"/>
        <c:lblAlgn val="ctr"/>
        <c:lblOffset val="100"/>
        <c:noMultiLvlLbl val="0"/>
      </c:catAx>
      <c:valAx>
        <c:axId val="1839759423"/>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3749912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21db07cc-4fca-421b-a227-6ecafcd6b2af}"/>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strRef>
              <c:f>'1_Investment_Stategy2'!$U$4:$U$26</c:f>
              <c:strCache>
                <c:ptCount val="23"/>
                <c:pt idx="0">
                  <c:v>bin2</c:v>
                </c:pt>
                <c:pt idx="1">
                  <c:v>8</c:v>
                </c:pt>
                <c:pt idx="2">
                  <c:v>10</c:v>
                </c:pt>
                <c:pt idx="3">
                  <c:v>12</c:v>
                </c:pt>
                <c:pt idx="4">
                  <c:v>14</c:v>
                </c:pt>
                <c:pt idx="5">
                  <c:v>16</c:v>
                </c:pt>
                <c:pt idx="6">
                  <c:v>18</c:v>
                </c:pt>
                <c:pt idx="7">
                  <c:v>20</c:v>
                </c:pt>
                <c:pt idx="8">
                  <c:v>22</c:v>
                </c:pt>
                <c:pt idx="9">
                  <c:v>24</c:v>
                </c:pt>
                <c:pt idx="10">
                  <c:v>26</c:v>
                </c:pt>
                <c:pt idx="11">
                  <c:v>28</c:v>
                </c:pt>
                <c:pt idx="12">
                  <c:v>30</c:v>
                </c:pt>
                <c:pt idx="13">
                  <c:v>32</c:v>
                </c:pt>
                <c:pt idx="14">
                  <c:v>34</c:v>
                </c:pt>
                <c:pt idx="15">
                  <c:v>36</c:v>
                </c:pt>
                <c:pt idx="16">
                  <c:v>38</c:v>
                </c:pt>
                <c:pt idx="17">
                  <c:v>40</c:v>
                </c:pt>
                <c:pt idx="18">
                  <c:v>42</c:v>
                </c:pt>
                <c:pt idx="19">
                  <c:v>44</c:v>
                </c:pt>
                <c:pt idx="20">
                  <c:v>46</c:v>
                </c:pt>
                <c:pt idx="21">
                  <c:v>48</c:v>
                </c:pt>
                <c:pt idx="22">
                  <c:v>50</c:v>
                </c:pt>
              </c:strCache>
            </c:strRef>
          </c:cat>
          <c:val>
            <c:numRef>
              <c:f>'1_Investment_Stategy2'!$V$4:$V$27</c:f>
              <c:numCache>
                <c:formatCode>General</c:formatCode>
                <c:ptCount val="24"/>
                <c:pt idx="0">
                  <c:v>0</c:v>
                </c:pt>
                <c:pt idx="1">
                  <c:v>0.0005</c:v>
                </c:pt>
                <c:pt idx="2">
                  <c:v>0.1385</c:v>
                </c:pt>
                <c:pt idx="3">
                  <c:v>0.4425</c:v>
                </c:pt>
                <c:pt idx="4">
                  <c:v>0.2665</c:v>
                </c:pt>
                <c:pt idx="5">
                  <c:v>0.094</c:v>
                </c:pt>
                <c:pt idx="6">
                  <c:v>0.035</c:v>
                </c:pt>
                <c:pt idx="7">
                  <c:v>0.015</c:v>
                </c:pt>
                <c:pt idx="8">
                  <c:v>0.003</c:v>
                </c:pt>
                <c:pt idx="9">
                  <c:v>0.0025</c:v>
                </c:pt>
                <c:pt idx="10">
                  <c:v>0.001</c:v>
                </c:pt>
                <c:pt idx="11">
                  <c:v>0.001</c:v>
                </c:pt>
                <c:pt idx="12">
                  <c:v>0.0005</c:v>
                </c:pt>
                <c:pt idx="13">
                  <c:v>0</c:v>
                </c:pt>
                <c:pt idx="14">
                  <c:v>0</c:v>
                </c:pt>
                <c:pt idx="15">
                  <c:v>0</c:v>
                </c:pt>
                <c:pt idx="16">
                  <c:v>0</c:v>
                </c:pt>
                <c:pt idx="17">
                  <c:v>0</c:v>
                </c:pt>
                <c:pt idx="18">
                  <c:v>0</c:v>
                </c:pt>
                <c:pt idx="19">
                  <c:v>0</c:v>
                </c:pt>
                <c:pt idx="20">
                  <c:v>0</c:v>
                </c:pt>
                <c:pt idx="21">
                  <c:v>0</c:v>
                </c:pt>
                <c:pt idx="22">
                  <c:v>0</c:v>
                </c:pt>
                <c:pt idx="23">
                  <c:v>0</c:v>
                </c:pt>
              </c:numCache>
            </c:numRef>
          </c:val>
        </c:ser>
        <c:dLbls>
          <c:showLegendKey val="0"/>
          <c:showVal val="0"/>
          <c:showCatName val="0"/>
          <c:showSerName val="0"/>
          <c:showPercent val="0"/>
          <c:showBubbleSize val="0"/>
        </c:dLbls>
        <c:gapWidth val="150"/>
        <c:axId val="1793471775"/>
        <c:axId val="1872802079"/>
      </c:barChart>
      <c:catAx>
        <c:axId val="1793471775"/>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bin2</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872802079"/>
        <c:crosses val="autoZero"/>
        <c:auto val="1"/>
        <c:lblAlgn val="ctr"/>
        <c:lblOffset val="100"/>
        <c:noMultiLvlLbl val="0"/>
      </c:catAx>
      <c:valAx>
        <c:axId val="1872802079"/>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793471775"/>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8ac63715-fa27-49fa-a1f8-1b9f62967f8b}"/>
      </c:ext>
    </c:extLst>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Histogram</a:t>
            </a:r>
            <a:endParaRPr sz="1800" b="1" i="0" u="none">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numRef>
              <c:f>'2_Insurance'!$AC$9:$AC$15</c:f>
              <c:numCache>
                <c:formatCode>General</c:formatCode>
                <c:ptCount val="7"/>
                <c:pt idx="0">
                  <c:v>0</c:v>
                </c:pt>
                <c:pt idx="1">
                  <c:v>1</c:v>
                </c:pt>
                <c:pt idx="2">
                  <c:v>2</c:v>
                </c:pt>
                <c:pt idx="3">
                  <c:v>3</c:v>
                </c:pt>
                <c:pt idx="4">
                  <c:v>4</c:v>
                </c:pt>
                <c:pt idx="5">
                  <c:v>5</c:v>
                </c:pt>
                <c:pt idx="6">
                  <c:v>6</c:v>
                </c:pt>
              </c:numCache>
            </c:numRef>
          </c:cat>
          <c:val>
            <c:numRef>
              <c:f>'2_Insurance'!$AD$9:$AD$16</c:f>
              <c:numCache>
                <c:formatCode>General</c:formatCode>
                <c:ptCount val="8"/>
                <c:pt idx="0">
                  <c:v>0</c:v>
                </c:pt>
                <c:pt idx="1">
                  <c:v>0.706</c:v>
                </c:pt>
                <c:pt idx="2">
                  <c:v>0.204</c:v>
                </c:pt>
                <c:pt idx="3">
                  <c:v>0.064</c:v>
                </c:pt>
                <c:pt idx="4">
                  <c:v>0.014</c:v>
                </c:pt>
                <c:pt idx="5">
                  <c:v>0.004</c:v>
                </c:pt>
                <c:pt idx="6">
                  <c:v>0.004</c:v>
                </c:pt>
                <c:pt idx="7">
                  <c:v>0.004</c:v>
                </c:pt>
              </c:numCache>
            </c:numRef>
          </c:val>
        </c:ser>
        <c:dLbls>
          <c:showLegendKey val="0"/>
          <c:showVal val="0"/>
          <c:showCatName val="0"/>
          <c:showSerName val="0"/>
          <c:showPercent val="0"/>
          <c:showBubbleSize val="0"/>
        </c:dLbls>
        <c:gapWidth val="150"/>
        <c:axId val="1794276367"/>
        <c:axId val="1836439199"/>
      </c:barChart>
      <c:catAx>
        <c:axId val="1794276367"/>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bin_1</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836439199"/>
        <c:crosses val="autoZero"/>
        <c:auto val="1"/>
        <c:lblAlgn val="ctr"/>
        <c:lblOffset val="100"/>
        <c:noMultiLvlLbl val="0"/>
      </c:catAx>
      <c:valAx>
        <c:axId val="1836439199"/>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Frequency</a:t>
                </a:r>
                <a:endParaRPr sz="1000" b="1" i="0" u="none">
                  <a:solidFill>
                    <a:schemeClr val="tx1"/>
                  </a:solidFill>
                  <a:latin typeface="+mn-lt"/>
                  <a:ea typeface="+mn-lt"/>
                  <a:cs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crossAx val="1794276367"/>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1bbbbe5c-b7b5-4a4c-9f05-2ed4c21022a9}"/>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22</xdr:col>
      <xdr:colOff>97692</xdr:colOff>
      <xdr:row>3</xdr:row>
      <xdr:rowOff>106574</xdr:rowOff>
    </xdr:from>
    <xdr:to>
      <xdr:col>28</xdr:col>
      <xdr:colOff>95027</xdr:colOff>
      <xdr:row>13</xdr:row>
      <xdr:rowOff>95916</xdr:rowOff>
    </xdr:to>
    <xdr:graphicFrame>
      <xdr:nvGraphicFramePr>
        <xdr:cNvPr id="2" name="Chart"/>
        <xdr:cNvGraphicFramePr/>
      </xdr:nvGraphicFramePr>
      <xdr:xfrm>
        <a:off x="33259395" y="934085"/>
        <a:ext cx="4660900" cy="4312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28</xdr:col>
      <xdr:colOff>6761</xdr:colOff>
      <xdr:row>16</xdr:row>
      <xdr:rowOff>65690</xdr:rowOff>
    </xdr:from>
    <xdr:to>
      <xdr:col>34</xdr:col>
      <xdr:colOff>33359</xdr:colOff>
      <xdr:row>26</xdr:row>
      <xdr:rowOff>53403</xdr:rowOff>
    </xdr:to>
    <xdr:graphicFrame>
      <xdr:nvGraphicFramePr>
        <xdr:cNvPr id="2" name="Chart"/>
        <xdr:cNvGraphicFramePr/>
      </xdr:nvGraphicFramePr>
      <xdr:xfrm>
        <a:off x="29800550" y="5485765"/>
        <a:ext cx="4690110" cy="31019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21</xdr:col>
      <xdr:colOff>0</xdr:colOff>
      <xdr:row>23</xdr:row>
      <xdr:rowOff>0</xdr:rowOff>
    </xdr:from>
    <xdr:to>
      <xdr:col>26</xdr:col>
      <xdr:colOff>804333</xdr:colOff>
      <xdr:row>33</xdr:row>
      <xdr:rowOff>0</xdr:rowOff>
    </xdr:to>
    <xdr:graphicFrame>
      <xdr:nvGraphicFramePr>
        <xdr:cNvPr id="2" name="Chart"/>
        <xdr:cNvGraphicFramePr/>
      </xdr:nvGraphicFramePr>
      <xdr:xfrm>
        <a:off x="20091400" y="5140960"/>
        <a:ext cx="5553710" cy="2235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22</xdr:col>
      <xdr:colOff>97692</xdr:colOff>
      <xdr:row>3</xdr:row>
      <xdr:rowOff>106574</xdr:rowOff>
    </xdr:from>
    <xdr:to>
      <xdr:col>28</xdr:col>
      <xdr:colOff>95027</xdr:colOff>
      <xdr:row>13</xdr:row>
      <xdr:rowOff>95916</xdr:rowOff>
    </xdr:to>
    <xdr:graphicFrame>
      <xdr:nvGraphicFramePr>
        <xdr:cNvPr id="2" name="Chart"/>
        <xdr:cNvGraphicFramePr/>
      </xdr:nvGraphicFramePr>
      <xdr:xfrm>
        <a:off x="21138515" y="776605"/>
        <a:ext cx="5697220" cy="2225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28</xdr:col>
      <xdr:colOff>6761</xdr:colOff>
      <xdr:row>16</xdr:row>
      <xdr:rowOff>65690</xdr:rowOff>
    </xdr:from>
    <xdr:to>
      <xdr:col>34</xdr:col>
      <xdr:colOff>33359</xdr:colOff>
      <xdr:row>26</xdr:row>
      <xdr:rowOff>53403</xdr:rowOff>
    </xdr:to>
    <xdr:graphicFrame>
      <xdr:nvGraphicFramePr>
        <xdr:cNvPr id="2" name="Chart"/>
        <xdr:cNvGraphicFramePr/>
      </xdr:nvGraphicFramePr>
      <xdr:xfrm>
        <a:off x="27698700" y="3641725"/>
        <a:ext cx="5726430" cy="22231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0"/>
  <sheetViews>
    <sheetView workbookViewId="0">
      <selection activeCell="A1" sqref="A1:H2"/>
    </sheetView>
  </sheetViews>
  <sheetFormatPr defaultColWidth="9" defaultRowHeight="17.6"/>
  <cols>
    <col min="1" max="1" width="25" customWidth="1"/>
    <col min="2" max="2" width="36" customWidth="1"/>
    <col min="3" max="3" width="34" customWidth="1"/>
    <col min="4" max="4" width="27" customWidth="1"/>
    <col min="5" max="6" width="25" customWidth="1"/>
    <col min="7" max="8" width="27" customWidth="1"/>
    <col min="9" max="9" width="20" customWidth="1"/>
    <col min="10" max="10" width="30" customWidth="1"/>
  </cols>
  <sheetData>
    <row r="1" ht="30" customHeight="1" spans="1:10">
      <c r="A1" s="1" t="s">
        <v>0</v>
      </c>
      <c r="B1" s="1"/>
      <c r="C1" s="1"/>
      <c r="D1" s="1"/>
      <c r="E1" s="1"/>
      <c r="F1" s="1"/>
      <c r="G1" s="1"/>
      <c r="H1" s="1"/>
      <c r="I1" s="2"/>
      <c r="J1" s="2"/>
    </row>
    <row r="2" spans="1:10">
      <c r="A2" s="1"/>
      <c r="B2" s="1"/>
      <c r="C2" s="1"/>
      <c r="D2" s="1"/>
      <c r="E2" s="1"/>
      <c r="F2" s="1"/>
      <c r="G2" s="1"/>
      <c r="H2" s="1"/>
      <c r="I2" s="2"/>
      <c r="J2" s="2"/>
    </row>
    <row r="3" spans="1:10">
      <c r="A3" s="2"/>
      <c r="B3" s="2"/>
      <c r="C3" s="2"/>
      <c r="D3" s="2"/>
      <c r="E3" s="2"/>
      <c r="F3" s="2"/>
      <c r="G3" s="2"/>
      <c r="H3" s="2"/>
      <c r="I3" s="2"/>
      <c r="J3" s="2"/>
    </row>
    <row r="4" ht="22" customHeight="1" spans="1:10">
      <c r="A4" s="4" t="s">
        <v>1</v>
      </c>
      <c r="B4" s="4"/>
      <c r="C4" s="4"/>
      <c r="D4" s="4"/>
      <c r="E4" s="4"/>
      <c r="F4" s="4"/>
      <c r="G4" s="4"/>
      <c r="H4" s="4"/>
      <c r="I4" s="2"/>
      <c r="J4" s="2"/>
    </row>
    <row r="5" ht="68" customHeight="1" spans="1:10">
      <c r="A5" s="3" t="s">
        <v>2</v>
      </c>
      <c r="B5" s="3"/>
      <c r="C5" s="3"/>
      <c r="D5" s="3"/>
      <c r="E5" s="3"/>
      <c r="F5" s="3"/>
      <c r="G5" s="3"/>
      <c r="H5" s="3"/>
      <c r="I5" s="2"/>
      <c r="J5" s="2"/>
    </row>
    <row r="6" spans="1:10">
      <c r="A6" s="3"/>
      <c r="B6" s="3"/>
      <c r="C6" s="3"/>
      <c r="D6" s="3"/>
      <c r="E6" s="3"/>
      <c r="F6" s="3"/>
      <c r="G6" s="3"/>
      <c r="H6" s="3"/>
      <c r="I6" s="2"/>
      <c r="J6" s="2"/>
    </row>
    <row r="7" spans="1:10">
      <c r="A7" s="3"/>
      <c r="B7" s="3"/>
      <c r="C7" s="3"/>
      <c r="D7" s="3"/>
      <c r="E7" s="3"/>
      <c r="F7" s="3"/>
      <c r="G7" s="3"/>
      <c r="H7" s="3"/>
      <c r="I7" s="2"/>
      <c r="J7" s="2"/>
    </row>
    <row r="8" spans="1:10">
      <c r="A8" s="3"/>
      <c r="B8" s="3"/>
      <c r="C8" s="3"/>
      <c r="D8" s="3"/>
      <c r="E8" s="3"/>
      <c r="F8" s="3"/>
      <c r="G8" s="3"/>
      <c r="H8" s="3"/>
      <c r="I8" s="2"/>
      <c r="J8" s="2"/>
    </row>
    <row r="9" spans="1:10">
      <c r="A9" s="2"/>
      <c r="B9" s="2"/>
      <c r="C9" s="2"/>
      <c r="D9" s="2"/>
      <c r="E9" s="2"/>
      <c r="F9" s="2"/>
      <c r="G9" s="2"/>
      <c r="H9" s="2"/>
      <c r="I9" s="2"/>
      <c r="J9" s="2"/>
    </row>
    <row r="10" ht="22" customHeight="1" spans="1:10">
      <c r="A10" s="4" t="s">
        <v>3</v>
      </c>
      <c r="B10" s="4"/>
      <c r="C10" s="4"/>
      <c r="D10" s="4"/>
      <c r="E10" s="4"/>
      <c r="F10" s="4"/>
      <c r="G10" s="4"/>
      <c r="H10" s="4"/>
      <c r="I10" s="2"/>
      <c r="J10" s="2"/>
    </row>
    <row r="11" ht="34" customHeight="1" spans="1:10">
      <c r="A11" s="5" t="s">
        <v>4</v>
      </c>
      <c r="B11" s="5" t="s">
        <v>5</v>
      </c>
      <c r="C11" s="5" t="s">
        <v>6</v>
      </c>
      <c r="D11" s="5" t="s">
        <v>7</v>
      </c>
      <c r="E11" s="5" t="s">
        <v>8</v>
      </c>
      <c r="F11" s="5" t="s">
        <v>9</v>
      </c>
      <c r="G11" s="5" t="s">
        <v>10</v>
      </c>
      <c r="H11" s="5" t="s">
        <v>11</v>
      </c>
      <c r="I11" s="2"/>
      <c r="J11" s="2"/>
    </row>
    <row r="12" ht="62" customHeight="1" spans="1:10">
      <c r="A12" s="6" t="s">
        <v>12</v>
      </c>
      <c r="B12" s="6" t="s">
        <v>13</v>
      </c>
      <c r="C12" s="6" t="s">
        <v>14</v>
      </c>
      <c r="D12" s="6" t="str">
        <f>TEXT('1_Investment_Stategy1'!C8,"#,##0")&amp;" simulated paths; maximum "&amp;TEXT(MAX('1_Investment_Stategy1'!F2:F51),"0")&amp;" years"</f>
        <v>2,000 simulated paths; maximum 50 years</v>
      </c>
      <c r="E12" s="6" t="s">
        <v>15</v>
      </c>
      <c r="F12" s="6" t="s">
        <v>16</v>
      </c>
      <c r="G12" s="6" t="s">
        <v>17</v>
      </c>
      <c r="H12" s="6" t="s">
        <v>18</v>
      </c>
      <c r="I12" s="2"/>
      <c r="J12" s="2"/>
    </row>
    <row r="13" ht="62" customHeight="1" spans="1:10">
      <c r="A13" s="6" t="s">
        <v>19</v>
      </c>
      <c r="B13" s="6" t="s">
        <v>20</v>
      </c>
      <c r="C13" s="6" t="s">
        <v>21</v>
      </c>
      <c r="D13" s="6" t="str">
        <f>TEXT('2_Insurance'!C5,"#,##0")&amp;" simulated years"</f>
        <v>500 simulated years</v>
      </c>
      <c r="E13" s="6" t="s">
        <v>22</v>
      </c>
      <c r="F13" s="6" t="s">
        <v>23</v>
      </c>
      <c r="G13" s="6" t="s">
        <v>24</v>
      </c>
      <c r="H13" s="6" t="s">
        <v>25</v>
      </c>
      <c r="I13" s="2"/>
      <c r="J13" s="2"/>
    </row>
    <row r="14" spans="1:10">
      <c r="A14" s="2"/>
      <c r="B14" s="2"/>
      <c r="C14" s="2"/>
      <c r="D14" s="2"/>
      <c r="E14" s="2"/>
      <c r="F14" s="2"/>
      <c r="G14" s="2"/>
      <c r="H14" s="2"/>
      <c r="I14" s="2"/>
      <c r="J14" s="2"/>
    </row>
    <row r="15" ht="22" customHeight="1" spans="1:10">
      <c r="A15" s="4" t="s">
        <v>26</v>
      </c>
      <c r="B15" s="4"/>
      <c r="C15" s="4"/>
      <c r="D15" s="4"/>
      <c r="E15" s="4"/>
      <c r="F15" s="4"/>
      <c r="G15" s="4"/>
      <c r="H15" s="4"/>
      <c r="I15" s="2"/>
      <c r="J15" s="2"/>
    </row>
    <row r="16" ht="28" customHeight="1" spans="1:10">
      <c r="A16" s="5" t="s">
        <v>27</v>
      </c>
      <c r="B16" s="6" t="s">
        <v>28</v>
      </c>
      <c r="C16" s="6"/>
      <c r="D16" s="6"/>
      <c r="E16" s="6"/>
      <c r="F16" s="6"/>
      <c r="G16" s="6"/>
      <c r="H16" s="6"/>
      <c r="I16" s="2"/>
      <c r="J16" s="2"/>
    </row>
    <row r="17" ht="28" customHeight="1" spans="1:10">
      <c r="A17" s="5" t="s">
        <v>29</v>
      </c>
      <c r="B17" s="6" t="s">
        <v>30</v>
      </c>
      <c r="C17" s="6"/>
      <c r="D17" s="6"/>
      <c r="E17" s="6"/>
      <c r="F17" s="6"/>
      <c r="G17" s="6"/>
      <c r="H17" s="6"/>
      <c r="I17" s="2"/>
      <c r="J17" s="2"/>
    </row>
    <row r="18" ht="28" customHeight="1" spans="1:10">
      <c r="A18" s="5" t="s">
        <v>7</v>
      </c>
      <c r="B18" s="6" t="s">
        <v>31</v>
      </c>
      <c r="C18" s="6"/>
      <c r="D18" s="6"/>
      <c r="E18" s="6"/>
      <c r="F18" s="6"/>
      <c r="G18" s="6"/>
      <c r="H18" s="6"/>
      <c r="I18" s="2"/>
      <c r="J18" s="2"/>
    </row>
    <row r="19" ht="28" customHeight="1" spans="1:10">
      <c r="A19" s="5" t="s">
        <v>32</v>
      </c>
      <c r="B19" s="6" t="s">
        <v>33</v>
      </c>
      <c r="C19" s="6"/>
      <c r="D19" s="6"/>
      <c r="E19" s="6"/>
      <c r="F19" s="6"/>
      <c r="G19" s="6"/>
      <c r="H19" s="6"/>
      <c r="I19" s="2"/>
      <c r="J19" s="2"/>
    </row>
    <row r="20" ht="28" customHeight="1" spans="1:10">
      <c r="A20" s="5" t="s">
        <v>34</v>
      </c>
      <c r="B20" s="6" t="s">
        <v>35</v>
      </c>
      <c r="C20" s="6"/>
      <c r="D20" s="6"/>
      <c r="E20" s="6"/>
      <c r="F20" s="6"/>
      <c r="G20" s="6"/>
      <c r="H20" s="6"/>
      <c r="I20" s="2"/>
      <c r="J20" s="2"/>
    </row>
    <row r="21" ht="28" customHeight="1" spans="1:10">
      <c r="A21" s="5" t="s">
        <v>36</v>
      </c>
      <c r="B21" s="6" t="s">
        <v>37</v>
      </c>
      <c r="C21" s="6"/>
      <c r="D21" s="6"/>
      <c r="E21" s="6"/>
      <c r="F21" s="6"/>
      <c r="G21" s="6"/>
      <c r="H21" s="6"/>
      <c r="I21" s="2"/>
      <c r="J21" s="2"/>
    </row>
    <row r="22" ht="28" customHeight="1" spans="1:10">
      <c r="A22" s="5" t="s">
        <v>38</v>
      </c>
      <c r="B22" s="6" t="s">
        <v>39</v>
      </c>
      <c r="C22" s="6"/>
      <c r="D22" s="6"/>
      <c r="E22" s="6"/>
      <c r="F22" s="6"/>
      <c r="G22" s="6"/>
      <c r="H22" s="6"/>
      <c r="I22" s="2"/>
      <c r="J22" s="2"/>
    </row>
    <row r="23" spans="1:10">
      <c r="A23" s="2"/>
      <c r="B23" s="2"/>
      <c r="C23" s="2"/>
      <c r="D23" s="2"/>
      <c r="E23" s="2"/>
      <c r="F23" s="2"/>
      <c r="G23" s="2"/>
      <c r="H23" s="2"/>
      <c r="I23" s="2"/>
      <c r="J23" s="2"/>
    </row>
    <row r="24" spans="1:10">
      <c r="A24" s="2"/>
      <c r="B24" s="2"/>
      <c r="C24" s="2"/>
      <c r="D24" s="2"/>
      <c r="E24" s="2"/>
      <c r="F24" s="2"/>
      <c r="G24" s="2"/>
      <c r="H24" s="2"/>
      <c r="I24" s="2"/>
      <c r="J24" s="2"/>
    </row>
    <row r="25" spans="1:10">
      <c r="A25" s="2"/>
      <c r="B25" s="2"/>
      <c r="C25" s="2"/>
      <c r="D25" s="2"/>
      <c r="E25" s="2"/>
      <c r="F25" s="2"/>
      <c r="G25" s="2"/>
      <c r="H25" s="2"/>
      <c r="I25" s="2"/>
      <c r="J25" s="2"/>
    </row>
    <row r="26" spans="1:10">
      <c r="A26" s="2"/>
      <c r="B26" s="2"/>
      <c r="C26" s="2"/>
      <c r="D26" s="2"/>
      <c r="E26" s="2"/>
      <c r="F26" s="2"/>
      <c r="G26" s="2"/>
      <c r="H26" s="2"/>
      <c r="I26" s="2"/>
      <c r="J26" s="2"/>
    </row>
    <row r="27" spans="1:10">
      <c r="A27" s="2"/>
      <c r="B27" s="2"/>
      <c r="C27" s="2"/>
      <c r="D27" s="2"/>
      <c r="E27" s="2"/>
      <c r="F27" s="2"/>
      <c r="G27" s="2"/>
      <c r="H27" s="2"/>
      <c r="I27" s="2"/>
      <c r="J27" s="2"/>
    </row>
    <row r="28" spans="1:10">
      <c r="A28" s="2"/>
      <c r="B28" s="2"/>
      <c r="C28" s="2"/>
      <c r="D28" s="2"/>
      <c r="E28" s="2"/>
      <c r="F28" s="2"/>
      <c r="G28" s="2"/>
      <c r="H28" s="2"/>
      <c r="I28" s="2"/>
      <c r="J28" s="2"/>
    </row>
    <row r="29" spans="1:10">
      <c r="A29" s="2"/>
      <c r="B29" s="2"/>
      <c r="C29" s="2"/>
      <c r="D29" s="2"/>
      <c r="E29" s="2"/>
      <c r="F29" s="2"/>
      <c r="G29" s="2"/>
      <c r="H29" s="2"/>
      <c r="I29" s="2"/>
      <c r="J29" s="2"/>
    </row>
    <row r="30" spans="1:10">
      <c r="A30" s="2"/>
      <c r="B30" s="2"/>
      <c r="C30" s="2"/>
      <c r="D30" s="2"/>
      <c r="E30" s="2"/>
      <c r="F30" s="2"/>
      <c r="G30" s="2"/>
      <c r="H30" s="2"/>
      <c r="I30" s="2"/>
      <c r="J30" s="2"/>
    </row>
    <row r="31" spans="1:10">
      <c r="A31" s="2"/>
      <c r="B31" s="2"/>
      <c r="C31" s="2"/>
      <c r="D31" s="2"/>
      <c r="E31" s="2"/>
      <c r="F31" s="2"/>
      <c r="G31" s="2"/>
      <c r="H31" s="2"/>
      <c r="I31" s="2"/>
      <c r="J31" s="2"/>
    </row>
    <row r="32" spans="1:10">
      <c r="A32" s="2"/>
      <c r="B32" s="2"/>
      <c r="C32" s="2"/>
      <c r="D32" s="2"/>
      <c r="E32" s="2"/>
      <c r="F32" s="2"/>
      <c r="G32" s="2"/>
      <c r="H32" s="2"/>
      <c r="I32" s="2"/>
      <c r="J32" s="2"/>
    </row>
    <row r="33" spans="1:10">
      <c r="A33" s="2"/>
      <c r="B33" s="2"/>
      <c r="C33" s="2"/>
      <c r="D33" s="2"/>
      <c r="E33" s="2"/>
      <c r="F33" s="2"/>
      <c r="G33" s="2"/>
      <c r="H33" s="2"/>
      <c r="I33" s="2"/>
      <c r="J33" s="2"/>
    </row>
    <row r="34" spans="1:10">
      <c r="A34" s="2"/>
      <c r="B34" s="2"/>
      <c r="C34" s="2"/>
      <c r="D34" s="2"/>
      <c r="E34" s="2"/>
      <c r="F34" s="2"/>
      <c r="G34" s="2"/>
      <c r="H34" s="2"/>
      <c r="I34" s="2"/>
      <c r="J34" s="2"/>
    </row>
    <row r="35" spans="1:10">
      <c r="A35" s="2"/>
      <c r="B35" s="2"/>
      <c r="C35" s="2"/>
      <c r="D35" s="2"/>
      <c r="E35" s="2"/>
      <c r="F35" s="2"/>
      <c r="G35" s="2"/>
      <c r="H35" s="2"/>
      <c r="I35" s="2"/>
      <c r="J35" s="2"/>
    </row>
    <row r="36" spans="1:10">
      <c r="A36" s="2"/>
      <c r="B36" s="2"/>
      <c r="C36" s="2"/>
      <c r="D36" s="2"/>
      <c r="E36" s="2"/>
      <c r="F36" s="2"/>
      <c r="G36" s="2"/>
      <c r="H36" s="2"/>
      <c r="I36" s="2"/>
      <c r="J36" s="2"/>
    </row>
    <row r="37" spans="1:10">
      <c r="A37" s="2"/>
      <c r="B37" s="2"/>
      <c r="C37" s="2"/>
      <c r="D37" s="2"/>
      <c r="E37" s="2"/>
      <c r="F37" s="2"/>
      <c r="G37" s="2"/>
      <c r="H37" s="2"/>
      <c r="I37" s="2"/>
      <c r="J37" s="2"/>
    </row>
    <row r="38" spans="1:10">
      <c r="A38" s="2"/>
      <c r="B38" s="2"/>
      <c r="C38" s="2"/>
      <c r="D38" s="2"/>
      <c r="E38" s="2"/>
      <c r="F38" s="2"/>
      <c r="G38" s="2"/>
      <c r="H38" s="2"/>
      <c r="I38" s="2"/>
      <c r="J38" s="2"/>
    </row>
    <row r="39" spans="1:10">
      <c r="A39" s="2"/>
      <c r="B39" s="2"/>
      <c r="C39" s="2"/>
      <c r="D39" s="2"/>
      <c r="E39" s="2"/>
      <c r="F39" s="2"/>
      <c r="G39" s="2"/>
      <c r="H39" s="2"/>
      <c r="I39" s="2"/>
      <c r="J39" s="2"/>
    </row>
    <row r="40" spans="1:10">
      <c r="A40" s="2"/>
      <c r="B40" s="2"/>
      <c r="C40" s="2"/>
      <c r="D40" s="2"/>
      <c r="E40" s="2"/>
      <c r="F40" s="2"/>
      <c r="G40" s="2"/>
      <c r="H40" s="2"/>
      <c r="I40" s="2"/>
      <c r="J40" s="2"/>
    </row>
    <row r="41" spans="1:10">
      <c r="A41" s="2"/>
      <c r="B41" s="2"/>
      <c r="C41" s="2"/>
      <c r="D41" s="2"/>
      <c r="E41" s="2"/>
      <c r="F41" s="2"/>
      <c r="G41" s="2"/>
      <c r="H41" s="2"/>
      <c r="I41" s="2"/>
      <c r="J41" s="2"/>
    </row>
    <row r="42" spans="1:10">
      <c r="A42" s="2"/>
      <c r="B42" s="2"/>
      <c r="C42" s="2"/>
      <c r="D42" s="2"/>
      <c r="E42" s="2"/>
      <c r="F42" s="2"/>
      <c r="G42" s="2"/>
      <c r="H42" s="2"/>
      <c r="I42" s="2"/>
      <c r="J42" s="2"/>
    </row>
    <row r="43" spans="1:10">
      <c r="A43" s="2"/>
      <c r="B43" s="2"/>
      <c r="C43" s="2"/>
      <c r="D43" s="2"/>
      <c r="E43" s="2"/>
      <c r="F43" s="2"/>
      <c r="G43" s="2"/>
      <c r="H43" s="2"/>
      <c r="I43" s="2"/>
      <c r="J43" s="2"/>
    </row>
    <row r="44" spans="1:10">
      <c r="A44" s="2"/>
      <c r="B44" s="2"/>
      <c r="C44" s="2"/>
      <c r="D44" s="2"/>
      <c r="E44" s="2"/>
      <c r="F44" s="2"/>
      <c r="G44" s="2"/>
      <c r="H44" s="2"/>
      <c r="I44" s="2"/>
      <c r="J44" s="2"/>
    </row>
    <row r="45" spans="1:10">
      <c r="A45" s="2"/>
      <c r="B45" s="2"/>
      <c r="C45" s="2"/>
      <c r="D45" s="2"/>
      <c r="E45" s="2"/>
      <c r="F45" s="2"/>
      <c r="G45" s="2"/>
      <c r="H45" s="2"/>
      <c r="I45" s="2"/>
      <c r="J45" s="2"/>
    </row>
    <row r="46" spans="1:10">
      <c r="A46" s="2"/>
      <c r="B46" s="2"/>
      <c r="C46" s="2"/>
      <c r="D46" s="2"/>
      <c r="E46" s="2"/>
      <c r="F46" s="2"/>
      <c r="G46" s="2"/>
      <c r="H46" s="2"/>
      <c r="I46" s="2"/>
      <c r="J46" s="2"/>
    </row>
    <row r="47" spans="1:10">
      <c r="A47" s="2"/>
      <c r="B47" s="2"/>
      <c r="C47" s="2"/>
      <c r="D47" s="2"/>
      <c r="E47" s="2"/>
      <c r="F47" s="2"/>
      <c r="G47" s="2"/>
      <c r="H47" s="2"/>
      <c r="I47" s="2"/>
      <c r="J47" s="2"/>
    </row>
    <row r="48" spans="1:10">
      <c r="A48" s="2"/>
      <c r="B48" s="2"/>
      <c r="C48" s="2"/>
      <c r="D48" s="2"/>
      <c r="E48" s="2"/>
      <c r="F48" s="2"/>
      <c r="G48" s="2"/>
      <c r="H48" s="2"/>
      <c r="I48" s="2"/>
      <c r="J48" s="2"/>
    </row>
    <row r="49" spans="1:10">
      <c r="A49" s="2"/>
      <c r="B49" s="2"/>
      <c r="C49" s="2"/>
      <c r="D49" s="2"/>
      <c r="E49" s="2"/>
      <c r="F49" s="2"/>
      <c r="G49" s="2"/>
      <c r="H49" s="2"/>
      <c r="I49" s="2"/>
      <c r="J49" s="2"/>
    </row>
    <row r="50" spans="1:10">
      <c r="A50" s="2"/>
      <c r="B50" s="2"/>
      <c r="C50" s="2"/>
      <c r="D50" s="2"/>
      <c r="E50" s="2"/>
      <c r="F50" s="2"/>
      <c r="G50" s="2"/>
      <c r="H50" s="2"/>
      <c r="I50" s="2"/>
      <c r="J50" s="2"/>
    </row>
    <row r="51" spans="1:10">
      <c r="A51" s="2"/>
      <c r="B51" s="2"/>
      <c r="C51" s="2"/>
      <c r="D51" s="2"/>
      <c r="E51" s="2"/>
      <c r="F51" s="2"/>
      <c r="G51" s="2"/>
      <c r="H51" s="2"/>
      <c r="I51" s="2"/>
      <c r="J51" s="2"/>
    </row>
    <row r="52" spans="1:10">
      <c r="A52" s="2"/>
      <c r="B52" s="2"/>
      <c r="C52" s="2"/>
      <c r="D52" s="2"/>
      <c r="E52" s="2"/>
      <c r="F52" s="2"/>
      <c r="G52" s="2"/>
      <c r="H52" s="2"/>
      <c r="I52" s="2"/>
      <c r="J52" s="2"/>
    </row>
    <row r="53" spans="1:10">
      <c r="A53" s="2"/>
      <c r="B53" s="2"/>
      <c r="C53" s="2"/>
      <c r="D53" s="2"/>
      <c r="E53" s="2"/>
      <c r="F53" s="2"/>
      <c r="G53" s="2"/>
      <c r="H53" s="2"/>
      <c r="I53" s="2"/>
      <c r="J53" s="2"/>
    </row>
    <row r="54" spans="1:10">
      <c r="A54" s="2"/>
      <c r="B54" s="2"/>
      <c r="C54" s="2"/>
      <c r="D54" s="2"/>
      <c r="E54" s="2"/>
      <c r="F54" s="2"/>
      <c r="G54" s="2"/>
      <c r="H54" s="2"/>
      <c r="I54" s="2"/>
      <c r="J54" s="2"/>
    </row>
    <row r="55" spans="1:10">
      <c r="A55" s="2"/>
      <c r="B55" s="2"/>
      <c r="C55" s="2"/>
      <c r="D55" s="2"/>
      <c r="E55" s="2"/>
      <c r="F55" s="2"/>
      <c r="G55" s="2"/>
      <c r="H55" s="2"/>
      <c r="I55" s="2"/>
      <c r="J55" s="2"/>
    </row>
    <row r="56" spans="1:10">
      <c r="A56" s="2"/>
      <c r="B56" s="2"/>
      <c r="C56" s="2"/>
      <c r="D56" s="2"/>
      <c r="E56" s="2"/>
      <c r="F56" s="2"/>
      <c r="G56" s="2"/>
      <c r="H56" s="2"/>
      <c r="I56" s="2"/>
      <c r="J56" s="2"/>
    </row>
    <row r="57" spans="1:10">
      <c r="A57" s="2"/>
      <c r="B57" s="2"/>
      <c r="C57" s="2"/>
      <c r="D57" s="2"/>
      <c r="E57" s="2"/>
      <c r="F57" s="2"/>
      <c r="G57" s="2"/>
      <c r="H57" s="2"/>
      <c r="I57" s="2"/>
      <c r="J57" s="2"/>
    </row>
    <row r="58" spans="1:10">
      <c r="A58" s="2"/>
      <c r="B58" s="2"/>
      <c r="C58" s="2"/>
      <c r="D58" s="2"/>
      <c r="E58" s="2"/>
      <c r="F58" s="2"/>
      <c r="G58" s="2"/>
      <c r="H58" s="2"/>
      <c r="I58" s="2"/>
      <c r="J58" s="2"/>
    </row>
    <row r="59" spans="1:10">
      <c r="A59" s="2"/>
      <c r="B59" s="2"/>
      <c r="C59" s="2"/>
      <c r="D59" s="2"/>
      <c r="E59" s="2"/>
      <c r="F59" s="2"/>
      <c r="G59" s="2"/>
      <c r="H59" s="2"/>
      <c r="I59" s="2"/>
      <c r="J59" s="2"/>
    </row>
    <row r="60" spans="1:10">
      <c r="A60" s="2"/>
      <c r="B60" s="2"/>
      <c r="C60" s="2"/>
      <c r="D60" s="2"/>
      <c r="E60" s="2"/>
      <c r="F60" s="2"/>
      <c r="G60" s="2"/>
      <c r="H60" s="2"/>
      <c r="I60" s="2"/>
      <c r="J60" s="2"/>
    </row>
  </sheetData>
  <mergeCells count="12">
    <mergeCell ref="A4:H4"/>
    <mergeCell ref="A10:H10"/>
    <mergeCell ref="A15:H15"/>
    <mergeCell ref="B16:H16"/>
    <mergeCell ref="B17:H17"/>
    <mergeCell ref="B18:H18"/>
    <mergeCell ref="B19:H19"/>
    <mergeCell ref="B20:H20"/>
    <mergeCell ref="B21:H21"/>
    <mergeCell ref="B22:H22"/>
    <mergeCell ref="A1:H2"/>
    <mergeCell ref="A5:H8"/>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0"/>
  <sheetViews>
    <sheetView workbookViewId="0">
      <selection activeCell="A27" sqref="A27:D32"/>
    </sheetView>
  </sheetViews>
  <sheetFormatPr defaultColWidth="9" defaultRowHeight="17.6"/>
  <cols>
    <col min="1" max="1" width="23" customWidth="1"/>
    <col min="2" max="2" width="31" customWidth="1"/>
    <col min="3" max="3" width="16" customWidth="1"/>
    <col min="4" max="4" width="15" customWidth="1"/>
    <col min="5" max="5" width="3" customWidth="1"/>
    <col min="6" max="6" width="19" customWidth="1"/>
    <col min="7" max="9" width="15" customWidth="1"/>
    <col min="10" max="10" width="31" customWidth="1"/>
  </cols>
  <sheetData>
    <row r="1" ht="30" customHeight="1" spans="1:10">
      <c r="A1" s="1" t="s">
        <v>40</v>
      </c>
      <c r="B1" s="1"/>
      <c r="C1" s="1"/>
      <c r="D1" s="1"/>
      <c r="E1" s="1"/>
      <c r="F1" s="1"/>
      <c r="G1" s="1"/>
      <c r="H1" s="1"/>
      <c r="I1" s="1"/>
      <c r="J1" s="1"/>
    </row>
    <row r="2" spans="1:31">
      <c r="A2" s="1"/>
      <c r="B2" s="1"/>
      <c r="C2" s="1"/>
      <c r="D2" s="1"/>
      <c r="E2" s="1"/>
      <c r="F2" s="1"/>
      <c r="G2" s="1"/>
      <c r="H2" s="1"/>
      <c r="I2" s="1"/>
      <c r="J2" s="1"/>
      <c r="K2"/>
      <c r="L2"/>
      <c r="M2"/>
      <c r="N2"/>
      <c r="AE2" s="11"/>
    </row>
    <row r="3" spans="1:31">
      <c r="A3" s="2"/>
      <c r="B3" s="2"/>
      <c r="C3" s="2"/>
      <c r="D3" s="2"/>
      <c r="E3" s="2"/>
      <c r="F3" s="2"/>
      <c r="G3" s="2"/>
      <c r="H3" s="2"/>
      <c r="I3" s="2"/>
      <c r="J3" s="2"/>
      <c r="K3"/>
      <c r="L3"/>
      <c r="M3"/>
      <c r="N3"/>
      <c r="AC3" s="10"/>
      <c r="AD3" s="10"/>
      <c r="AE3" s="11"/>
    </row>
    <row r="4" ht="22" customHeight="1" spans="1:31">
      <c r="A4" s="4" t="s">
        <v>41</v>
      </c>
      <c r="B4" s="4"/>
      <c r="C4" s="4"/>
      <c r="D4" s="4"/>
      <c r="E4" s="4"/>
      <c r="F4" s="4"/>
      <c r="G4" s="4"/>
      <c r="H4" s="4"/>
      <c r="I4" s="4"/>
      <c r="J4" s="4"/>
      <c r="K4"/>
      <c r="L4"/>
      <c r="M4"/>
      <c r="N4"/>
      <c r="AC4" s="10"/>
      <c r="AD4" s="10"/>
      <c r="AE4" s="11"/>
    </row>
    <row r="5" ht="55" customHeight="1" spans="1:31">
      <c r="A5" s="3" t="s">
        <v>42</v>
      </c>
      <c r="B5" s="3"/>
      <c r="C5" s="3"/>
      <c r="D5" s="3"/>
      <c r="E5" s="3"/>
      <c r="F5" s="3"/>
      <c r="G5" s="3"/>
      <c r="H5" s="3"/>
      <c r="I5" s="3"/>
      <c r="J5" s="3"/>
      <c r="K5"/>
      <c r="L5"/>
      <c r="M5"/>
      <c r="N5"/>
      <c r="AC5" s="10"/>
      <c r="AD5" s="10"/>
      <c r="AE5" s="12"/>
    </row>
    <row r="6" spans="1:31">
      <c r="A6" s="3"/>
      <c r="B6" s="3"/>
      <c r="C6" s="3"/>
      <c r="D6" s="3"/>
      <c r="E6" s="3"/>
      <c r="F6" s="3"/>
      <c r="G6" s="3"/>
      <c r="H6" s="3"/>
      <c r="I6" s="3"/>
      <c r="J6" s="3"/>
      <c r="K6"/>
      <c r="L6"/>
      <c r="M6"/>
      <c r="N6"/>
      <c r="AC6" s="10"/>
      <c r="AD6" s="10"/>
      <c r="AE6" s="12"/>
    </row>
    <row r="7" spans="1:10">
      <c r="A7" s="2"/>
      <c r="B7" s="2"/>
      <c r="C7" s="2"/>
      <c r="D7" s="2"/>
      <c r="E7" s="2"/>
      <c r="F7" s="2"/>
      <c r="G7" s="2"/>
      <c r="H7" s="2"/>
      <c r="I7" s="2"/>
      <c r="J7" s="2"/>
    </row>
    <row r="8" ht="22" customHeight="1" spans="1:10">
      <c r="A8" s="4" t="s">
        <v>43</v>
      </c>
      <c r="B8" s="4"/>
      <c r="C8" s="4"/>
      <c r="D8" s="4"/>
      <c r="E8" s="4"/>
      <c r="F8" s="4"/>
      <c r="G8" s="4"/>
      <c r="H8" s="4"/>
      <c r="I8" s="4"/>
      <c r="J8" s="4"/>
    </row>
    <row r="9" ht="55" customHeight="1" spans="1:10">
      <c r="A9" s="3" t="s">
        <v>44</v>
      </c>
      <c r="B9" s="14"/>
      <c r="C9" s="14"/>
      <c r="D9" s="14"/>
      <c r="E9" s="3"/>
      <c r="F9" s="3"/>
      <c r="G9" s="3"/>
      <c r="H9" s="3"/>
      <c r="I9" s="3"/>
      <c r="J9" s="3"/>
    </row>
    <row r="10" spans="1:10">
      <c r="A10" s="3"/>
      <c r="B10" s="14"/>
      <c r="C10" s="14"/>
      <c r="D10" s="14"/>
      <c r="E10" s="3"/>
      <c r="F10" s="3"/>
      <c r="G10" s="3"/>
      <c r="H10" s="3"/>
      <c r="I10" s="3"/>
      <c r="J10" s="3"/>
    </row>
    <row r="11" spans="1:10">
      <c r="A11" s="2"/>
      <c r="B11" s="15"/>
      <c r="C11" s="15"/>
      <c r="D11" s="15"/>
      <c r="E11" s="2"/>
      <c r="F11" s="2"/>
      <c r="G11" s="2"/>
      <c r="H11" s="2"/>
      <c r="I11" s="2"/>
      <c r="J11" s="2"/>
    </row>
    <row r="12" ht="22" customHeight="1" spans="1:10">
      <c r="A12" s="4" t="s">
        <v>45</v>
      </c>
      <c r="B12" s="16"/>
      <c r="C12" s="16"/>
      <c r="D12" s="16"/>
      <c r="E12" s="4"/>
      <c r="F12" s="4"/>
      <c r="G12" s="4"/>
      <c r="H12" s="4"/>
      <c r="I12" s="4"/>
      <c r="J12" s="4"/>
    </row>
    <row r="13" ht="58" customHeight="1" spans="1:10">
      <c r="A13" s="3" t="str">
        <f>"Each strategy generates a stochastic path for up to "&amp;TEXT(MAX('1_Investment_Stategy1'!F2:F51),"0")&amp;" years. The alive indicator equals 1 while total funds remain positive, and its sum gives the stopping time. The original model replicates this calculation "&amp;TEXT('1_Investment_Stategy1'!C8,"#,##0")&amp;" times per strategy. All results and narrative statements below reference the original model outputs dynamically."</f>
        <v>Each strategy generates a stochastic path for up to 50 years. The alive indicator equals 1 while total funds remain positive, and its sum gives the stopping time. The original model replicates this calculation 2,000 times per strategy. All results and narrative statements below reference the original model outputs dynamically.</v>
      </c>
      <c r="B13" s="14"/>
      <c r="C13" s="14"/>
      <c r="D13" s="14"/>
      <c r="E13" s="3"/>
      <c r="F13" s="3"/>
      <c r="G13" s="3"/>
      <c r="H13" s="3"/>
      <c r="I13" s="3"/>
      <c r="J13" s="3"/>
    </row>
    <row r="14" spans="1:10">
      <c r="A14" s="3"/>
      <c r="B14" s="3"/>
      <c r="C14" s="3"/>
      <c r="D14" s="3"/>
      <c r="E14" s="3"/>
      <c r="F14" s="3"/>
      <c r="G14" s="3"/>
      <c r="H14" s="3"/>
      <c r="I14" s="3"/>
      <c r="J14" s="3"/>
    </row>
    <row r="15" spans="1:10">
      <c r="A15" s="2"/>
      <c r="B15" s="2"/>
      <c r="C15" s="2"/>
      <c r="D15" s="2"/>
      <c r="E15" s="2"/>
      <c r="F15" s="2"/>
      <c r="G15" s="2"/>
      <c r="H15" s="2"/>
      <c r="I15" s="2"/>
      <c r="J15" s="2"/>
    </row>
    <row r="16" ht="22" customHeight="1" spans="1:10">
      <c r="A16" s="4" t="s">
        <v>46</v>
      </c>
      <c r="B16" s="4"/>
      <c r="C16" s="4"/>
      <c r="D16" s="4"/>
      <c r="E16" s="2"/>
      <c r="F16" s="4" t="s">
        <v>47</v>
      </c>
      <c r="G16" s="4"/>
      <c r="H16" s="4"/>
      <c r="I16" s="4"/>
      <c r="J16" s="4"/>
    </row>
    <row r="17" ht="32" customHeight="1" spans="1:10">
      <c r="A17" s="5" t="s">
        <v>48</v>
      </c>
      <c r="B17" s="5" t="s">
        <v>49</v>
      </c>
      <c r="C17" s="5" t="s">
        <v>50</v>
      </c>
      <c r="D17" s="5" t="s">
        <v>51</v>
      </c>
      <c r="E17" s="2"/>
      <c r="F17" s="5" t="s">
        <v>52</v>
      </c>
      <c r="G17" s="5" t="s">
        <v>53</v>
      </c>
      <c r="H17" s="5" t="s">
        <v>54</v>
      </c>
      <c r="I17" s="5" t="s">
        <v>55</v>
      </c>
      <c r="J17" s="5" t="s">
        <v>34</v>
      </c>
    </row>
    <row r="18" ht="26" customHeight="1" spans="1:10">
      <c r="A18" s="6" t="s">
        <v>56</v>
      </c>
      <c r="B18" s="6" t="s">
        <v>57</v>
      </c>
      <c r="C18" s="13">
        <f>'1_Investment_Stategy1'!C1</f>
        <v>500</v>
      </c>
      <c r="D18" s="6" t="s">
        <v>58</v>
      </c>
      <c r="E18" s="2"/>
      <c r="F18" s="6" t="s">
        <v>59</v>
      </c>
      <c r="G18" s="7">
        <f ca="1">AVERAGE('1_Investment_Stategy1'!S2:S2001)</f>
        <v>11.9445</v>
      </c>
      <c r="H18" s="7">
        <f ca="1">AVERAGE('1_Investment_Stategy2'!R2:R2001)</f>
        <v>12.5695</v>
      </c>
      <c r="I18" s="7">
        <f ca="1" t="shared" ref="I18:I23" si="0">H18-G18</f>
        <v>0.625</v>
      </c>
      <c r="J18" s="6" t="s">
        <v>60</v>
      </c>
    </row>
    <row r="19" ht="26" customHeight="1" spans="1:10">
      <c r="A19" s="6" t="s">
        <v>61</v>
      </c>
      <c r="B19" s="6" t="s">
        <v>62</v>
      </c>
      <c r="C19" s="13">
        <f>'1_Investment_Stategy1'!C2</f>
        <v>500</v>
      </c>
      <c r="D19" s="6" t="s">
        <v>58</v>
      </c>
      <c r="E19" s="2"/>
      <c r="F19" s="6" t="s">
        <v>63</v>
      </c>
      <c r="G19" s="7">
        <f ca="1">_xlfn.STDEV.S('1_Investment_Stategy1'!S2:S2001)</f>
        <v>1.56353511985996</v>
      </c>
      <c r="H19" s="7">
        <f ca="1">_xlfn.STDEV.S('1_Investment_Stategy2'!R2:R2001)</f>
        <v>2.3003946743611</v>
      </c>
      <c r="I19" s="7">
        <f ca="1" t="shared" si="0"/>
        <v>0.736859554501137</v>
      </c>
      <c r="J19" s="6" t="s">
        <v>64</v>
      </c>
    </row>
    <row r="20" ht="26" customHeight="1" spans="1:10">
      <c r="A20" s="6" t="s">
        <v>65</v>
      </c>
      <c r="B20" s="6" t="s">
        <v>66</v>
      </c>
      <c r="C20" s="13">
        <f>'1_Investment_Stategy1'!C3</f>
        <v>0.08</v>
      </c>
      <c r="D20" s="6" t="s">
        <v>67</v>
      </c>
      <c r="E20" s="2"/>
      <c r="F20" s="6" t="s">
        <v>68</v>
      </c>
      <c r="G20" s="7">
        <f ca="1">AVERAGE('1_Investment_Stategy1'!S2:S2001)-1.96*_xlfn.STDEV.S('1_Investment_Stategy1'!S2:S2001)/SQRT('1_Investment_Stategy1'!C8)</f>
        <v>11.875975052061</v>
      </c>
      <c r="H20" s="7">
        <f ca="1">AVERAGE('1_Investment_Stategy2'!R2:R2001)-1.96*_xlfn.STDEV.S('1_Investment_Stategy2'!R2:R2001)/SQRT('1_Investment_Stategy2'!C8)</f>
        <v>12.4686807582078</v>
      </c>
      <c r="I20" s="7">
        <f ca="1" t="shared" si="0"/>
        <v>0.592705706146798</v>
      </c>
      <c r="J20" s="6" t="s">
        <v>69</v>
      </c>
    </row>
    <row r="21" ht="26" customHeight="1" spans="1:10">
      <c r="A21" s="6" t="s">
        <v>70</v>
      </c>
      <c r="B21" s="6" t="s">
        <v>71</v>
      </c>
      <c r="C21" s="13">
        <f>'1_Investment_Stategy1'!C4</f>
        <v>0.12</v>
      </c>
      <c r="D21" s="6" t="s">
        <v>67</v>
      </c>
      <c r="E21" s="2"/>
      <c r="F21" s="6" t="s">
        <v>72</v>
      </c>
      <c r="G21" s="7">
        <f ca="1">AVERAGE('1_Investment_Stategy1'!S2:S2001)+1.96*_xlfn.STDEV.S('1_Investment_Stategy1'!S2:S2001)/SQRT('1_Investment_Stategy1'!C8)</f>
        <v>12.013024947939</v>
      </c>
      <c r="H21" s="7">
        <f ca="1">AVERAGE('1_Investment_Stategy2'!R2:R2001)+1.96*_xlfn.STDEV.S('1_Investment_Stategy2'!R2:R2001)/SQRT('1_Investment_Stategy2'!C8)</f>
        <v>12.6703192417922</v>
      </c>
      <c r="I21" s="7">
        <f ca="1" t="shared" si="0"/>
        <v>0.657294293853202</v>
      </c>
      <c r="J21" s="6" t="s">
        <v>69</v>
      </c>
    </row>
    <row r="22" ht="26" customHeight="1" spans="1:10">
      <c r="A22" s="6" t="s">
        <v>73</v>
      </c>
      <c r="B22" s="6" t="s">
        <v>74</v>
      </c>
      <c r="C22" s="13">
        <f>'1_Investment_Stategy1'!C7</f>
        <v>0.05</v>
      </c>
      <c r="D22" s="6" t="s">
        <v>67</v>
      </c>
      <c r="E22" s="2"/>
      <c r="F22" s="6" t="s">
        <v>75</v>
      </c>
      <c r="G22" s="17">
        <f ca="1">MIN('1_Investment_Stategy1'!S2:S2001)</f>
        <v>9</v>
      </c>
      <c r="H22" s="17">
        <f ca="1">MIN('1_Investment_Stategy2'!R2:R2001)</f>
        <v>8</v>
      </c>
      <c r="I22" s="17">
        <f ca="1" t="shared" si="0"/>
        <v>-1</v>
      </c>
      <c r="J22" s="6" t="s">
        <v>76</v>
      </c>
    </row>
    <row r="23" ht="26" customHeight="1" spans="1:10">
      <c r="A23" s="6" t="s">
        <v>77</v>
      </c>
      <c r="B23" s="6" t="s">
        <v>78</v>
      </c>
      <c r="C23" s="13">
        <f>'1_Investment_Stategy1'!C8</f>
        <v>2000</v>
      </c>
      <c r="D23" s="6" t="s">
        <v>79</v>
      </c>
      <c r="E23" s="2"/>
      <c r="F23" s="6" t="s">
        <v>80</v>
      </c>
      <c r="G23" s="17">
        <f ca="1">MAX('1_Investment_Stategy1'!S2:S2001)</f>
        <v>33</v>
      </c>
      <c r="H23" s="17">
        <f ca="1">MAX('1_Investment_Stategy2'!R2:R2001)</f>
        <v>30</v>
      </c>
      <c r="I23" s="17">
        <f ca="1" t="shared" si="0"/>
        <v>-3</v>
      </c>
      <c r="J23" s="6" t="s">
        <v>81</v>
      </c>
    </row>
    <row r="24" spans="1:10">
      <c r="A24" s="2"/>
      <c r="B24" s="2"/>
      <c r="C24" s="2"/>
      <c r="D24" s="2"/>
      <c r="E24" s="2"/>
      <c r="F24" s="2"/>
      <c r="G24" s="2"/>
      <c r="H24" s="2"/>
      <c r="I24" s="2"/>
      <c r="J24" s="2"/>
    </row>
    <row r="25" spans="1:10">
      <c r="A25" s="2"/>
      <c r="B25" s="2"/>
      <c r="C25" s="2"/>
      <c r="D25" s="2"/>
      <c r="E25" s="2"/>
      <c r="F25" s="2"/>
      <c r="G25" s="2"/>
      <c r="H25" s="2"/>
      <c r="I25" s="2"/>
      <c r="J25" s="2"/>
    </row>
    <row r="26" ht="22" customHeight="1" spans="1:10">
      <c r="A26" s="4" t="s">
        <v>82</v>
      </c>
      <c r="B26" s="4"/>
      <c r="C26" s="4"/>
      <c r="D26" s="4"/>
      <c r="E26" s="2"/>
      <c r="F26" s="4" t="s">
        <v>83</v>
      </c>
      <c r="G26" s="4"/>
      <c r="H26" s="4"/>
      <c r="I26" s="4"/>
      <c r="J26" s="4"/>
    </row>
    <row r="27" ht="78" customHeight="1" spans="1:10">
      <c r="A27" s="3" t="str">
        <f ca="1">"Across "&amp;TEXT('1_Investment_Stategy1'!C8,"#,##0")&amp;" simulated paths, the bond-first policy has an estimated mean fund life of "&amp;TEXT(H18,"0.00")&amp;" years versus "&amp;TEXT(G18,"0.00")&amp;" years for parallel withdrawals, a difference of "&amp;TEXT(I18,"0.00")&amp;" years. The 95% confidence intervals for the estimated means are ["&amp;TEXT(G20,"0.00")&amp;", "&amp;TEXT(G21,"0.00")&amp;"] and ["&amp;TEXT(H20,"0.00")&amp;", "&amp;TEXT(H21,"0.00")&amp;"]. Because these values are linked to the simulation output, this interpretation updates whenever the original simulation recalculates."</f>
        <v>Across 2,000 simulated paths, the bond-first policy has an estimated mean fund life of 12.57 years versus 11.94 years for parallel withdrawals, a difference of 0.63 years. The 95% confidence intervals for the estimated means are [11.88, 12.01] and [12.47, 12.67]. Because these values are linked to the simulation output, this interpretation updates whenever the original simulation recalculates.</v>
      </c>
      <c r="B27" s="3"/>
      <c r="C27" s="3"/>
      <c r="D27" s="3"/>
      <c r="E27" s="2"/>
      <c r="F27" s="5" t="s">
        <v>84</v>
      </c>
      <c r="G27" s="5" t="s">
        <v>85</v>
      </c>
      <c r="H27" s="5" t="s">
        <v>86</v>
      </c>
      <c r="I27" s="5" t="s">
        <v>87</v>
      </c>
      <c r="J27" s="5" t="s">
        <v>88</v>
      </c>
    </row>
    <row r="28" ht="22" customHeight="1" spans="1:10">
      <c r="A28" s="3"/>
      <c r="B28" s="3"/>
      <c r="C28" s="3"/>
      <c r="D28" s="3"/>
      <c r="E28" s="2"/>
      <c r="F28" s="6">
        <v>8</v>
      </c>
      <c r="G28" s="9">
        <f ca="1">COUNTIFS('1_Investment_Stategy1'!$S$2:$S$2001,"&gt;6",'1_Investment_Stategy1'!$S$2:$S$2001,"&lt;=8")/'1_Investment_Stategy1'!C8</f>
        <v>0</v>
      </c>
      <c r="H28" s="9">
        <f ca="1">COUNTIFS('1_Investment_Stategy2'!$R$2:$R$2001,"&gt;6",'1_Investment_Stategy2'!$R$2:$R$2001,"&lt;=8")/'1_Investment_Stategy2'!C8</f>
        <v>0.0005</v>
      </c>
      <c r="I28" s="6" t="str">
        <f ca="1" t="shared" ref="I28:I44" si="1">REPT("|",ROUND(G28*40,0))</f>
        <v/>
      </c>
      <c r="J28" s="6" t="str">
        <f ca="1" t="shared" ref="J28:J44" si="2">REPT("|",ROUND(H28*40,0))</f>
        <v/>
      </c>
    </row>
    <row r="29" ht="22" customHeight="1" spans="1:10">
      <c r="A29" s="3"/>
      <c r="B29" s="3"/>
      <c r="C29" s="3"/>
      <c r="D29" s="3"/>
      <c r="E29" s="2"/>
      <c r="F29" s="6">
        <v>10</v>
      </c>
      <c r="G29" s="9">
        <f ca="1">COUNTIFS('1_Investment_Stategy1'!$S$2:$S$2001,"&gt;8",'1_Investment_Stategy1'!$S$2:$S$2001,"&lt;=10")/'1_Investment_Stategy1'!C8</f>
        <v>0.1115</v>
      </c>
      <c r="H29" s="9">
        <f ca="1">COUNTIFS('1_Investment_Stategy2'!$R$2:$R$2001,"&gt;8",'1_Investment_Stategy2'!$R$2:$R$2001,"&lt;=10")/'1_Investment_Stategy2'!C8</f>
        <v>0.1385</v>
      </c>
      <c r="I29" s="6" t="str">
        <f ca="1" t="shared" si="1"/>
        <v>||||</v>
      </c>
      <c r="J29" s="6" t="str">
        <f ca="1" t="shared" si="2"/>
        <v>||||||</v>
      </c>
    </row>
    <row r="30" ht="22" customHeight="1" spans="1:10">
      <c r="A30" s="3"/>
      <c r="B30" s="3"/>
      <c r="C30" s="3"/>
      <c r="D30" s="3"/>
      <c r="E30" s="2"/>
      <c r="F30" s="6">
        <v>12</v>
      </c>
      <c r="G30" s="9">
        <f ca="1">COUNTIFS('1_Investment_Stategy1'!$S$2:$S$2001,"&gt;10",'1_Investment_Stategy1'!$S$2:$S$2001,"&lt;=12")/'1_Investment_Stategy1'!C8</f>
        <v>0.6285</v>
      </c>
      <c r="H30" s="9">
        <f ca="1">COUNTIFS('1_Investment_Stategy2'!$R$2:$R$2001,"&gt;10",'1_Investment_Stategy2'!$R$2:$R$2001,"&lt;=12")/'1_Investment_Stategy2'!C8</f>
        <v>0.4425</v>
      </c>
      <c r="I30" s="6" t="str">
        <f ca="1" t="shared" si="1"/>
        <v>|||||||||||||||||||||||||</v>
      </c>
      <c r="J30" s="6" t="str">
        <f ca="1" t="shared" si="2"/>
        <v>||||||||||||||||||</v>
      </c>
    </row>
    <row r="31" ht="22" customHeight="1" spans="1:10">
      <c r="A31" s="3"/>
      <c r="B31" s="3"/>
      <c r="C31" s="3"/>
      <c r="D31" s="3"/>
      <c r="E31" s="2"/>
      <c r="F31" s="6">
        <v>14</v>
      </c>
      <c r="G31" s="9">
        <f ca="1">COUNTIFS('1_Investment_Stategy1'!$S$2:$S$2001,"&gt;12",'1_Investment_Stategy1'!$S$2:$S$2001,"&lt;=14")/'1_Investment_Stategy1'!C8</f>
        <v>0.208</v>
      </c>
      <c r="H31" s="9">
        <f ca="1">COUNTIFS('1_Investment_Stategy2'!$R$2:$R$2001,"&gt;12",'1_Investment_Stategy2'!$R$2:$R$2001,"&lt;=14")/'1_Investment_Stategy2'!C8</f>
        <v>0.2665</v>
      </c>
      <c r="I31" s="6" t="str">
        <f ca="1" t="shared" si="1"/>
        <v>||||||||</v>
      </c>
      <c r="J31" s="6" t="str">
        <f ca="1" t="shared" si="2"/>
        <v>|||||||||||</v>
      </c>
    </row>
    <row r="32" ht="22" customHeight="1" spans="1:10">
      <c r="A32" s="3"/>
      <c r="B32" s="3"/>
      <c r="C32" s="3"/>
      <c r="D32" s="3"/>
      <c r="E32" s="2"/>
      <c r="F32" s="6">
        <v>16</v>
      </c>
      <c r="G32" s="9">
        <f ca="1">COUNTIFS('1_Investment_Stategy1'!$S$2:$S$2001,"&gt;14",'1_Investment_Stategy1'!$S$2:$S$2001,"&lt;=16")/'1_Investment_Stategy1'!C8</f>
        <v>0.041</v>
      </c>
      <c r="H32" s="9">
        <f ca="1">COUNTIFS('1_Investment_Stategy2'!$R$2:$R$2001,"&gt;14",'1_Investment_Stategy2'!$R$2:$R$2001,"&lt;=16")/'1_Investment_Stategy2'!C8</f>
        <v>0.094</v>
      </c>
      <c r="I32" s="6" t="str">
        <f ca="1" t="shared" si="1"/>
        <v>||</v>
      </c>
      <c r="J32" s="6" t="str">
        <f ca="1" t="shared" si="2"/>
        <v>||||</v>
      </c>
    </row>
    <row r="33" ht="22" customHeight="1" spans="1:10">
      <c r="A33" s="2"/>
      <c r="B33" s="2"/>
      <c r="C33" s="2"/>
      <c r="D33" s="2"/>
      <c r="E33" s="2"/>
      <c r="F33" s="6">
        <v>18</v>
      </c>
      <c r="G33" s="9">
        <f ca="1">COUNTIFS('1_Investment_Stategy1'!$S$2:$S$2001,"&gt;16",'1_Investment_Stategy1'!$S$2:$S$2001,"&lt;=18")/'1_Investment_Stategy1'!C8</f>
        <v>0.007</v>
      </c>
      <c r="H33" s="9">
        <f ca="1">COUNTIFS('1_Investment_Stategy2'!$R$2:$R$2001,"&gt;16",'1_Investment_Stategy2'!$R$2:$R$2001,"&lt;=18")/'1_Investment_Stategy2'!C8</f>
        <v>0.035</v>
      </c>
      <c r="I33" s="6" t="str">
        <f ca="1" t="shared" si="1"/>
        <v/>
      </c>
      <c r="J33" s="6" t="str">
        <f ca="1" t="shared" si="2"/>
        <v>|</v>
      </c>
    </row>
    <row r="34" ht="22" customHeight="1" spans="1:10">
      <c r="A34" s="4" t="s">
        <v>89</v>
      </c>
      <c r="B34" s="4"/>
      <c r="C34" s="4"/>
      <c r="D34" s="4"/>
      <c r="E34" s="2"/>
      <c r="F34" s="6">
        <v>20</v>
      </c>
      <c r="G34" s="9">
        <f ca="1">COUNTIFS('1_Investment_Stategy1'!$S$2:$S$2001,"&gt;18",'1_Investment_Stategy1'!$S$2:$S$2001,"&lt;=20")/'1_Investment_Stategy1'!C8</f>
        <v>0.001</v>
      </c>
      <c r="H34" s="9">
        <f ca="1">COUNTIFS('1_Investment_Stategy2'!$R$2:$R$2001,"&gt;18",'1_Investment_Stategy2'!$R$2:$R$2001,"&lt;=20")/'1_Investment_Stategy2'!C8</f>
        <v>0.015</v>
      </c>
      <c r="I34" s="6" t="str">
        <f ca="1" t="shared" si="1"/>
        <v/>
      </c>
      <c r="J34" s="6" t="str">
        <f ca="1" t="shared" si="2"/>
        <v>|</v>
      </c>
    </row>
    <row r="35" ht="68" customHeight="1" spans="1:10">
      <c r="A35" s="3" t="str">
        <f ca="1">"In the current simulation, "&amp;IF(H18&gt;G18,"bond-first withdrawal","parallel withdrawal")&amp;" produces the longer estimated mean fund life by "&amp;TEXT(ABS(I18),"0.00")&amp;" years. Withdrawal sequencing changes the amount of capital left exposed to compounding, so the decision should be evaluated using the full simulated distribution and confidence intervals rather than a single path."</f>
        <v>In the current simulation, bond-first withdrawal produces the longer estimated mean fund life by 0.63 years. Withdrawal sequencing changes the amount of capital left exposed to compounding, so the decision should be evaluated using the full simulated distribution and confidence intervals rather than a single path.</v>
      </c>
      <c r="B35" s="3"/>
      <c r="C35" s="3"/>
      <c r="D35" s="3"/>
      <c r="E35" s="2"/>
      <c r="F35" s="6">
        <v>22</v>
      </c>
      <c r="G35" s="9">
        <f ca="1">COUNTIFS('1_Investment_Stategy1'!$S$2:$S$2001,"&gt;20",'1_Investment_Stategy1'!$S$2:$S$2001,"&lt;=22")/'1_Investment_Stategy1'!C8</f>
        <v>0.002</v>
      </c>
      <c r="H35" s="9">
        <f ca="1">COUNTIFS('1_Investment_Stategy2'!$R$2:$R$2001,"&gt;20",'1_Investment_Stategy2'!$R$2:$R$2001,"&lt;=22")/'1_Investment_Stategy2'!C8</f>
        <v>0.003</v>
      </c>
      <c r="I35" s="6" t="str">
        <f ca="1" t="shared" si="1"/>
        <v/>
      </c>
      <c r="J35" s="6" t="str">
        <f ca="1" t="shared" si="2"/>
        <v/>
      </c>
    </row>
    <row r="36" ht="22" customHeight="1" spans="1:10">
      <c r="A36" s="3"/>
      <c r="B36" s="3"/>
      <c r="C36" s="3"/>
      <c r="D36" s="3"/>
      <c r="E36" s="2"/>
      <c r="F36" s="6">
        <v>24</v>
      </c>
      <c r="G36" s="9">
        <f ca="1">COUNTIFS('1_Investment_Stategy1'!$S$2:$S$2001,"&gt;22",'1_Investment_Stategy1'!$S$2:$S$2001,"&lt;=24")/'1_Investment_Stategy1'!C8</f>
        <v>0</v>
      </c>
      <c r="H36" s="9">
        <f ca="1">COUNTIFS('1_Investment_Stategy2'!$R$2:$R$2001,"&gt;22",'1_Investment_Stategy2'!$R$2:$R$2001,"&lt;=24")/'1_Investment_Stategy2'!C8</f>
        <v>0.0025</v>
      </c>
      <c r="I36" s="6" t="str">
        <f ca="1" t="shared" si="1"/>
        <v/>
      </c>
      <c r="J36" s="6" t="str">
        <f ca="1" t="shared" si="2"/>
        <v/>
      </c>
    </row>
    <row r="37" ht="22" customHeight="1" spans="1:10">
      <c r="A37" s="3"/>
      <c r="B37" s="3"/>
      <c r="C37" s="3"/>
      <c r="D37" s="3"/>
      <c r="E37" s="2"/>
      <c r="F37" s="6">
        <v>26</v>
      </c>
      <c r="G37" s="9">
        <f ca="1">COUNTIFS('1_Investment_Stategy1'!$S$2:$S$2001,"&gt;24",'1_Investment_Stategy1'!$S$2:$S$2001,"&lt;=26")/'1_Investment_Stategy1'!C8</f>
        <v>0</v>
      </c>
      <c r="H37" s="9">
        <f ca="1">COUNTIFS('1_Investment_Stategy2'!$R$2:$R$2001,"&gt;24",'1_Investment_Stategy2'!$R$2:$R$2001,"&lt;=26")/'1_Investment_Stategy2'!C8</f>
        <v>0.001</v>
      </c>
      <c r="I37" s="6" t="str">
        <f ca="1" t="shared" si="1"/>
        <v/>
      </c>
      <c r="J37" s="6" t="str">
        <f ca="1" t="shared" si="2"/>
        <v/>
      </c>
    </row>
    <row r="38" ht="22" customHeight="1" spans="1:10">
      <c r="A38" s="3"/>
      <c r="B38" s="3"/>
      <c r="C38" s="3"/>
      <c r="D38" s="3"/>
      <c r="E38" s="2"/>
      <c r="F38" s="6">
        <v>28</v>
      </c>
      <c r="G38" s="9">
        <f ca="1">COUNTIFS('1_Investment_Stategy1'!$S$2:$S$2001,"&gt;26",'1_Investment_Stategy1'!$S$2:$S$2001,"&lt;=28")/'1_Investment_Stategy1'!C8</f>
        <v>0</v>
      </c>
      <c r="H38" s="9">
        <f ca="1">COUNTIFS('1_Investment_Stategy2'!$R$2:$R$2001,"&gt;26",'1_Investment_Stategy2'!$R$2:$R$2001,"&lt;=28")/'1_Investment_Stategy2'!C8</f>
        <v>0.001</v>
      </c>
      <c r="I38" s="6" t="str">
        <f ca="1" t="shared" si="1"/>
        <v/>
      </c>
      <c r="J38" s="6" t="str">
        <f ca="1" t="shared" si="2"/>
        <v/>
      </c>
    </row>
    <row r="39" ht="22" customHeight="1" spans="1:10">
      <c r="A39" s="3"/>
      <c r="B39" s="3"/>
      <c r="C39" s="3"/>
      <c r="D39" s="3"/>
      <c r="E39" s="2"/>
      <c r="F39" s="6">
        <v>30</v>
      </c>
      <c r="G39" s="9">
        <f ca="1">COUNTIFS('1_Investment_Stategy1'!$S$2:$S$2001,"&gt;28",'1_Investment_Stategy1'!$S$2:$S$2001,"&lt;=30")/'1_Investment_Stategy1'!C8</f>
        <v>0.0005</v>
      </c>
      <c r="H39" s="9">
        <f ca="1">COUNTIFS('1_Investment_Stategy2'!$R$2:$R$2001,"&gt;28",'1_Investment_Stategy2'!$R$2:$R$2001,"&lt;=30")/'1_Investment_Stategy2'!C8</f>
        <v>0.0005</v>
      </c>
      <c r="I39" s="6" t="str">
        <f ca="1" t="shared" si="1"/>
        <v/>
      </c>
      <c r="J39" s="6" t="str">
        <f ca="1" t="shared" si="2"/>
        <v/>
      </c>
    </row>
    <row r="40" ht="22" customHeight="1" spans="1:10">
      <c r="A40" s="3"/>
      <c r="B40" s="3"/>
      <c r="C40" s="3"/>
      <c r="D40" s="3"/>
      <c r="E40" s="2"/>
      <c r="F40" s="6">
        <v>32</v>
      </c>
      <c r="G40" s="9">
        <f ca="1">COUNTIFS('1_Investment_Stategy1'!$S$2:$S$2001,"&gt;30",'1_Investment_Stategy1'!$S$2:$S$2001,"&lt;=32")/'1_Investment_Stategy1'!C8</f>
        <v>0</v>
      </c>
      <c r="H40" s="9">
        <f ca="1">COUNTIFS('1_Investment_Stategy2'!$R$2:$R$2001,"&gt;30",'1_Investment_Stategy2'!$R$2:$R$2001,"&lt;=32")/'1_Investment_Stategy2'!C8</f>
        <v>0</v>
      </c>
      <c r="I40" s="6" t="str">
        <f ca="1" t="shared" si="1"/>
        <v/>
      </c>
      <c r="J40" s="6" t="str">
        <f ca="1" t="shared" si="2"/>
        <v/>
      </c>
    </row>
    <row r="41" ht="22" customHeight="1" spans="1:10">
      <c r="A41" s="2"/>
      <c r="B41" s="2"/>
      <c r="C41" s="2"/>
      <c r="D41" s="2"/>
      <c r="E41" s="2"/>
      <c r="F41" s="6">
        <v>34</v>
      </c>
      <c r="G41" s="9">
        <f ca="1">COUNTIFS('1_Investment_Stategy1'!$S$2:$S$2001,"&gt;32",'1_Investment_Stategy1'!$S$2:$S$2001,"&lt;=34")/'1_Investment_Stategy1'!C8</f>
        <v>0.0005</v>
      </c>
      <c r="H41" s="9">
        <f ca="1">COUNTIFS('1_Investment_Stategy2'!$R$2:$R$2001,"&gt;32",'1_Investment_Stategy2'!$R$2:$R$2001,"&lt;=34")/'1_Investment_Stategy2'!C8</f>
        <v>0</v>
      </c>
      <c r="I41" s="6" t="str">
        <f ca="1" t="shared" si="1"/>
        <v/>
      </c>
      <c r="J41" s="6" t="str">
        <f ca="1" t="shared" si="2"/>
        <v/>
      </c>
    </row>
    <row r="42" ht="22" customHeight="1" spans="1:10">
      <c r="A42" s="4" t="s">
        <v>90</v>
      </c>
      <c r="B42" s="4"/>
      <c r="C42" s="4"/>
      <c r="D42" s="4"/>
      <c r="E42" s="2"/>
      <c r="F42" s="6">
        <v>36</v>
      </c>
      <c r="G42" s="9">
        <f ca="1">COUNTIFS('1_Investment_Stategy1'!$S$2:$S$2001,"&gt;34",'1_Investment_Stategy1'!$S$2:$S$2001,"&lt;=36")/'1_Investment_Stategy1'!C8</f>
        <v>0</v>
      </c>
      <c r="H42" s="9">
        <f ca="1">COUNTIFS('1_Investment_Stategy2'!$R$2:$R$2001,"&gt;34",'1_Investment_Stategy2'!$R$2:$R$2001,"&lt;=36")/'1_Investment_Stategy2'!C8</f>
        <v>0</v>
      </c>
      <c r="I42" s="6" t="str">
        <f ca="1" t="shared" si="1"/>
        <v/>
      </c>
      <c r="J42" s="6" t="str">
        <f ca="1" t="shared" si="2"/>
        <v/>
      </c>
    </row>
    <row r="43" ht="72" customHeight="1" spans="1:10">
      <c r="A43" s="3" t="str">
        <f>"The stock process assumes constant drift and volatility, normally distributed shocks, annual time steps, and no transaction costs, taxes, fees, inflation, or regime changes. Bond returns are fixed at "&amp;TEXT(C22,"0.0%")&amp;". The reported Monte Carlo estimates use "&amp;TEXT(C23,"#,##0")&amp;" replications per strategy and therefore contain sampling error, which is examined in the convergence sheet."</f>
        <v>The stock process assumes constant drift and volatility, normally distributed shocks, annual time steps, and no transaction costs, taxes, fees, inflation, or regime changes. Bond returns are fixed at 5.0%. The reported Monte Carlo estimates use 2,000 replications per strategy and therefore contain sampling error, which is examined in the convergence sheet.</v>
      </c>
      <c r="B43" s="3"/>
      <c r="C43" s="3"/>
      <c r="D43" s="3"/>
      <c r="E43" s="2"/>
      <c r="F43" s="6">
        <v>38</v>
      </c>
      <c r="G43" s="9">
        <f ca="1">COUNTIFS('1_Investment_Stategy1'!$S$2:$S$2001,"&gt;36",'1_Investment_Stategy1'!$S$2:$S$2001,"&lt;=38")/'1_Investment_Stategy1'!C8</f>
        <v>0</v>
      </c>
      <c r="H43" s="9">
        <f ca="1">COUNTIFS('1_Investment_Stategy2'!$R$2:$R$2001,"&gt;36",'1_Investment_Stategy2'!$R$2:$R$2001,"&lt;=38")/'1_Investment_Stategy2'!C8</f>
        <v>0</v>
      </c>
      <c r="I43" s="6" t="str">
        <f ca="1" t="shared" si="1"/>
        <v/>
      </c>
      <c r="J43" s="6" t="str">
        <f ca="1" t="shared" si="2"/>
        <v/>
      </c>
    </row>
    <row r="44" ht="22" customHeight="1" spans="1:10">
      <c r="A44" s="3"/>
      <c r="B44" s="3"/>
      <c r="C44" s="3"/>
      <c r="D44" s="3"/>
      <c r="E44" s="2"/>
      <c r="F44" s="6">
        <v>40</v>
      </c>
      <c r="G44" s="9">
        <f ca="1">COUNTIFS('1_Investment_Stategy1'!$S$2:$S$2001,"&gt;38",'1_Investment_Stategy1'!$S$2:$S$2001,"&lt;=40")/'1_Investment_Stategy1'!C8</f>
        <v>0</v>
      </c>
      <c r="H44" s="9">
        <f ca="1">COUNTIFS('1_Investment_Stategy2'!$R$2:$R$2001,"&gt;38",'1_Investment_Stategy2'!$R$2:$R$2001,"&lt;=40")/'1_Investment_Stategy2'!C8</f>
        <v>0</v>
      </c>
      <c r="I44" s="6" t="str">
        <f ca="1" t="shared" si="1"/>
        <v/>
      </c>
      <c r="J44" s="6" t="str">
        <f ca="1" t="shared" si="2"/>
        <v/>
      </c>
    </row>
    <row r="45" spans="1:10">
      <c r="A45" s="3"/>
      <c r="B45" s="3"/>
      <c r="C45" s="3"/>
      <c r="D45" s="3"/>
      <c r="E45" s="2"/>
      <c r="F45" s="2"/>
      <c r="G45" s="2"/>
      <c r="H45" s="2"/>
      <c r="I45" s="2"/>
      <c r="J45" s="2"/>
    </row>
    <row r="46" spans="1:10">
      <c r="A46" s="3"/>
      <c r="B46" s="3"/>
      <c r="C46" s="3"/>
      <c r="D46" s="3"/>
      <c r="E46" s="2"/>
      <c r="F46" s="2"/>
      <c r="G46" s="2"/>
      <c r="H46" s="2"/>
      <c r="I46" s="2"/>
      <c r="J46" s="2"/>
    </row>
    <row r="47" spans="1:10">
      <c r="A47" s="3"/>
      <c r="B47" s="3"/>
      <c r="C47" s="3"/>
      <c r="D47" s="3"/>
      <c r="E47" s="2"/>
      <c r="F47" s="2"/>
      <c r="G47" s="2"/>
      <c r="H47" s="2"/>
      <c r="I47" s="2"/>
      <c r="J47" s="2"/>
    </row>
    <row r="48" spans="1:10">
      <c r="A48" s="3"/>
      <c r="B48" s="3"/>
      <c r="C48" s="3"/>
      <c r="D48" s="3"/>
      <c r="E48" s="2"/>
      <c r="F48" s="2"/>
      <c r="G48" s="2"/>
      <c r="H48" s="2"/>
      <c r="I48" s="2"/>
      <c r="J48" s="2"/>
    </row>
    <row r="49" spans="1:10">
      <c r="A49" s="2"/>
      <c r="B49" s="2"/>
      <c r="C49" s="2"/>
      <c r="D49" s="2"/>
      <c r="E49" s="2"/>
      <c r="F49" s="2"/>
      <c r="G49" s="2"/>
      <c r="H49" s="2"/>
      <c r="I49" s="2"/>
      <c r="J49" s="2"/>
    </row>
    <row r="50" spans="1:10">
      <c r="A50" s="2"/>
      <c r="B50" s="2"/>
      <c r="C50" s="2"/>
      <c r="D50" s="2"/>
      <c r="E50" s="2"/>
      <c r="F50" s="2"/>
      <c r="G50" s="2"/>
      <c r="H50" s="2"/>
      <c r="I50" s="2"/>
      <c r="J50" s="2"/>
    </row>
    <row r="51" spans="1:10">
      <c r="A51" s="2"/>
      <c r="B51" s="2"/>
      <c r="C51" s="2"/>
      <c r="D51" s="2"/>
      <c r="E51" s="2"/>
      <c r="F51" s="2"/>
      <c r="G51" s="2"/>
      <c r="H51" s="2"/>
      <c r="I51" s="2"/>
      <c r="J51" s="2"/>
    </row>
    <row r="52" spans="1:10">
      <c r="A52" s="2"/>
      <c r="B52" s="2"/>
      <c r="C52" s="2"/>
      <c r="D52" s="2"/>
      <c r="E52" s="2"/>
      <c r="F52" s="2"/>
      <c r="G52" s="2"/>
      <c r="H52" s="2"/>
      <c r="I52" s="2"/>
      <c r="J52" s="2"/>
    </row>
    <row r="53" spans="1:10">
      <c r="A53" s="2"/>
      <c r="B53" s="2"/>
      <c r="C53" s="2"/>
      <c r="D53" s="2"/>
      <c r="E53" s="2"/>
      <c r="F53" s="2"/>
      <c r="G53" s="2"/>
      <c r="H53" s="2"/>
      <c r="I53" s="2"/>
      <c r="J53" s="2"/>
    </row>
    <row r="54" spans="1:10">
      <c r="A54" s="2"/>
      <c r="B54" s="2"/>
      <c r="C54" s="2"/>
      <c r="D54" s="2"/>
      <c r="E54" s="2"/>
      <c r="F54" s="2"/>
      <c r="G54" s="2"/>
      <c r="H54" s="2"/>
      <c r="I54" s="2"/>
      <c r="J54" s="2"/>
    </row>
    <row r="55" spans="1:10">
      <c r="A55" s="2"/>
      <c r="B55" s="2"/>
      <c r="C55" s="2"/>
      <c r="D55" s="2"/>
      <c r="E55" s="2"/>
      <c r="F55" s="2"/>
      <c r="G55" s="2"/>
      <c r="H55" s="2"/>
      <c r="I55" s="2"/>
      <c r="J55" s="2"/>
    </row>
    <row r="56" spans="1:10">
      <c r="A56" s="2"/>
      <c r="B56" s="2"/>
      <c r="C56" s="2"/>
      <c r="D56" s="2"/>
      <c r="E56" s="2"/>
      <c r="F56" s="2"/>
      <c r="G56" s="2"/>
      <c r="H56" s="2"/>
      <c r="I56" s="2"/>
      <c r="J56" s="2"/>
    </row>
    <row r="57" spans="1:10">
      <c r="A57" s="2"/>
      <c r="B57" s="2"/>
      <c r="C57" s="2"/>
      <c r="D57" s="2"/>
      <c r="E57" s="2"/>
      <c r="F57" s="2"/>
      <c r="G57" s="2"/>
      <c r="H57" s="2"/>
      <c r="I57" s="2"/>
      <c r="J57" s="2"/>
    </row>
    <row r="58" spans="1:10">
      <c r="A58" s="2"/>
      <c r="B58" s="2"/>
      <c r="C58" s="2"/>
      <c r="D58" s="2"/>
      <c r="E58" s="2"/>
      <c r="F58" s="2"/>
      <c r="G58" s="2"/>
      <c r="H58" s="2"/>
      <c r="I58" s="2"/>
      <c r="J58" s="2"/>
    </row>
    <row r="59" spans="1:10">
      <c r="A59" s="2"/>
      <c r="B59" s="2"/>
      <c r="C59" s="2"/>
      <c r="D59" s="2"/>
      <c r="E59" s="2"/>
      <c r="F59" s="2"/>
      <c r="G59" s="2"/>
      <c r="H59" s="2"/>
      <c r="I59" s="2"/>
      <c r="J59" s="2"/>
    </row>
    <row r="60" spans="1:10">
      <c r="A60" s="2"/>
      <c r="B60" s="2"/>
      <c r="C60" s="2"/>
      <c r="D60" s="2"/>
      <c r="E60" s="2"/>
      <c r="F60" s="2"/>
      <c r="G60" s="2"/>
      <c r="H60" s="2"/>
      <c r="I60" s="2"/>
      <c r="J60" s="2"/>
    </row>
  </sheetData>
  <mergeCells count="16">
    <mergeCell ref="A4:J4"/>
    <mergeCell ref="A8:J8"/>
    <mergeCell ref="A12:J12"/>
    <mergeCell ref="A16:D16"/>
    <mergeCell ref="F16:J16"/>
    <mergeCell ref="A26:D26"/>
    <mergeCell ref="F26:J26"/>
    <mergeCell ref="A34:D34"/>
    <mergeCell ref="A42:D42"/>
    <mergeCell ref="A1:J2"/>
    <mergeCell ref="A5:J6"/>
    <mergeCell ref="A9:J10"/>
    <mergeCell ref="A13:J14"/>
    <mergeCell ref="A27:D32"/>
    <mergeCell ref="A35:D40"/>
    <mergeCell ref="A43:D48"/>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1"/>
  <sheetViews>
    <sheetView workbookViewId="0">
      <selection activeCell="A1" sqref="A1"/>
    </sheetView>
  </sheetViews>
  <sheetFormatPr defaultColWidth="11" defaultRowHeight="17.6"/>
  <cols>
    <col min="8" max="8" width="12.6470588235294"/>
  </cols>
  <sheetData>
    <row r="1" spans="1:26">
      <c r="A1" t="s">
        <v>91</v>
      </c>
      <c r="B1" t="s">
        <v>56</v>
      </c>
      <c r="C1">
        <v>500</v>
      </c>
      <c r="E1" t="s">
        <v>92</v>
      </c>
      <c r="F1" t="s">
        <v>93</v>
      </c>
      <c r="G1" t="s">
        <v>94</v>
      </c>
      <c r="H1" t="s">
        <v>95</v>
      </c>
      <c r="I1" t="s">
        <v>96</v>
      </c>
      <c r="J1" t="s">
        <v>97</v>
      </c>
      <c r="K1" t="s">
        <v>98</v>
      </c>
      <c r="M1" t="s">
        <v>99</v>
      </c>
      <c r="N1" t="s">
        <v>100</v>
      </c>
      <c r="O1">
        <f ca="1">SUM(alive)</f>
        <v>11</v>
      </c>
      <c r="Q1" t="s">
        <v>101</v>
      </c>
      <c r="R1" t="s">
        <v>102</v>
      </c>
      <c r="S1" t="s">
        <v>103</v>
      </c>
      <c r="U1" t="s">
        <v>104</v>
      </c>
      <c r="V1" t="s">
        <v>105</v>
      </c>
      <c r="W1">
        <f ca="1">MAX(STS)</f>
        <v>33</v>
      </c>
      <c r="Y1" t="s">
        <v>106</v>
      </c>
      <c r="Z1">
        <f ca="1">AVERAGE(STS)</f>
        <v>11.9445</v>
      </c>
    </row>
    <row r="2" spans="2:26">
      <c r="B2" t="s">
        <v>61</v>
      </c>
      <c r="C2">
        <v>500</v>
      </c>
      <c r="F2">
        <f t="array" ref="F2:F51">_xlfn.SEQUENCE(50)</f>
        <v>1</v>
      </c>
      <c r="G2">
        <f>B0</f>
        <v>500</v>
      </c>
      <c r="H2">
        <f>S0</f>
        <v>500</v>
      </c>
      <c r="I2">
        <f>(60-G2)*(G2&lt;60)</f>
        <v>0</v>
      </c>
      <c r="J2">
        <f>(60-H2)*(H2&lt;60)</f>
        <v>0</v>
      </c>
      <c r="K2">
        <f t="shared" ref="K2:K33" si="0">IF(G2+H2&gt;0,1,0)</f>
        <v>1</v>
      </c>
      <c r="R2">
        <f t="array" ref="R2:R2001">_xlfn.SEQUENCE(2000)</f>
        <v>1</v>
      </c>
      <c r="S2">
        <f ca="1">ST_1</f>
        <v>11</v>
      </c>
      <c r="V2" t="s">
        <v>107</v>
      </c>
      <c r="W2">
        <f ca="1">MIN(STS)</f>
        <v>9</v>
      </c>
      <c r="Y2" t="s">
        <v>108</v>
      </c>
      <c r="Z2">
        <f ca="1">E_ST1-1.96*STDEV(STS)/SQRT(N)</f>
        <v>11.875975052061</v>
      </c>
    </row>
    <row r="3" spans="2:26">
      <c r="B3" t="s">
        <v>109</v>
      </c>
      <c r="C3">
        <v>0.08</v>
      </c>
      <c r="F3">
        <v>2</v>
      </c>
      <c r="G3">
        <f t="shared" ref="G3:G34" si="1">1*(G2&gt;60)*(G2-60-J2)*(1+rs)</f>
        <v>462</v>
      </c>
      <c r="H3">
        <f ca="1">1*(H2&gt;60)*(H2-60-I2)*EXP((mu-sigma^2/2)*Dt+sigma*SQRT(Dt)*_xlfn.NORM.INV(RAND(),0,1))</f>
        <v>484.782848659182</v>
      </c>
      <c r="I3">
        <f t="shared" ref="I3" si="2">(60-G3)*(G3&lt;60)</f>
        <v>0</v>
      </c>
      <c r="J3">
        <f ca="1" t="shared" ref="J3:J34" si="3">(60-H3)*(H3&lt;60)</f>
        <v>0</v>
      </c>
      <c r="K3">
        <f ca="1" t="shared" si="0"/>
        <v>1</v>
      </c>
      <c r="R3">
        <v>2</v>
      </c>
      <c r="S3">
        <v>10</v>
      </c>
      <c r="Y3" t="s">
        <v>110</v>
      </c>
      <c r="Z3">
        <f ca="1">E_ST1+1.96*STDEV(STS)/SQRT(N)</f>
        <v>12.013024947939</v>
      </c>
    </row>
    <row r="4" spans="2:23">
      <c r="B4" t="s">
        <v>111</v>
      </c>
      <c r="C4">
        <v>0.12</v>
      </c>
      <c r="F4">
        <v>3</v>
      </c>
      <c r="G4">
        <f ca="1" t="shared" si="1"/>
        <v>422.1</v>
      </c>
      <c r="H4">
        <f ca="1">1*(H3&gt;60)*(H3-60-I3)*EXP((mu-sigma^2/2)*Dt+sigma*SQRT(Dt)*_xlfn.NORM.INV(RAND(),0,1))</f>
        <v>407.04631444611</v>
      </c>
      <c r="I4">
        <f ca="1" t="shared" ref="I4:I51" si="4">(60-G4)*(G4&lt;60)</f>
        <v>0</v>
      </c>
      <c r="J4">
        <f ca="1" t="shared" si="3"/>
        <v>0</v>
      </c>
      <c r="K4">
        <f ca="1" t="shared" si="0"/>
        <v>1</v>
      </c>
      <c r="R4">
        <v>3</v>
      </c>
      <c r="S4">
        <v>13</v>
      </c>
      <c r="V4" t="s">
        <v>112</v>
      </c>
      <c r="W4" t="s">
        <v>113</v>
      </c>
    </row>
    <row r="5" spans="2:23">
      <c r="B5" t="s">
        <v>114</v>
      </c>
      <c r="C5">
        <v>1</v>
      </c>
      <c r="F5">
        <v>4</v>
      </c>
      <c r="G5">
        <f ca="1" t="shared" si="1"/>
        <v>380.205</v>
      </c>
      <c r="H5">
        <f ca="1">1*(H4&gt;60)*(H4-60-I4)*EXP((mu-sigma^2/2)*Dt+sigma*SQRT(Dt)*_xlfn.NORM.INV(RAND(),0,1))</f>
        <v>392.772984157241</v>
      </c>
      <c r="I5">
        <f ca="1" t="shared" si="4"/>
        <v>0</v>
      </c>
      <c r="J5">
        <f ca="1" t="shared" si="3"/>
        <v>0</v>
      </c>
      <c r="K5">
        <f ca="1" t="shared" si="0"/>
        <v>1</v>
      </c>
      <c r="R5">
        <v>4</v>
      </c>
      <c r="S5">
        <v>12</v>
      </c>
      <c r="V5">
        <v>8</v>
      </c>
      <c r="W5">
        <f ca="1" t="array" ref="W5:W22">FREQUENCY(STS,bin)/N</f>
        <v>0</v>
      </c>
    </row>
    <row r="6" spans="2:23">
      <c r="B6" t="s">
        <v>115</v>
      </c>
      <c r="C6">
        <v>1</v>
      </c>
      <c r="F6">
        <v>5</v>
      </c>
      <c r="G6">
        <f ca="1" t="shared" si="1"/>
        <v>336.21525</v>
      </c>
      <c r="H6">
        <f ca="1">1*(H5&gt;60)*(H5-60-I5)*EXP((mu-sigma^2/2)*Dt+sigma*SQRT(Dt)*_xlfn.NORM.INV(RAND(),0,1))</f>
        <v>344.148516092669</v>
      </c>
      <c r="I6">
        <f ca="1" t="shared" si="4"/>
        <v>0</v>
      </c>
      <c r="J6">
        <f ca="1" t="shared" si="3"/>
        <v>0</v>
      </c>
      <c r="K6">
        <f ca="1" t="shared" si="0"/>
        <v>1</v>
      </c>
      <c r="R6">
        <v>5</v>
      </c>
      <c r="S6">
        <v>12</v>
      </c>
      <c r="V6">
        <v>10</v>
      </c>
      <c r="W6">
        <v>0.1115</v>
      </c>
    </row>
    <row r="7" spans="2:23">
      <c r="B7" t="s">
        <v>116</v>
      </c>
      <c r="C7">
        <v>0.05</v>
      </c>
      <c r="F7">
        <v>6</v>
      </c>
      <c r="G7">
        <f ca="1" t="shared" si="1"/>
        <v>290.0260125</v>
      </c>
      <c r="H7">
        <f ca="1">1*(H6&gt;60)*(H6-60-I6)*EXP((mu-sigma^2/2)*Dt+sigma*SQRT(Dt)*_xlfn.NORM.INV(RAND(),0,1))</f>
        <v>296.550675059615</v>
      </c>
      <c r="I7">
        <f ca="1" t="shared" si="4"/>
        <v>0</v>
      </c>
      <c r="J7">
        <f ca="1" t="shared" si="3"/>
        <v>0</v>
      </c>
      <c r="K7">
        <f ca="1" t="shared" si="0"/>
        <v>1</v>
      </c>
      <c r="R7">
        <v>6</v>
      </c>
      <c r="S7">
        <v>13</v>
      </c>
      <c r="V7">
        <v>12</v>
      </c>
      <c r="W7">
        <v>0.6285</v>
      </c>
    </row>
    <row r="8" spans="2:23">
      <c r="B8" t="s">
        <v>77</v>
      </c>
      <c r="C8">
        <v>2000</v>
      </c>
      <c r="F8">
        <v>7</v>
      </c>
      <c r="G8">
        <f ca="1" t="shared" si="1"/>
        <v>241.527313125</v>
      </c>
      <c r="H8">
        <f ca="1">1*(H7&gt;60)*(H7-60-I7)*EXP((mu-sigma^2/2)*Dt+sigma*SQRT(Dt)*_xlfn.NORM.INV(RAND(),0,1))</f>
        <v>311.139421958132</v>
      </c>
      <c r="I8">
        <f ca="1" t="shared" si="4"/>
        <v>0</v>
      </c>
      <c r="J8">
        <f ca="1" t="shared" si="3"/>
        <v>0</v>
      </c>
      <c r="K8">
        <f ca="1" t="shared" si="0"/>
        <v>1</v>
      </c>
      <c r="R8">
        <v>7</v>
      </c>
      <c r="S8">
        <v>12</v>
      </c>
      <c r="V8">
        <v>14</v>
      </c>
      <c r="W8">
        <v>0.208</v>
      </c>
    </row>
    <row r="9" spans="2:23">
      <c r="B9" t="s">
        <v>117</v>
      </c>
      <c r="C9">
        <v>1</v>
      </c>
      <c r="F9">
        <v>8</v>
      </c>
      <c r="G9">
        <f ca="1" t="shared" si="1"/>
        <v>190.60367878125</v>
      </c>
      <c r="H9">
        <f ca="1">1*(H8&gt;60)*(H8-60-I8)*EXP((mu-sigma^2/2)*Dt+sigma*SQRT(Dt)*_xlfn.NORM.INV(RAND(),0,1))</f>
        <v>260.03439075859</v>
      </c>
      <c r="I9">
        <f ca="1" t="shared" si="4"/>
        <v>0</v>
      </c>
      <c r="J9">
        <f ca="1" t="shared" si="3"/>
        <v>0</v>
      </c>
      <c r="K9">
        <f ca="1" t="shared" si="0"/>
        <v>1</v>
      </c>
      <c r="R9">
        <v>8</v>
      </c>
      <c r="S9">
        <v>12</v>
      </c>
      <c r="V9">
        <v>16</v>
      </c>
      <c r="W9">
        <v>0.041</v>
      </c>
    </row>
    <row r="10" spans="6:23">
      <c r="F10">
        <v>9</v>
      </c>
      <c r="G10">
        <f ca="1" t="shared" si="1"/>
        <v>137.133862720313</v>
      </c>
      <c r="H10">
        <f ca="1">1*(H9&gt;60)*(H9-60-I9)*EXP((mu-sigma^2/2)*Dt+sigma*SQRT(Dt)*_xlfn.NORM.INV(RAND(),0,1))</f>
        <v>205.643637941703</v>
      </c>
      <c r="I10">
        <f ca="1" t="shared" si="4"/>
        <v>0</v>
      </c>
      <c r="J10">
        <f ca="1" t="shared" si="3"/>
        <v>0</v>
      </c>
      <c r="K10">
        <f ca="1" t="shared" si="0"/>
        <v>1</v>
      </c>
      <c r="R10">
        <v>9</v>
      </c>
      <c r="S10">
        <v>14</v>
      </c>
      <c r="V10">
        <v>18</v>
      </c>
      <c r="W10">
        <v>0.007</v>
      </c>
    </row>
    <row r="11" spans="6:23">
      <c r="F11">
        <v>10</v>
      </c>
      <c r="G11">
        <f ca="1" t="shared" si="1"/>
        <v>80.9905558563283</v>
      </c>
      <c r="H11">
        <f ca="1">1*(H10&gt;60)*(H10-60-I10)*EXP((mu-sigma^2/2)*Dt+sigma*SQRT(Dt)*_xlfn.NORM.INV(RAND(),0,1))</f>
        <v>148.451791001644</v>
      </c>
      <c r="I11">
        <f ca="1" t="shared" si="4"/>
        <v>0</v>
      </c>
      <c r="J11">
        <f ca="1" t="shared" si="3"/>
        <v>0</v>
      </c>
      <c r="K11">
        <f ca="1" t="shared" si="0"/>
        <v>1</v>
      </c>
      <c r="R11">
        <v>10</v>
      </c>
      <c r="S11">
        <v>12</v>
      </c>
      <c r="V11">
        <v>20</v>
      </c>
      <c r="W11">
        <v>0.001</v>
      </c>
    </row>
    <row r="12" spans="6:23">
      <c r="F12">
        <v>11</v>
      </c>
      <c r="G12">
        <f ca="1" t="shared" si="1"/>
        <v>22.0400836491447</v>
      </c>
      <c r="H12">
        <f ca="1">1*(H11&gt;60)*(H11-60-I11)*EXP((mu-sigma^2/2)*Dt+sigma*SQRT(Dt)*_xlfn.NORM.INV(RAND(),0,1))</f>
        <v>82.7729945012312</v>
      </c>
      <c r="I12">
        <f ca="1" t="shared" si="4"/>
        <v>37.9599163508553</v>
      </c>
      <c r="J12">
        <f ca="1" t="shared" si="3"/>
        <v>0</v>
      </c>
      <c r="K12">
        <f ca="1" t="shared" si="0"/>
        <v>1</v>
      </c>
      <c r="R12">
        <v>11</v>
      </c>
      <c r="S12">
        <v>11</v>
      </c>
      <c r="V12">
        <v>22</v>
      </c>
      <c r="W12">
        <v>0.002</v>
      </c>
    </row>
    <row r="13" spans="6:23">
      <c r="F13">
        <v>12</v>
      </c>
      <c r="G13">
        <f ca="1" t="shared" si="1"/>
        <v>0</v>
      </c>
      <c r="H13">
        <f ca="1">1*(H12&gt;60)*(H12-60-I12)*EXP((mu-sigma^2/2)*Dt+sigma*SQRT(Dt)*_xlfn.NORM.INV(RAND(),0,1))</f>
        <v>-18.5146340301868</v>
      </c>
      <c r="I13">
        <f ca="1" t="shared" si="4"/>
        <v>60</v>
      </c>
      <c r="J13">
        <f ca="1" t="shared" si="3"/>
        <v>78.5146340301868</v>
      </c>
      <c r="K13">
        <f ca="1" t="shared" si="0"/>
        <v>0</v>
      </c>
      <c r="R13">
        <v>12</v>
      </c>
      <c r="S13">
        <v>11</v>
      </c>
      <c r="V13">
        <v>24</v>
      </c>
      <c r="W13">
        <v>0</v>
      </c>
    </row>
    <row r="14" spans="6:23">
      <c r="F14">
        <v>13</v>
      </c>
      <c r="G14">
        <f ca="1" t="shared" si="1"/>
        <v>0</v>
      </c>
      <c r="H14">
        <f ca="1">1*(H13&gt;60)*(H13-60-I13)*EXP((mu-sigma^2/2)*Dt+sigma*SQRT(Dt)*_xlfn.NORM.INV(RAND(),0,1))</f>
        <v>0</v>
      </c>
      <c r="I14">
        <f ca="1" t="shared" si="4"/>
        <v>60</v>
      </c>
      <c r="J14">
        <f ca="1" t="shared" si="3"/>
        <v>60</v>
      </c>
      <c r="K14">
        <f ca="1" t="shared" si="0"/>
        <v>0</v>
      </c>
      <c r="R14">
        <v>13</v>
      </c>
      <c r="S14">
        <v>11</v>
      </c>
      <c r="V14">
        <v>26</v>
      </c>
      <c r="W14">
        <v>0</v>
      </c>
    </row>
    <row r="15" spans="6:23">
      <c r="F15">
        <v>14</v>
      </c>
      <c r="G15">
        <f ca="1" t="shared" si="1"/>
        <v>0</v>
      </c>
      <c r="H15">
        <f ca="1">1*(H14&gt;60)*(H14-60-I14)*EXP((mu-sigma^2/2)*Dt+sigma*SQRT(Dt)*_xlfn.NORM.INV(RAND(),0,1))</f>
        <v>0</v>
      </c>
      <c r="I15">
        <f ca="1" t="shared" si="4"/>
        <v>60</v>
      </c>
      <c r="J15">
        <f ca="1" t="shared" si="3"/>
        <v>60</v>
      </c>
      <c r="K15">
        <f ca="1" t="shared" si="0"/>
        <v>0</v>
      </c>
      <c r="R15">
        <v>14</v>
      </c>
      <c r="S15">
        <v>11</v>
      </c>
      <c r="V15">
        <v>28</v>
      </c>
      <c r="W15">
        <v>0</v>
      </c>
    </row>
    <row r="16" spans="6:23">
      <c r="F16">
        <v>15</v>
      </c>
      <c r="G16">
        <f ca="1" t="shared" si="1"/>
        <v>0</v>
      </c>
      <c r="H16">
        <f ca="1">1*(H15&gt;60)*(H15-60-I15)*EXP((mu-sigma^2/2)*Dt+sigma*SQRT(Dt)*_xlfn.NORM.INV(RAND(),0,1))</f>
        <v>0</v>
      </c>
      <c r="I16">
        <f ca="1" t="shared" si="4"/>
        <v>60</v>
      </c>
      <c r="J16">
        <f ca="1" t="shared" si="3"/>
        <v>60</v>
      </c>
      <c r="K16">
        <f ca="1" t="shared" si="0"/>
        <v>0</v>
      </c>
      <c r="R16">
        <v>15</v>
      </c>
      <c r="S16">
        <v>12</v>
      </c>
      <c r="V16">
        <v>30</v>
      </c>
      <c r="W16">
        <v>0.0005</v>
      </c>
    </row>
    <row r="17" spans="6:23">
      <c r="F17">
        <v>16</v>
      </c>
      <c r="G17">
        <f ca="1" t="shared" si="1"/>
        <v>0</v>
      </c>
      <c r="H17">
        <f ca="1">1*(H16&gt;60)*(H16-60-I16)*EXP((mu-sigma^2/2)*Dt+sigma*SQRT(Dt)*_xlfn.NORM.INV(RAND(),0,1))</f>
        <v>0</v>
      </c>
      <c r="I17">
        <f ca="1" t="shared" si="4"/>
        <v>60</v>
      </c>
      <c r="J17">
        <f ca="1" t="shared" si="3"/>
        <v>60</v>
      </c>
      <c r="K17">
        <f ca="1" t="shared" si="0"/>
        <v>0</v>
      </c>
      <c r="R17">
        <v>16</v>
      </c>
      <c r="S17">
        <v>10</v>
      </c>
      <c r="V17">
        <v>32</v>
      </c>
      <c r="W17">
        <v>0</v>
      </c>
    </row>
    <row r="18" spans="6:23">
      <c r="F18">
        <v>17</v>
      </c>
      <c r="G18">
        <f ca="1" t="shared" si="1"/>
        <v>0</v>
      </c>
      <c r="H18">
        <f ca="1">1*(H17&gt;60)*(H17-60-I17)*EXP((mu-sigma^2/2)*Dt+sigma*SQRT(Dt)*_xlfn.NORM.INV(RAND(),0,1))</f>
        <v>0</v>
      </c>
      <c r="I18">
        <f ca="1" t="shared" si="4"/>
        <v>60</v>
      </c>
      <c r="J18">
        <f ca="1" t="shared" si="3"/>
        <v>60</v>
      </c>
      <c r="K18">
        <f ca="1" t="shared" si="0"/>
        <v>0</v>
      </c>
      <c r="R18">
        <v>17</v>
      </c>
      <c r="S18">
        <v>11</v>
      </c>
      <c r="V18">
        <v>34</v>
      </c>
      <c r="W18">
        <v>0.0005</v>
      </c>
    </row>
    <row r="19" spans="6:23">
      <c r="F19">
        <v>18</v>
      </c>
      <c r="G19">
        <f ca="1" t="shared" si="1"/>
        <v>0</v>
      </c>
      <c r="H19">
        <f ca="1">1*(H18&gt;60)*(H18-60-I18)*EXP((mu-sigma^2/2)*Dt+sigma*SQRT(Dt)*_xlfn.NORM.INV(RAND(),0,1))</f>
        <v>0</v>
      </c>
      <c r="I19">
        <f ca="1" t="shared" si="4"/>
        <v>60</v>
      </c>
      <c r="J19">
        <f ca="1" t="shared" si="3"/>
        <v>60</v>
      </c>
      <c r="K19">
        <f ca="1" t="shared" si="0"/>
        <v>0</v>
      </c>
      <c r="R19">
        <v>18</v>
      </c>
      <c r="S19">
        <v>12</v>
      </c>
      <c r="V19">
        <v>36</v>
      </c>
      <c r="W19">
        <v>0</v>
      </c>
    </row>
    <row r="20" spans="6:23">
      <c r="F20">
        <v>19</v>
      </c>
      <c r="G20">
        <f ca="1" t="shared" si="1"/>
        <v>0</v>
      </c>
      <c r="H20">
        <f ca="1">1*(H19&gt;60)*(H19-60-I19)*EXP((mu-sigma^2/2)*Dt+sigma*SQRT(Dt)*_xlfn.NORM.INV(RAND(),0,1))</f>
        <v>0</v>
      </c>
      <c r="I20">
        <f ca="1" t="shared" si="4"/>
        <v>60</v>
      </c>
      <c r="J20">
        <f ca="1" t="shared" si="3"/>
        <v>60</v>
      </c>
      <c r="K20">
        <f ca="1" t="shared" si="0"/>
        <v>0</v>
      </c>
      <c r="R20">
        <v>19</v>
      </c>
      <c r="S20">
        <v>15</v>
      </c>
      <c r="V20">
        <v>38</v>
      </c>
      <c r="W20">
        <v>0</v>
      </c>
    </row>
    <row r="21" spans="6:23">
      <c r="F21">
        <v>20</v>
      </c>
      <c r="G21">
        <f ca="1" t="shared" si="1"/>
        <v>0</v>
      </c>
      <c r="H21">
        <f ca="1">1*(H20&gt;60)*(H20-60-I20)*EXP((mu-sigma^2/2)*Dt+sigma*SQRT(Dt)*_xlfn.NORM.INV(RAND(),0,1))</f>
        <v>0</v>
      </c>
      <c r="I21">
        <f ca="1" t="shared" si="4"/>
        <v>60</v>
      </c>
      <c r="J21">
        <f ca="1" t="shared" si="3"/>
        <v>60</v>
      </c>
      <c r="K21">
        <f ca="1" t="shared" si="0"/>
        <v>0</v>
      </c>
      <c r="R21">
        <v>20</v>
      </c>
      <c r="S21">
        <v>15</v>
      </c>
      <c r="V21">
        <v>40</v>
      </c>
      <c r="W21">
        <v>0</v>
      </c>
    </row>
    <row r="22" spans="6:23">
      <c r="F22">
        <v>21</v>
      </c>
      <c r="G22">
        <f ca="1" t="shared" si="1"/>
        <v>0</v>
      </c>
      <c r="H22">
        <f ca="1">1*(H21&gt;60)*(H21-60-I21)*EXP((mu-sigma^2/2)*Dt+sigma*SQRT(Dt)*_xlfn.NORM.INV(RAND(),0,1))</f>
        <v>0</v>
      </c>
      <c r="I22">
        <f ca="1" t="shared" si="4"/>
        <v>60</v>
      </c>
      <c r="J22">
        <f ca="1" t="shared" si="3"/>
        <v>60</v>
      </c>
      <c r="K22">
        <f ca="1" t="shared" si="0"/>
        <v>0</v>
      </c>
      <c r="R22">
        <v>21</v>
      </c>
      <c r="S22">
        <v>11</v>
      </c>
      <c r="W22">
        <v>0</v>
      </c>
    </row>
    <row r="23" spans="6:19">
      <c r="F23">
        <v>22</v>
      </c>
      <c r="G23">
        <f ca="1" t="shared" si="1"/>
        <v>0</v>
      </c>
      <c r="H23">
        <f ca="1">1*(H22&gt;60)*(H22-60-I22)*EXP((mu-sigma^2/2)*Dt+sigma*SQRT(Dt)*_xlfn.NORM.INV(RAND(),0,1))</f>
        <v>0</v>
      </c>
      <c r="I23">
        <f ca="1" t="shared" si="4"/>
        <v>60</v>
      </c>
      <c r="J23">
        <f ca="1" t="shared" si="3"/>
        <v>60</v>
      </c>
      <c r="K23">
        <f ca="1" t="shared" si="0"/>
        <v>0</v>
      </c>
      <c r="R23">
        <v>22</v>
      </c>
      <c r="S23">
        <v>11</v>
      </c>
    </row>
    <row r="24" spans="6:19">
      <c r="F24">
        <v>23</v>
      </c>
      <c r="G24">
        <f ca="1" t="shared" si="1"/>
        <v>0</v>
      </c>
      <c r="H24">
        <f ca="1">1*(H23&gt;60)*(H23-60-I23)*EXP((mu-sigma^2/2)*Dt+sigma*SQRT(Dt)*_xlfn.NORM.INV(RAND(),0,1))</f>
        <v>0</v>
      </c>
      <c r="I24">
        <f ca="1" t="shared" si="4"/>
        <v>60</v>
      </c>
      <c r="J24">
        <f ca="1" t="shared" si="3"/>
        <v>60</v>
      </c>
      <c r="K24">
        <f ca="1" t="shared" si="0"/>
        <v>0</v>
      </c>
      <c r="R24">
        <v>23</v>
      </c>
      <c r="S24">
        <v>12</v>
      </c>
    </row>
    <row r="25" spans="6:19">
      <c r="F25">
        <v>24</v>
      </c>
      <c r="G25">
        <f ca="1" t="shared" si="1"/>
        <v>0</v>
      </c>
      <c r="H25">
        <f ca="1">1*(H24&gt;60)*(H24-60-I24)*EXP((mu-sigma^2/2)*Dt+sigma*SQRT(Dt)*_xlfn.NORM.INV(RAND(),0,1))</f>
        <v>0</v>
      </c>
      <c r="I25">
        <f ca="1" t="shared" si="4"/>
        <v>60</v>
      </c>
      <c r="J25">
        <f ca="1" t="shared" si="3"/>
        <v>60</v>
      </c>
      <c r="K25">
        <f ca="1" t="shared" si="0"/>
        <v>0</v>
      </c>
      <c r="R25">
        <v>24</v>
      </c>
      <c r="S25">
        <v>11</v>
      </c>
    </row>
    <row r="26" spans="6:19">
      <c r="F26">
        <v>25</v>
      </c>
      <c r="G26">
        <f ca="1" t="shared" si="1"/>
        <v>0</v>
      </c>
      <c r="H26">
        <f ca="1">1*(H25&gt;60)*(H25-60-I25)*EXP((mu-sigma^2/2)*Dt+sigma*SQRT(Dt)*_xlfn.NORM.INV(RAND(),0,1))</f>
        <v>0</v>
      </c>
      <c r="I26">
        <f ca="1" t="shared" si="4"/>
        <v>60</v>
      </c>
      <c r="J26">
        <f ca="1" t="shared" si="3"/>
        <v>60</v>
      </c>
      <c r="K26">
        <f ca="1" t="shared" si="0"/>
        <v>0</v>
      </c>
      <c r="R26">
        <v>25</v>
      </c>
      <c r="S26">
        <v>10</v>
      </c>
    </row>
    <row r="27" spans="6:19">
      <c r="F27">
        <v>26</v>
      </c>
      <c r="G27">
        <f ca="1" t="shared" si="1"/>
        <v>0</v>
      </c>
      <c r="H27">
        <f ca="1">1*(H26&gt;60)*(H26-60-I26)*EXP((mu-sigma^2/2)*Dt+sigma*SQRT(Dt)*_xlfn.NORM.INV(RAND(),0,1))</f>
        <v>0</v>
      </c>
      <c r="I27">
        <f ca="1" t="shared" si="4"/>
        <v>60</v>
      </c>
      <c r="J27">
        <f ca="1" t="shared" si="3"/>
        <v>60</v>
      </c>
      <c r="K27">
        <f ca="1" t="shared" si="0"/>
        <v>0</v>
      </c>
      <c r="R27">
        <v>26</v>
      </c>
      <c r="S27">
        <v>11</v>
      </c>
    </row>
    <row r="28" spans="6:19">
      <c r="F28">
        <v>27</v>
      </c>
      <c r="G28">
        <f ca="1" t="shared" si="1"/>
        <v>0</v>
      </c>
      <c r="H28">
        <f ca="1">1*(H27&gt;60)*(H27-60-I27)*EXP((mu-sigma^2/2)*Dt+sigma*SQRT(Dt)*_xlfn.NORM.INV(RAND(),0,1))</f>
        <v>0</v>
      </c>
      <c r="I28">
        <f ca="1" t="shared" si="4"/>
        <v>60</v>
      </c>
      <c r="J28">
        <f ca="1" t="shared" si="3"/>
        <v>60</v>
      </c>
      <c r="K28">
        <f ca="1" t="shared" si="0"/>
        <v>0</v>
      </c>
      <c r="R28">
        <v>27</v>
      </c>
      <c r="S28">
        <v>13</v>
      </c>
    </row>
    <row r="29" spans="6:19">
      <c r="F29">
        <v>28</v>
      </c>
      <c r="G29">
        <f ca="1" t="shared" si="1"/>
        <v>0</v>
      </c>
      <c r="H29">
        <f ca="1">1*(H28&gt;60)*(H28-60-I28)*EXP((mu-sigma^2/2)*Dt+sigma*SQRT(Dt)*_xlfn.NORM.INV(RAND(),0,1))</f>
        <v>0</v>
      </c>
      <c r="I29">
        <f ca="1" t="shared" si="4"/>
        <v>60</v>
      </c>
      <c r="J29">
        <f ca="1" t="shared" si="3"/>
        <v>60</v>
      </c>
      <c r="K29">
        <f ca="1" t="shared" si="0"/>
        <v>0</v>
      </c>
      <c r="R29">
        <v>28</v>
      </c>
      <c r="S29">
        <v>10</v>
      </c>
    </row>
    <row r="30" spans="6:19">
      <c r="F30">
        <v>29</v>
      </c>
      <c r="G30">
        <f ca="1" t="shared" si="1"/>
        <v>0</v>
      </c>
      <c r="H30">
        <f ca="1">1*(H29&gt;60)*(H29-60-I29)*EXP((mu-sigma^2/2)*Dt+sigma*SQRT(Dt)*_xlfn.NORM.INV(RAND(),0,1))</f>
        <v>0</v>
      </c>
      <c r="I30">
        <f ca="1" t="shared" si="4"/>
        <v>60</v>
      </c>
      <c r="J30">
        <f ca="1" t="shared" si="3"/>
        <v>60</v>
      </c>
      <c r="K30">
        <f ca="1" t="shared" si="0"/>
        <v>0</v>
      </c>
      <c r="R30">
        <v>29</v>
      </c>
      <c r="S30">
        <v>11</v>
      </c>
    </row>
    <row r="31" spans="6:19">
      <c r="F31">
        <v>30</v>
      </c>
      <c r="G31">
        <f ca="1" t="shared" si="1"/>
        <v>0</v>
      </c>
      <c r="H31">
        <f ca="1">1*(H30&gt;60)*(H30-60-I30)*EXP((mu-sigma^2/2)*Dt+sigma*SQRT(Dt)*_xlfn.NORM.INV(RAND(),0,1))</f>
        <v>0</v>
      </c>
      <c r="I31">
        <f ca="1" t="shared" si="4"/>
        <v>60</v>
      </c>
      <c r="J31">
        <f ca="1" t="shared" si="3"/>
        <v>60</v>
      </c>
      <c r="K31">
        <f ca="1" t="shared" si="0"/>
        <v>0</v>
      </c>
      <c r="R31">
        <v>30</v>
      </c>
      <c r="S31">
        <v>10</v>
      </c>
    </row>
    <row r="32" spans="6:19">
      <c r="F32">
        <v>31</v>
      </c>
      <c r="G32">
        <f ca="1" t="shared" si="1"/>
        <v>0</v>
      </c>
      <c r="H32">
        <f ca="1">1*(H31&gt;60)*(H31-60-I31)*EXP((mu-sigma^2/2)*Dt+sigma*SQRT(Dt)*_xlfn.NORM.INV(RAND(),0,1))</f>
        <v>0</v>
      </c>
      <c r="I32">
        <f ca="1" t="shared" si="4"/>
        <v>60</v>
      </c>
      <c r="J32">
        <f ca="1" t="shared" si="3"/>
        <v>60</v>
      </c>
      <c r="K32">
        <f ca="1" t="shared" si="0"/>
        <v>0</v>
      </c>
      <c r="R32">
        <v>31</v>
      </c>
      <c r="S32">
        <v>17</v>
      </c>
    </row>
    <row r="33" spans="6:19">
      <c r="F33">
        <v>32</v>
      </c>
      <c r="G33">
        <f ca="1" t="shared" si="1"/>
        <v>0</v>
      </c>
      <c r="H33">
        <f ca="1">1*(H32&gt;60)*(H32-60-I32)*EXP((mu-sigma^2/2)*Dt+sigma*SQRT(Dt)*_xlfn.NORM.INV(RAND(),0,1))</f>
        <v>0</v>
      </c>
      <c r="I33">
        <f ca="1" t="shared" si="4"/>
        <v>60</v>
      </c>
      <c r="J33">
        <f ca="1" t="shared" si="3"/>
        <v>60</v>
      </c>
      <c r="K33">
        <f ca="1" t="shared" si="0"/>
        <v>0</v>
      </c>
      <c r="R33">
        <v>32</v>
      </c>
      <c r="S33">
        <v>11</v>
      </c>
    </row>
    <row r="34" spans="6:19">
      <c r="F34">
        <v>33</v>
      </c>
      <c r="G34">
        <f ca="1" t="shared" si="1"/>
        <v>0</v>
      </c>
      <c r="H34">
        <f ca="1">1*(H33&gt;60)*(H33-60-I33)*EXP((mu-sigma^2/2)*Dt+sigma*SQRT(Dt)*_xlfn.NORM.INV(RAND(),0,1))</f>
        <v>0</v>
      </c>
      <c r="I34">
        <f ca="1" t="shared" si="4"/>
        <v>60</v>
      </c>
      <c r="J34">
        <f ca="1" t="shared" si="3"/>
        <v>60</v>
      </c>
      <c r="K34">
        <f ca="1" t="shared" ref="K34:K51" si="5">IF(G34+H34&gt;0,1,0)</f>
        <v>0</v>
      </c>
      <c r="R34">
        <v>33</v>
      </c>
      <c r="S34">
        <v>11</v>
      </c>
    </row>
    <row r="35" spans="6:19">
      <c r="F35">
        <v>34</v>
      </c>
      <c r="G35">
        <f ca="1" t="shared" ref="G35:G51" si="6">1*(G34&gt;60)*(G34-60-J34)*(1+rs)</f>
        <v>0</v>
      </c>
      <c r="H35">
        <f ca="1">1*(H34&gt;60)*(H34-60-I34)*EXP((mu-sigma^2/2)*Dt+sigma*SQRT(Dt)*_xlfn.NORM.INV(RAND(),0,1))</f>
        <v>0</v>
      </c>
      <c r="I35">
        <f ca="1" t="shared" si="4"/>
        <v>60</v>
      </c>
      <c r="J35">
        <f ca="1" t="shared" ref="J35:J51" si="7">(60-H35)*(H35&lt;60)</f>
        <v>60</v>
      </c>
      <c r="K35">
        <f ca="1" t="shared" si="5"/>
        <v>0</v>
      </c>
      <c r="R35">
        <v>34</v>
      </c>
      <c r="S35">
        <v>11</v>
      </c>
    </row>
    <row r="36" spans="6:19">
      <c r="F36">
        <v>35</v>
      </c>
      <c r="G36">
        <f ca="1" t="shared" si="6"/>
        <v>0</v>
      </c>
      <c r="H36">
        <f ca="1">1*(H35&gt;60)*(H35-60-I35)*EXP((mu-sigma^2/2)*Dt+sigma*SQRT(Dt)*_xlfn.NORM.INV(RAND(),0,1))</f>
        <v>0</v>
      </c>
      <c r="I36">
        <f ca="1" t="shared" si="4"/>
        <v>60</v>
      </c>
      <c r="J36">
        <f ca="1" t="shared" si="7"/>
        <v>60</v>
      </c>
      <c r="K36">
        <f ca="1" t="shared" si="5"/>
        <v>0</v>
      </c>
      <c r="R36">
        <v>35</v>
      </c>
      <c r="S36">
        <v>12</v>
      </c>
    </row>
    <row r="37" spans="6:19">
      <c r="F37">
        <v>36</v>
      </c>
      <c r="G37">
        <f ca="1" t="shared" si="6"/>
        <v>0</v>
      </c>
      <c r="H37">
        <f ca="1">1*(H36&gt;60)*(H36-60-I36)*EXP((mu-sigma^2/2)*Dt+sigma*SQRT(Dt)*_xlfn.NORM.INV(RAND(),0,1))</f>
        <v>0</v>
      </c>
      <c r="I37">
        <f ca="1" t="shared" si="4"/>
        <v>60</v>
      </c>
      <c r="J37">
        <f ca="1" t="shared" si="7"/>
        <v>60</v>
      </c>
      <c r="K37">
        <f ca="1" t="shared" si="5"/>
        <v>0</v>
      </c>
      <c r="R37">
        <v>36</v>
      </c>
      <c r="S37">
        <v>12</v>
      </c>
    </row>
    <row r="38" spans="6:19">
      <c r="F38">
        <v>37</v>
      </c>
      <c r="G38">
        <f ca="1" t="shared" si="6"/>
        <v>0</v>
      </c>
      <c r="H38">
        <f ca="1">1*(H37&gt;60)*(H37-60-I37)*EXP((mu-sigma^2/2)*Dt+sigma*SQRT(Dt)*_xlfn.NORM.INV(RAND(),0,1))</f>
        <v>0</v>
      </c>
      <c r="I38">
        <f ca="1" t="shared" si="4"/>
        <v>60</v>
      </c>
      <c r="J38">
        <f ca="1" t="shared" si="7"/>
        <v>60</v>
      </c>
      <c r="K38">
        <f ca="1" t="shared" si="5"/>
        <v>0</v>
      </c>
      <c r="R38">
        <v>37</v>
      </c>
      <c r="S38">
        <v>13</v>
      </c>
    </row>
    <row r="39" spans="6:19">
      <c r="F39">
        <v>38</v>
      </c>
      <c r="G39">
        <f ca="1" t="shared" si="6"/>
        <v>0</v>
      </c>
      <c r="H39">
        <f ca="1">1*(H38&gt;60)*(H38-60-I38)*EXP((mu-sigma^2/2)*Dt+sigma*SQRT(Dt)*_xlfn.NORM.INV(RAND(),0,1))</f>
        <v>0</v>
      </c>
      <c r="I39">
        <f ca="1" t="shared" si="4"/>
        <v>60</v>
      </c>
      <c r="J39">
        <f ca="1" t="shared" si="7"/>
        <v>60</v>
      </c>
      <c r="K39">
        <f ca="1" t="shared" si="5"/>
        <v>0</v>
      </c>
      <c r="R39">
        <v>38</v>
      </c>
      <c r="S39">
        <v>14</v>
      </c>
    </row>
    <row r="40" spans="6:19">
      <c r="F40">
        <v>39</v>
      </c>
      <c r="G40">
        <f ca="1" t="shared" si="6"/>
        <v>0</v>
      </c>
      <c r="H40">
        <f ca="1">1*(H39&gt;60)*(H39-60-I39)*EXP((mu-sigma^2/2)*Dt+sigma*SQRT(Dt)*_xlfn.NORM.INV(RAND(),0,1))</f>
        <v>0</v>
      </c>
      <c r="I40">
        <f ca="1" t="shared" si="4"/>
        <v>60</v>
      </c>
      <c r="J40">
        <f ca="1" t="shared" si="7"/>
        <v>60</v>
      </c>
      <c r="K40">
        <f ca="1" t="shared" si="5"/>
        <v>0</v>
      </c>
      <c r="R40">
        <v>39</v>
      </c>
      <c r="S40">
        <v>11</v>
      </c>
    </row>
    <row r="41" spans="6:19">
      <c r="F41">
        <v>40</v>
      </c>
      <c r="G41">
        <f ca="1" t="shared" si="6"/>
        <v>0</v>
      </c>
      <c r="H41">
        <f ca="1">1*(H40&gt;60)*(H40-60-I40)*EXP((mu-sigma^2/2)*Dt+sigma*SQRT(Dt)*_xlfn.NORM.INV(RAND(),0,1))</f>
        <v>0</v>
      </c>
      <c r="I41">
        <f ca="1" t="shared" si="4"/>
        <v>60</v>
      </c>
      <c r="J41">
        <f ca="1" t="shared" si="7"/>
        <v>60</v>
      </c>
      <c r="K41">
        <f ca="1" t="shared" si="5"/>
        <v>0</v>
      </c>
      <c r="R41">
        <v>40</v>
      </c>
      <c r="S41">
        <v>12</v>
      </c>
    </row>
    <row r="42" spans="6:19">
      <c r="F42">
        <v>41</v>
      </c>
      <c r="G42">
        <f ca="1" t="shared" si="6"/>
        <v>0</v>
      </c>
      <c r="H42">
        <f ca="1">1*(H41&gt;60)*(H41-60-I41)*EXP((mu-sigma^2/2)*Dt+sigma*SQRT(Dt)*_xlfn.NORM.INV(RAND(),0,1))</f>
        <v>0</v>
      </c>
      <c r="I42">
        <f ca="1" t="shared" si="4"/>
        <v>60</v>
      </c>
      <c r="J42">
        <f ca="1" t="shared" si="7"/>
        <v>60</v>
      </c>
      <c r="K42">
        <f ca="1" t="shared" si="5"/>
        <v>0</v>
      </c>
      <c r="R42">
        <v>41</v>
      </c>
      <c r="S42">
        <v>11</v>
      </c>
    </row>
    <row r="43" spans="6:19">
      <c r="F43">
        <v>42</v>
      </c>
      <c r="G43">
        <f ca="1" t="shared" si="6"/>
        <v>0</v>
      </c>
      <c r="H43">
        <f ca="1">1*(H42&gt;60)*(H42-60-I42)*EXP((mu-sigma^2/2)*Dt+sigma*SQRT(Dt)*_xlfn.NORM.INV(RAND(),0,1))</f>
        <v>0</v>
      </c>
      <c r="I43">
        <f ca="1" t="shared" si="4"/>
        <v>60</v>
      </c>
      <c r="J43">
        <f ca="1" t="shared" si="7"/>
        <v>60</v>
      </c>
      <c r="K43">
        <f ca="1" t="shared" si="5"/>
        <v>0</v>
      </c>
      <c r="R43">
        <v>42</v>
      </c>
      <c r="S43">
        <v>11</v>
      </c>
    </row>
    <row r="44" spans="6:19">
      <c r="F44">
        <v>43</v>
      </c>
      <c r="G44">
        <f ca="1" t="shared" si="6"/>
        <v>0</v>
      </c>
      <c r="H44">
        <f ca="1">1*(H43&gt;60)*(H43-60-I43)*EXP((mu-sigma^2/2)*Dt+sigma*SQRT(Dt)*_xlfn.NORM.INV(RAND(),0,1))</f>
        <v>0</v>
      </c>
      <c r="I44">
        <f ca="1" t="shared" si="4"/>
        <v>60</v>
      </c>
      <c r="J44">
        <f ca="1" t="shared" si="7"/>
        <v>60</v>
      </c>
      <c r="K44">
        <f ca="1" t="shared" si="5"/>
        <v>0</v>
      </c>
      <c r="R44">
        <v>43</v>
      </c>
      <c r="S44">
        <v>12</v>
      </c>
    </row>
    <row r="45" spans="6:19">
      <c r="F45">
        <v>44</v>
      </c>
      <c r="G45">
        <f ca="1" t="shared" si="6"/>
        <v>0</v>
      </c>
      <c r="H45">
        <f ca="1">1*(H44&gt;60)*(H44-60-I44)*EXP((mu-sigma^2/2)*Dt+sigma*SQRT(Dt)*_xlfn.NORM.INV(RAND(),0,1))</f>
        <v>0</v>
      </c>
      <c r="I45">
        <f ca="1" t="shared" si="4"/>
        <v>60</v>
      </c>
      <c r="J45">
        <f ca="1" t="shared" si="7"/>
        <v>60</v>
      </c>
      <c r="K45">
        <f ca="1" t="shared" si="5"/>
        <v>0</v>
      </c>
      <c r="R45">
        <v>44</v>
      </c>
      <c r="S45">
        <v>11</v>
      </c>
    </row>
    <row r="46" spans="6:19">
      <c r="F46">
        <v>45</v>
      </c>
      <c r="G46">
        <f ca="1" t="shared" si="6"/>
        <v>0</v>
      </c>
      <c r="H46">
        <f ca="1">1*(H45&gt;60)*(H45-60-I45)*EXP((mu-sigma^2/2)*Dt+sigma*SQRT(Dt)*_xlfn.NORM.INV(RAND(),0,1))</f>
        <v>0</v>
      </c>
      <c r="I46">
        <f ca="1" t="shared" si="4"/>
        <v>60</v>
      </c>
      <c r="J46">
        <f ca="1" t="shared" si="7"/>
        <v>60</v>
      </c>
      <c r="K46">
        <f ca="1" t="shared" si="5"/>
        <v>0</v>
      </c>
      <c r="R46">
        <v>45</v>
      </c>
      <c r="S46">
        <v>11</v>
      </c>
    </row>
    <row r="47" spans="6:19">
      <c r="F47">
        <v>46</v>
      </c>
      <c r="G47">
        <f ca="1" t="shared" si="6"/>
        <v>0</v>
      </c>
      <c r="H47">
        <f ca="1">1*(H46&gt;60)*(H46-60-I46)*EXP((mu-sigma^2/2)*Dt+sigma*SQRT(Dt)*_xlfn.NORM.INV(RAND(),0,1))</f>
        <v>0</v>
      </c>
      <c r="I47">
        <f ca="1" t="shared" si="4"/>
        <v>60</v>
      </c>
      <c r="J47">
        <f ca="1" t="shared" si="7"/>
        <v>60</v>
      </c>
      <c r="K47">
        <f ca="1" t="shared" si="5"/>
        <v>0</v>
      </c>
      <c r="R47">
        <v>46</v>
      </c>
      <c r="S47">
        <v>12</v>
      </c>
    </row>
    <row r="48" spans="6:19">
      <c r="F48">
        <v>47</v>
      </c>
      <c r="G48">
        <f ca="1" t="shared" si="6"/>
        <v>0</v>
      </c>
      <c r="H48">
        <f ca="1">1*(H47&gt;60)*(H47-60-I47)*EXP((mu-sigma^2/2)*Dt+sigma*SQRT(Dt)*_xlfn.NORM.INV(RAND(),0,1))</f>
        <v>0</v>
      </c>
      <c r="I48">
        <f ca="1" t="shared" si="4"/>
        <v>60</v>
      </c>
      <c r="J48">
        <f ca="1" t="shared" si="7"/>
        <v>60</v>
      </c>
      <c r="K48">
        <f ca="1" t="shared" si="5"/>
        <v>0</v>
      </c>
      <c r="R48">
        <v>47</v>
      </c>
      <c r="S48">
        <v>12</v>
      </c>
    </row>
    <row r="49" spans="6:19">
      <c r="F49">
        <v>48</v>
      </c>
      <c r="G49">
        <f ca="1" t="shared" si="6"/>
        <v>0</v>
      </c>
      <c r="H49">
        <f ca="1">1*(H48&gt;60)*(H48-60-I48)*EXP((mu-sigma^2/2)*Dt+sigma*SQRT(Dt)*_xlfn.NORM.INV(RAND(),0,1))</f>
        <v>0</v>
      </c>
      <c r="I49">
        <f ca="1" t="shared" si="4"/>
        <v>60</v>
      </c>
      <c r="J49">
        <f ca="1" t="shared" si="7"/>
        <v>60</v>
      </c>
      <c r="K49">
        <f ca="1" t="shared" si="5"/>
        <v>0</v>
      </c>
      <c r="R49">
        <v>48</v>
      </c>
      <c r="S49">
        <v>11</v>
      </c>
    </row>
    <row r="50" spans="6:19">
      <c r="F50">
        <v>49</v>
      </c>
      <c r="G50">
        <f ca="1" t="shared" si="6"/>
        <v>0</v>
      </c>
      <c r="H50">
        <f ca="1">1*(H49&gt;60)*(H49-60-I49)*EXP((mu-sigma^2/2)*Dt+sigma*SQRT(Dt)*_xlfn.NORM.INV(RAND(),0,1))</f>
        <v>0</v>
      </c>
      <c r="I50">
        <f ca="1" t="shared" si="4"/>
        <v>60</v>
      </c>
      <c r="J50">
        <f ca="1" t="shared" si="7"/>
        <v>60</v>
      </c>
      <c r="K50">
        <f ca="1" t="shared" si="5"/>
        <v>0</v>
      </c>
      <c r="R50">
        <v>49</v>
      </c>
      <c r="S50">
        <v>11</v>
      </c>
    </row>
    <row r="51" spans="6:19">
      <c r="F51">
        <v>50</v>
      </c>
      <c r="G51">
        <f ca="1" t="shared" si="6"/>
        <v>0</v>
      </c>
      <c r="H51">
        <f ca="1">1*(H50&gt;60)*(H50-60-I50)*EXP((mu-sigma^2/2)*Dt+sigma*SQRT(Dt)*_xlfn.NORM.INV(RAND(),0,1))</f>
        <v>0</v>
      </c>
      <c r="I51">
        <f ca="1" t="shared" si="4"/>
        <v>60</v>
      </c>
      <c r="J51">
        <f ca="1" t="shared" si="7"/>
        <v>60</v>
      </c>
      <c r="K51">
        <f ca="1" t="shared" si="5"/>
        <v>0</v>
      </c>
      <c r="R51">
        <v>50</v>
      </c>
      <c r="S51">
        <v>16</v>
      </c>
    </row>
    <row r="52" spans="18:19">
      <c r="R52">
        <v>51</v>
      </c>
      <c r="S52">
        <v>12</v>
      </c>
    </row>
    <row r="53" spans="18:19">
      <c r="R53">
        <v>52</v>
      </c>
      <c r="S53">
        <v>11</v>
      </c>
    </row>
    <row r="54" spans="18:19">
      <c r="R54">
        <v>53</v>
      </c>
      <c r="S54">
        <v>11</v>
      </c>
    </row>
    <row r="55" spans="18:19">
      <c r="R55">
        <v>54</v>
      </c>
      <c r="S55">
        <v>17</v>
      </c>
    </row>
    <row r="56" spans="18:19">
      <c r="R56">
        <v>55</v>
      </c>
      <c r="S56">
        <v>13</v>
      </c>
    </row>
    <row r="57" spans="18:19">
      <c r="R57">
        <v>56</v>
      </c>
      <c r="S57">
        <v>12</v>
      </c>
    </row>
    <row r="58" spans="18:19">
      <c r="R58">
        <v>57</v>
      </c>
      <c r="S58">
        <v>12</v>
      </c>
    </row>
    <row r="59" spans="18:19">
      <c r="R59">
        <v>58</v>
      </c>
      <c r="S59">
        <v>16</v>
      </c>
    </row>
    <row r="60" spans="18:19">
      <c r="R60">
        <v>59</v>
      </c>
      <c r="S60">
        <v>13</v>
      </c>
    </row>
    <row r="61" spans="18:19">
      <c r="R61">
        <v>60</v>
      </c>
      <c r="S61">
        <v>10</v>
      </c>
    </row>
    <row r="62" spans="18:19">
      <c r="R62">
        <v>61</v>
      </c>
      <c r="S62">
        <v>13</v>
      </c>
    </row>
    <row r="63" spans="18:19">
      <c r="R63">
        <v>62</v>
      </c>
      <c r="S63">
        <v>13</v>
      </c>
    </row>
    <row r="64" spans="18:19">
      <c r="R64">
        <v>63</v>
      </c>
      <c r="S64">
        <v>10</v>
      </c>
    </row>
    <row r="65" spans="18:19">
      <c r="R65">
        <v>64</v>
      </c>
      <c r="S65">
        <v>12</v>
      </c>
    </row>
    <row r="66" spans="18:19">
      <c r="R66">
        <v>65</v>
      </c>
      <c r="S66">
        <v>12</v>
      </c>
    </row>
    <row r="67" spans="18:19">
      <c r="R67">
        <v>66</v>
      </c>
      <c r="S67">
        <v>14</v>
      </c>
    </row>
    <row r="68" spans="18:19">
      <c r="R68">
        <v>67</v>
      </c>
      <c r="S68">
        <v>13</v>
      </c>
    </row>
    <row r="69" spans="18:19">
      <c r="R69">
        <v>68</v>
      </c>
      <c r="S69">
        <v>14</v>
      </c>
    </row>
    <row r="70" spans="18:19">
      <c r="R70">
        <v>69</v>
      </c>
      <c r="S70">
        <v>11</v>
      </c>
    </row>
    <row r="71" spans="18:19">
      <c r="R71">
        <v>70</v>
      </c>
      <c r="S71">
        <v>12</v>
      </c>
    </row>
    <row r="72" spans="18:19">
      <c r="R72">
        <v>71</v>
      </c>
      <c r="S72">
        <v>12</v>
      </c>
    </row>
    <row r="73" spans="18:19">
      <c r="R73">
        <v>72</v>
      </c>
      <c r="S73">
        <v>11</v>
      </c>
    </row>
    <row r="74" spans="18:19">
      <c r="R74">
        <v>73</v>
      </c>
      <c r="S74">
        <v>10</v>
      </c>
    </row>
    <row r="75" spans="18:19">
      <c r="R75">
        <v>74</v>
      </c>
      <c r="S75">
        <v>11</v>
      </c>
    </row>
    <row r="76" spans="18:19">
      <c r="R76">
        <v>75</v>
      </c>
      <c r="S76">
        <v>10</v>
      </c>
    </row>
    <row r="77" spans="18:19">
      <c r="R77">
        <v>76</v>
      </c>
      <c r="S77">
        <v>11</v>
      </c>
    </row>
    <row r="78" spans="18:19">
      <c r="R78">
        <v>77</v>
      </c>
      <c r="S78">
        <v>12</v>
      </c>
    </row>
    <row r="79" spans="18:19">
      <c r="R79">
        <v>78</v>
      </c>
      <c r="S79">
        <v>13</v>
      </c>
    </row>
    <row r="80" spans="18:19">
      <c r="R80">
        <v>79</v>
      </c>
      <c r="S80">
        <v>12</v>
      </c>
    </row>
    <row r="81" spans="18:19">
      <c r="R81">
        <v>80</v>
      </c>
      <c r="S81">
        <v>13</v>
      </c>
    </row>
    <row r="82" spans="18:19">
      <c r="R82">
        <v>81</v>
      </c>
      <c r="S82">
        <v>21</v>
      </c>
    </row>
    <row r="83" spans="18:19">
      <c r="R83">
        <v>82</v>
      </c>
      <c r="S83">
        <v>11</v>
      </c>
    </row>
    <row r="84" spans="18:19">
      <c r="R84">
        <v>83</v>
      </c>
      <c r="S84">
        <v>12</v>
      </c>
    </row>
    <row r="85" spans="18:19">
      <c r="R85">
        <v>84</v>
      </c>
      <c r="S85">
        <v>13</v>
      </c>
    </row>
    <row r="86" spans="18:19">
      <c r="R86">
        <v>85</v>
      </c>
      <c r="S86">
        <v>12</v>
      </c>
    </row>
    <row r="87" spans="18:19">
      <c r="R87">
        <v>86</v>
      </c>
      <c r="S87">
        <v>11</v>
      </c>
    </row>
    <row r="88" spans="18:19">
      <c r="R88">
        <v>87</v>
      </c>
      <c r="S88">
        <v>10</v>
      </c>
    </row>
    <row r="89" spans="18:19">
      <c r="R89">
        <v>88</v>
      </c>
      <c r="S89">
        <v>11</v>
      </c>
    </row>
    <row r="90" spans="18:19">
      <c r="R90">
        <v>89</v>
      </c>
      <c r="S90">
        <v>11</v>
      </c>
    </row>
    <row r="91" spans="18:19">
      <c r="R91">
        <v>90</v>
      </c>
      <c r="S91">
        <v>12</v>
      </c>
    </row>
    <row r="92" spans="18:19">
      <c r="R92">
        <v>91</v>
      </c>
      <c r="S92">
        <v>10</v>
      </c>
    </row>
    <row r="93" spans="18:19">
      <c r="R93">
        <v>92</v>
      </c>
      <c r="S93">
        <v>12</v>
      </c>
    </row>
    <row r="94" spans="18:19">
      <c r="R94">
        <v>93</v>
      </c>
      <c r="S94">
        <v>12</v>
      </c>
    </row>
    <row r="95" spans="18:19">
      <c r="R95">
        <v>94</v>
      </c>
      <c r="S95">
        <v>13</v>
      </c>
    </row>
    <row r="96" spans="18:19">
      <c r="R96">
        <v>95</v>
      </c>
      <c r="S96">
        <v>12</v>
      </c>
    </row>
    <row r="97" spans="18:19">
      <c r="R97">
        <v>96</v>
      </c>
      <c r="S97">
        <v>13</v>
      </c>
    </row>
    <row r="98" spans="18:19">
      <c r="R98">
        <v>97</v>
      </c>
      <c r="S98">
        <v>29</v>
      </c>
    </row>
    <row r="99" spans="18:19">
      <c r="R99">
        <v>98</v>
      </c>
      <c r="S99">
        <v>16</v>
      </c>
    </row>
    <row r="100" spans="18:19">
      <c r="R100">
        <v>99</v>
      </c>
      <c r="S100">
        <v>11</v>
      </c>
    </row>
    <row r="101" spans="18:19">
      <c r="R101">
        <v>100</v>
      </c>
      <c r="S101">
        <v>12</v>
      </c>
    </row>
    <row r="102" spans="18:19">
      <c r="R102">
        <v>101</v>
      </c>
      <c r="S102">
        <v>16</v>
      </c>
    </row>
    <row r="103" spans="18:19">
      <c r="R103">
        <v>102</v>
      </c>
      <c r="S103">
        <v>11</v>
      </c>
    </row>
    <row r="104" spans="18:19">
      <c r="R104">
        <v>103</v>
      </c>
      <c r="S104">
        <v>11</v>
      </c>
    </row>
    <row r="105" spans="18:19">
      <c r="R105">
        <v>104</v>
      </c>
      <c r="S105">
        <v>12</v>
      </c>
    </row>
    <row r="106" spans="18:19">
      <c r="R106">
        <v>105</v>
      </c>
      <c r="S106">
        <v>11</v>
      </c>
    </row>
    <row r="107" spans="18:19">
      <c r="R107">
        <v>106</v>
      </c>
      <c r="S107">
        <v>14</v>
      </c>
    </row>
    <row r="108" spans="18:19">
      <c r="R108">
        <v>107</v>
      </c>
      <c r="S108">
        <v>10</v>
      </c>
    </row>
    <row r="109" spans="18:19">
      <c r="R109">
        <v>108</v>
      </c>
      <c r="S109">
        <v>11</v>
      </c>
    </row>
    <row r="110" spans="18:19">
      <c r="R110">
        <v>109</v>
      </c>
      <c r="S110">
        <v>11</v>
      </c>
    </row>
    <row r="111" spans="18:19">
      <c r="R111">
        <v>110</v>
      </c>
      <c r="S111">
        <v>14</v>
      </c>
    </row>
    <row r="112" spans="18:19">
      <c r="R112">
        <v>111</v>
      </c>
      <c r="S112">
        <v>11</v>
      </c>
    </row>
    <row r="113" spans="18:19">
      <c r="R113">
        <v>112</v>
      </c>
      <c r="S113">
        <v>13</v>
      </c>
    </row>
    <row r="114" spans="18:19">
      <c r="R114">
        <v>113</v>
      </c>
      <c r="S114">
        <v>12</v>
      </c>
    </row>
    <row r="115" spans="18:19">
      <c r="R115">
        <v>114</v>
      </c>
      <c r="S115">
        <v>12</v>
      </c>
    </row>
    <row r="116" spans="18:19">
      <c r="R116">
        <v>115</v>
      </c>
      <c r="S116">
        <v>12</v>
      </c>
    </row>
    <row r="117" spans="18:19">
      <c r="R117">
        <v>116</v>
      </c>
      <c r="S117">
        <v>12</v>
      </c>
    </row>
    <row r="118" spans="18:19">
      <c r="R118">
        <v>117</v>
      </c>
      <c r="S118">
        <v>10</v>
      </c>
    </row>
    <row r="119" spans="18:19">
      <c r="R119">
        <v>118</v>
      </c>
      <c r="S119">
        <v>10</v>
      </c>
    </row>
    <row r="120" spans="18:19">
      <c r="R120">
        <v>119</v>
      </c>
      <c r="S120">
        <v>13</v>
      </c>
    </row>
    <row r="121" spans="18:19">
      <c r="R121">
        <v>120</v>
      </c>
      <c r="S121">
        <v>11</v>
      </c>
    </row>
    <row r="122" spans="18:19">
      <c r="R122">
        <v>121</v>
      </c>
      <c r="S122">
        <v>12</v>
      </c>
    </row>
    <row r="123" spans="18:19">
      <c r="R123">
        <v>122</v>
      </c>
      <c r="S123">
        <v>10</v>
      </c>
    </row>
    <row r="124" spans="18:19">
      <c r="R124">
        <v>123</v>
      </c>
      <c r="S124">
        <v>11</v>
      </c>
    </row>
    <row r="125" spans="18:19">
      <c r="R125">
        <v>124</v>
      </c>
      <c r="S125">
        <v>12</v>
      </c>
    </row>
    <row r="126" spans="18:19">
      <c r="R126">
        <v>125</v>
      </c>
      <c r="S126">
        <v>12</v>
      </c>
    </row>
    <row r="127" spans="18:19">
      <c r="R127">
        <v>126</v>
      </c>
      <c r="S127">
        <v>11</v>
      </c>
    </row>
    <row r="128" spans="18:19">
      <c r="R128">
        <v>127</v>
      </c>
      <c r="S128">
        <v>18</v>
      </c>
    </row>
    <row r="129" spans="18:19">
      <c r="R129">
        <v>128</v>
      </c>
      <c r="S129">
        <v>12</v>
      </c>
    </row>
    <row r="130" spans="18:19">
      <c r="R130">
        <v>129</v>
      </c>
      <c r="S130">
        <v>13</v>
      </c>
    </row>
    <row r="131" spans="18:19">
      <c r="R131">
        <v>130</v>
      </c>
      <c r="S131">
        <v>12</v>
      </c>
    </row>
    <row r="132" spans="18:19">
      <c r="R132">
        <v>131</v>
      </c>
      <c r="S132">
        <v>14</v>
      </c>
    </row>
    <row r="133" spans="18:19">
      <c r="R133">
        <v>132</v>
      </c>
      <c r="S133">
        <v>12</v>
      </c>
    </row>
    <row r="134" spans="18:19">
      <c r="R134">
        <v>133</v>
      </c>
      <c r="S134">
        <v>10</v>
      </c>
    </row>
    <row r="135" spans="18:19">
      <c r="R135">
        <v>134</v>
      </c>
      <c r="S135">
        <v>11</v>
      </c>
    </row>
    <row r="136" spans="18:19">
      <c r="R136">
        <v>135</v>
      </c>
      <c r="S136">
        <v>11</v>
      </c>
    </row>
    <row r="137" spans="18:19">
      <c r="R137">
        <v>136</v>
      </c>
      <c r="S137">
        <v>10</v>
      </c>
    </row>
    <row r="138" spans="18:19">
      <c r="R138">
        <v>137</v>
      </c>
      <c r="S138">
        <v>11</v>
      </c>
    </row>
    <row r="139" spans="18:19">
      <c r="R139">
        <v>138</v>
      </c>
      <c r="S139">
        <v>11</v>
      </c>
    </row>
    <row r="140" spans="18:19">
      <c r="R140">
        <v>139</v>
      </c>
      <c r="S140">
        <v>13</v>
      </c>
    </row>
    <row r="141" spans="18:19">
      <c r="R141">
        <v>140</v>
      </c>
      <c r="S141">
        <v>13</v>
      </c>
    </row>
    <row r="142" spans="18:19">
      <c r="R142">
        <v>141</v>
      </c>
      <c r="S142">
        <v>13</v>
      </c>
    </row>
    <row r="143" spans="18:19">
      <c r="R143">
        <v>142</v>
      </c>
      <c r="S143">
        <v>13</v>
      </c>
    </row>
    <row r="144" spans="18:19">
      <c r="R144">
        <v>143</v>
      </c>
      <c r="S144">
        <v>12</v>
      </c>
    </row>
    <row r="145" spans="18:19">
      <c r="R145">
        <v>144</v>
      </c>
      <c r="S145">
        <v>15</v>
      </c>
    </row>
    <row r="146" spans="18:19">
      <c r="R146">
        <v>145</v>
      </c>
      <c r="S146">
        <v>12</v>
      </c>
    </row>
    <row r="147" spans="18:19">
      <c r="R147">
        <v>146</v>
      </c>
      <c r="S147">
        <v>11</v>
      </c>
    </row>
    <row r="148" spans="18:19">
      <c r="R148">
        <v>147</v>
      </c>
      <c r="S148">
        <v>12</v>
      </c>
    </row>
    <row r="149" spans="18:19">
      <c r="R149">
        <v>148</v>
      </c>
      <c r="S149">
        <v>11</v>
      </c>
    </row>
    <row r="150" spans="18:19">
      <c r="R150">
        <v>149</v>
      </c>
      <c r="S150">
        <v>10</v>
      </c>
    </row>
    <row r="151" spans="18:19">
      <c r="R151">
        <v>150</v>
      </c>
      <c r="S151">
        <v>12</v>
      </c>
    </row>
    <row r="152" spans="18:19">
      <c r="R152">
        <v>151</v>
      </c>
      <c r="S152">
        <v>11</v>
      </c>
    </row>
    <row r="153" spans="18:19">
      <c r="R153">
        <v>152</v>
      </c>
      <c r="S153">
        <v>11</v>
      </c>
    </row>
    <row r="154" spans="18:19">
      <c r="R154">
        <v>153</v>
      </c>
      <c r="S154">
        <v>12</v>
      </c>
    </row>
    <row r="155" spans="18:19">
      <c r="R155">
        <v>154</v>
      </c>
      <c r="S155">
        <v>15</v>
      </c>
    </row>
    <row r="156" spans="18:19">
      <c r="R156">
        <v>155</v>
      </c>
      <c r="S156">
        <v>13</v>
      </c>
    </row>
    <row r="157" spans="18:19">
      <c r="R157">
        <v>156</v>
      </c>
      <c r="S157">
        <v>12</v>
      </c>
    </row>
    <row r="158" spans="18:19">
      <c r="R158">
        <v>157</v>
      </c>
      <c r="S158">
        <v>15</v>
      </c>
    </row>
    <row r="159" spans="18:19">
      <c r="R159">
        <v>158</v>
      </c>
      <c r="S159">
        <v>10</v>
      </c>
    </row>
    <row r="160" spans="18:19">
      <c r="R160">
        <v>159</v>
      </c>
      <c r="S160">
        <v>13</v>
      </c>
    </row>
    <row r="161" spans="18:19">
      <c r="R161">
        <v>160</v>
      </c>
      <c r="S161">
        <v>11</v>
      </c>
    </row>
    <row r="162" spans="18:19">
      <c r="R162">
        <v>161</v>
      </c>
      <c r="S162">
        <v>12</v>
      </c>
    </row>
    <row r="163" spans="18:19">
      <c r="R163">
        <v>162</v>
      </c>
      <c r="S163">
        <v>11</v>
      </c>
    </row>
    <row r="164" spans="18:19">
      <c r="R164">
        <v>163</v>
      </c>
      <c r="S164">
        <v>12</v>
      </c>
    </row>
    <row r="165" spans="18:19">
      <c r="R165">
        <v>164</v>
      </c>
      <c r="S165">
        <v>14</v>
      </c>
    </row>
    <row r="166" spans="18:19">
      <c r="R166">
        <v>165</v>
      </c>
      <c r="S166">
        <v>11</v>
      </c>
    </row>
    <row r="167" spans="18:19">
      <c r="R167">
        <v>166</v>
      </c>
      <c r="S167">
        <v>13</v>
      </c>
    </row>
    <row r="168" spans="18:19">
      <c r="R168">
        <v>167</v>
      </c>
      <c r="S168">
        <v>10</v>
      </c>
    </row>
    <row r="169" spans="18:19">
      <c r="R169">
        <v>168</v>
      </c>
      <c r="S169">
        <v>11</v>
      </c>
    </row>
    <row r="170" spans="18:19">
      <c r="R170">
        <v>169</v>
      </c>
      <c r="S170">
        <v>11</v>
      </c>
    </row>
    <row r="171" spans="18:19">
      <c r="R171">
        <v>170</v>
      </c>
      <c r="S171">
        <v>11</v>
      </c>
    </row>
    <row r="172" spans="18:19">
      <c r="R172">
        <v>171</v>
      </c>
      <c r="S172">
        <v>12</v>
      </c>
    </row>
    <row r="173" spans="18:19">
      <c r="R173">
        <v>172</v>
      </c>
      <c r="S173">
        <v>10</v>
      </c>
    </row>
    <row r="174" spans="18:19">
      <c r="R174">
        <v>173</v>
      </c>
      <c r="S174">
        <v>11</v>
      </c>
    </row>
    <row r="175" spans="18:19">
      <c r="R175">
        <v>174</v>
      </c>
      <c r="S175">
        <v>12</v>
      </c>
    </row>
    <row r="176" spans="18:19">
      <c r="R176">
        <v>175</v>
      </c>
      <c r="S176">
        <v>10</v>
      </c>
    </row>
    <row r="177" spans="18:19">
      <c r="R177">
        <v>176</v>
      </c>
      <c r="S177">
        <v>11</v>
      </c>
    </row>
    <row r="178" spans="18:19">
      <c r="R178">
        <v>177</v>
      </c>
      <c r="S178">
        <v>14</v>
      </c>
    </row>
    <row r="179" spans="18:19">
      <c r="R179">
        <v>178</v>
      </c>
      <c r="S179">
        <v>12</v>
      </c>
    </row>
    <row r="180" spans="18:19">
      <c r="R180">
        <v>179</v>
      </c>
      <c r="S180">
        <v>12</v>
      </c>
    </row>
    <row r="181" spans="18:19">
      <c r="R181">
        <v>180</v>
      </c>
      <c r="S181">
        <v>13</v>
      </c>
    </row>
    <row r="182" spans="18:19">
      <c r="R182">
        <v>181</v>
      </c>
      <c r="S182">
        <v>11</v>
      </c>
    </row>
    <row r="183" spans="18:19">
      <c r="R183">
        <v>182</v>
      </c>
      <c r="S183">
        <v>10</v>
      </c>
    </row>
    <row r="184" spans="18:19">
      <c r="R184">
        <v>183</v>
      </c>
      <c r="S184">
        <v>11</v>
      </c>
    </row>
    <row r="185" spans="18:19">
      <c r="R185">
        <v>184</v>
      </c>
      <c r="S185">
        <v>12</v>
      </c>
    </row>
    <row r="186" spans="18:19">
      <c r="R186">
        <v>185</v>
      </c>
      <c r="S186">
        <v>11</v>
      </c>
    </row>
    <row r="187" spans="18:19">
      <c r="R187">
        <v>186</v>
      </c>
      <c r="S187">
        <v>13</v>
      </c>
    </row>
    <row r="188" spans="18:19">
      <c r="R188">
        <v>187</v>
      </c>
      <c r="S188">
        <v>12</v>
      </c>
    </row>
    <row r="189" spans="18:19">
      <c r="R189">
        <v>188</v>
      </c>
      <c r="S189">
        <v>12</v>
      </c>
    </row>
    <row r="190" spans="18:19">
      <c r="R190">
        <v>189</v>
      </c>
      <c r="S190">
        <v>12</v>
      </c>
    </row>
    <row r="191" spans="18:19">
      <c r="R191">
        <v>190</v>
      </c>
      <c r="S191">
        <v>12</v>
      </c>
    </row>
    <row r="192" spans="18:19">
      <c r="R192">
        <v>191</v>
      </c>
      <c r="S192">
        <v>12</v>
      </c>
    </row>
    <row r="193" spans="18:19">
      <c r="R193">
        <v>192</v>
      </c>
      <c r="S193">
        <v>11</v>
      </c>
    </row>
    <row r="194" spans="18:19">
      <c r="R194">
        <v>193</v>
      </c>
      <c r="S194">
        <v>16</v>
      </c>
    </row>
    <row r="195" spans="18:19">
      <c r="R195">
        <v>194</v>
      </c>
      <c r="S195">
        <v>11</v>
      </c>
    </row>
    <row r="196" spans="18:19">
      <c r="R196">
        <v>195</v>
      </c>
      <c r="S196">
        <v>12</v>
      </c>
    </row>
    <row r="197" spans="18:19">
      <c r="R197">
        <v>196</v>
      </c>
      <c r="S197">
        <v>14</v>
      </c>
    </row>
    <row r="198" spans="18:19">
      <c r="R198">
        <v>197</v>
      </c>
      <c r="S198">
        <v>11</v>
      </c>
    </row>
    <row r="199" spans="18:19">
      <c r="R199">
        <v>198</v>
      </c>
      <c r="S199">
        <v>13</v>
      </c>
    </row>
    <row r="200" spans="18:19">
      <c r="R200">
        <v>199</v>
      </c>
      <c r="S200">
        <v>12</v>
      </c>
    </row>
    <row r="201" spans="18:19">
      <c r="R201">
        <v>200</v>
      </c>
      <c r="S201">
        <v>12</v>
      </c>
    </row>
    <row r="202" spans="18:19">
      <c r="R202">
        <v>201</v>
      </c>
      <c r="S202">
        <v>13</v>
      </c>
    </row>
    <row r="203" spans="18:19">
      <c r="R203">
        <v>202</v>
      </c>
      <c r="S203">
        <v>12</v>
      </c>
    </row>
    <row r="204" spans="18:19">
      <c r="R204">
        <v>203</v>
      </c>
      <c r="S204">
        <v>12</v>
      </c>
    </row>
    <row r="205" spans="18:19">
      <c r="R205">
        <v>204</v>
      </c>
      <c r="S205">
        <v>11</v>
      </c>
    </row>
    <row r="206" spans="18:19">
      <c r="R206">
        <v>205</v>
      </c>
      <c r="S206">
        <v>11</v>
      </c>
    </row>
    <row r="207" spans="18:19">
      <c r="R207">
        <v>206</v>
      </c>
      <c r="S207">
        <v>11</v>
      </c>
    </row>
    <row r="208" spans="18:19">
      <c r="R208">
        <v>207</v>
      </c>
      <c r="S208">
        <v>11</v>
      </c>
    </row>
    <row r="209" spans="18:19">
      <c r="R209">
        <v>208</v>
      </c>
      <c r="S209">
        <v>12</v>
      </c>
    </row>
    <row r="210" spans="18:19">
      <c r="R210">
        <v>209</v>
      </c>
      <c r="S210">
        <v>11</v>
      </c>
    </row>
    <row r="211" spans="18:19">
      <c r="R211">
        <v>210</v>
      </c>
      <c r="S211">
        <v>13</v>
      </c>
    </row>
    <row r="212" spans="18:19">
      <c r="R212">
        <v>211</v>
      </c>
      <c r="S212">
        <v>12</v>
      </c>
    </row>
    <row r="213" spans="18:19">
      <c r="R213">
        <v>212</v>
      </c>
      <c r="S213">
        <v>12</v>
      </c>
    </row>
    <row r="214" spans="18:19">
      <c r="R214">
        <v>213</v>
      </c>
      <c r="S214">
        <v>12</v>
      </c>
    </row>
    <row r="215" spans="18:19">
      <c r="R215">
        <v>214</v>
      </c>
      <c r="S215">
        <v>12</v>
      </c>
    </row>
    <row r="216" spans="18:19">
      <c r="R216">
        <v>215</v>
      </c>
      <c r="S216">
        <v>12</v>
      </c>
    </row>
    <row r="217" spans="18:19">
      <c r="R217">
        <v>216</v>
      </c>
      <c r="S217">
        <v>12</v>
      </c>
    </row>
    <row r="218" spans="18:19">
      <c r="R218">
        <v>217</v>
      </c>
      <c r="S218">
        <v>13</v>
      </c>
    </row>
    <row r="219" spans="18:19">
      <c r="R219">
        <v>218</v>
      </c>
      <c r="S219">
        <v>10</v>
      </c>
    </row>
    <row r="220" spans="18:19">
      <c r="R220">
        <v>219</v>
      </c>
      <c r="S220">
        <v>11</v>
      </c>
    </row>
    <row r="221" spans="18:19">
      <c r="R221">
        <v>220</v>
      </c>
      <c r="S221">
        <v>12</v>
      </c>
    </row>
    <row r="222" spans="18:19">
      <c r="R222">
        <v>221</v>
      </c>
      <c r="S222">
        <v>12</v>
      </c>
    </row>
    <row r="223" spans="18:19">
      <c r="R223">
        <v>222</v>
      </c>
      <c r="S223">
        <v>14</v>
      </c>
    </row>
    <row r="224" spans="18:19">
      <c r="R224">
        <v>223</v>
      </c>
      <c r="S224">
        <v>11</v>
      </c>
    </row>
    <row r="225" spans="18:19">
      <c r="R225">
        <v>224</v>
      </c>
      <c r="S225">
        <v>11</v>
      </c>
    </row>
    <row r="226" spans="18:19">
      <c r="R226">
        <v>225</v>
      </c>
      <c r="S226">
        <v>10</v>
      </c>
    </row>
    <row r="227" spans="18:19">
      <c r="R227">
        <v>226</v>
      </c>
      <c r="S227">
        <v>13</v>
      </c>
    </row>
    <row r="228" spans="18:19">
      <c r="R228">
        <v>227</v>
      </c>
      <c r="S228">
        <v>22</v>
      </c>
    </row>
    <row r="229" spans="18:19">
      <c r="R229">
        <v>228</v>
      </c>
      <c r="S229">
        <v>12</v>
      </c>
    </row>
    <row r="230" spans="18:19">
      <c r="R230">
        <v>229</v>
      </c>
      <c r="S230">
        <v>17</v>
      </c>
    </row>
    <row r="231" spans="18:19">
      <c r="R231">
        <v>230</v>
      </c>
      <c r="S231">
        <v>11</v>
      </c>
    </row>
    <row r="232" spans="18:19">
      <c r="R232">
        <v>231</v>
      </c>
      <c r="S232">
        <v>12</v>
      </c>
    </row>
    <row r="233" spans="18:19">
      <c r="R233">
        <v>232</v>
      </c>
      <c r="S233">
        <v>12</v>
      </c>
    </row>
    <row r="234" spans="18:19">
      <c r="R234">
        <v>233</v>
      </c>
      <c r="S234">
        <v>10</v>
      </c>
    </row>
    <row r="235" spans="18:19">
      <c r="R235">
        <v>234</v>
      </c>
      <c r="S235">
        <v>10</v>
      </c>
    </row>
    <row r="236" spans="18:19">
      <c r="R236">
        <v>235</v>
      </c>
      <c r="S236">
        <v>13</v>
      </c>
    </row>
    <row r="237" spans="18:19">
      <c r="R237">
        <v>236</v>
      </c>
      <c r="S237">
        <v>11</v>
      </c>
    </row>
    <row r="238" spans="18:19">
      <c r="R238">
        <v>237</v>
      </c>
      <c r="S238">
        <v>12</v>
      </c>
    </row>
    <row r="239" spans="18:19">
      <c r="R239">
        <v>238</v>
      </c>
      <c r="S239">
        <v>11</v>
      </c>
    </row>
    <row r="240" spans="18:19">
      <c r="R240">
        <v>239</v>
      </c>
      <c r="S240">
        <v>12</v>
      </c>
    </row>
    <row r="241" spans="18:19">
      <c r="R241">
        <v>240</v>
      </c>
      <c r="S241">
        <v>13</v>
      </c>
    </row>
    <row r="242" spans="18:19">
      <c r="R242">
        <v>241</v>
      </c>
      <c r="S242">
        <v>16</v>
      </c>
    </row>
    <row r="243" spans="18:19">
      <c r="R243">
        <v>242</v>
      </c>
      <c r="S243">
        <v>12</v>
      </c>
    </row>
    <row r="244" spans="18:19">
      <c r="R244">
        <v>243</v>
      </c>
      <c r="S244">
        <v>11</v>
      </c>
    </row>
    <row r="245" spans="18:19">
      <c r="R245">
        <v>244</v>
      </c>
      <c r="S245">
        <v>12</v>
      </c>
    </row>
    <row r="246" spans="18:19">
      <c r="R246">
        <v>245</v>
      </c>
      <c r="S246">
        <v>11</v>
      </c>
    </row>
    <row r="247" spans="18:19">
      <c r="R247">
        <v>246</v>
      </c>
      <c r="S247">
        <v>11</v>
      </c>
    </row>
    <row r="248" spans="18:19">
      <c r="R248">
        <v>247</v>
      </c>
      <c r="S248">
        <v>13</v>
      </c>
    </row>
    <row r="249" spans="18:19">
      <c r="R249">
        <v>248</v>
      </c>
      <c r="S249">
        <v>11</v>
      </c>
    </row>
    <row r="250" spans="18:19">
      <c r="R250">
        <v>249</v>
      </c>
      <c r="S250">
        <v>11</v>
      </c>
    </row>
    <row r="251" spans="18:19">
      <c r="R251">
        <v>250</v>
      </c>
      <c r="S251">
        <v>11</v>
      </c>
    </row>
    <row r="252" spans="18:19">
      <c r="R252">
        <v>251</v>
      </c>
      <c r="S252">
        <v>12</v>
      </c>
    </row>
    <row r="253" spans="18:19">
      <c r="R253">
        <v>252</v>
      </c>
      <c r="S253">
        <v>12</v>
      </c>
    </row>
    <row r="254" spans="18:19">
      <c r="R254">
        <v>253</v>
      </c>
      <c r="S254">
        <v>11</v>
      </c>
    </row>
    <row r="255" spans="18:19">
      <c r="R255">
        <v>254</v>
      </c>
      <c r="S255">
        <v>13</v>
      </c>
    </row>
    <row r="256" spans="18:19">
      <c r="R256">
        <v>255</v>
      </c>
      <c r="S256">
        <v>11</v>
      </c>
    </row>
    <row r="257" spans="18:19">
      <c r="R257">
        <v>256</v>
      </c>
      <c r="S257">
        <v>11</v>
      </c>
    </row>
    <row r="258" spans="18:19">
      <c r="R258">
        <v>257</v>
      </c>
      <c r="S258">
        <v>16</v>
      </c>
    </row>
    <row r="259" spans="18:19">
      <c r="R259">
        <v>258</v>
      </c>
      <c r="S259">
        <v>12</v>
      </c>
    </row>
    <row r="260" spans="18:19">
      <c r="R260">
        <v>259</v>
      </c>
      <c r="S260">
        <v>11</v>
      </c>
    </row>
    <row r="261" spans="18:19">
      <c r="R261">
        <v>260</v>
      </c>
      <c r="S261">
        <v>13</v>
      </c>
    </row>
    <row r="262" spans="18:19">
      <c r="R262">
        <v>261</v>
      </c>
      <c r="S262">
        <v>11</v>
      </c>
    </row>
    <row r="263" spans="18:19">
      <c r="R263">
        <v>262</v>
      </c>
      <c r="S263">
        <v>13</v>
      </c>
    </row>
    <row r="264" spans="18:19">
      <c r="R264">
        <v>263</v>
      </c>
      <c r="S264">
        <v>11</v>
      </c>
    </row>
    <row r="265" spans="18:19">
      <c r="R265">
        <v>264</v>
      </c>
      <c r="S265">
        <v>11</v>
      </c>
    </row>
    <row r="266" spans="18:19">
      <c r="R266">
        <v>265</v>
      </c>
      <c r="S266">
        <v>10</v>
      </c>
    </row>
    <row r="267" spans="18:19">
      <c r="R267">
        <v>266</v>
      </c>
      <c r="S267">
        <v>14</v>
      </c>
    </row>
    <row r="268" spans="18:19">
      <c r="R268">
        <v>267</v>
      </c>
      <c r="S268">
        <v>11</v>
      </c>
    </row>
    <row r="269" spans="18:19">
      <c r="R269">
        <v>268</v>
      </c>
      <c r="S269">
        <v>11</v>
      </c>
    </row>
    <row r="270" spans="18:19">
      <c r="R270">
        <v>269</v>
      </c>
      <c r="S270">
        <v>11</v>
      </c>
    </row>
    <row r="271" spans="18:19">
      <c r="R271">
        <v>270</v>
      </c>
      <c r="S271">
        <v>12</v>
      </c>
    </row>
    <row r="272" spans="18:19">
      <c r="R272">
        <v>271</v>
      </c>
      <c r="S272">
        <v>11</v>
      </c>
    </row>
    <row r="273" spans="18:19">
      <c r="R273">
        <v>272</v>
      </c>
      <c r="S273">
        <v>12</v>
      </c>
    </row>
    <row r="274" spans="18:19">
      <c r="R274">
        <v>273</v>
      </c>
      <c r="S274">
        <v>13</v>
      </c>
    </row>
    <row r="275" spans="18:19">
      <c r="R275">
        <v>274</v>
      </c>
      <c r="S275">
        <v>11</v>
      </c>
    </row>
    <row r="276" spans="18:19">
      <c r="R276">
        <v>275</v>
      </c>
      <c r="S276">
        <v>12</v>
      </c>
    </row>
    <row r="277" spans="18:19">
      <c r="R277">
        <v>276</v>
      </c>
      <c r="S277">
        <v>11</v>
      </c>
    </row>
    <row r="278" spans="18:19">
      <c r="R278">
        <v>277</v>
      </c>
      <c r="S278">
        <v>11</v>
      </c>
    </row>
    <row r="279" spans="18:19">
      <c r="R279">
        <v>278</v>
      </c>
      <c r="S279">
        <v>12</v>
      </c>
    </row>
    <row r="280" spans="18:19">
      <c r="R280">
        <v>279</v>
      </c>
      <c r="S280">
        <v>13</v>
      </c>
    </row>
    <row r="281" spans="18:19">
      <c r="R281">
        <v>280</v>
      </c>
      <c r="S281">
        <v>11</v>
      </c>
    </row>
    <row r="282" spans="18:19">
      <c r="R282">
        <v>281</v>
      </c>
      <c r="S282">
        <v>13</v>
      </c>
    </row>
    <row r="283" spans="18:19">
      <c r="R283">
        <v>282</v>
      </c>
      <c r="S283">
        <v>12</v>
      </c>
    </row>
    <row r="284" spans="18:19">
      <c r="R284">
        <v>283</v>
      </c>
      <c r="S284">
        <v>11</v>
      </c>
    </row>
    <row r="285" spans="18:19">
      <c r="R285">
        <v>284</v>
      </c>
      <c r="S285">
        <v>15</v>
      </c>
    </row>
    <row r="286" spans="18:19">
      <c r="R286">
        <v>285</v>
      </c>
      <c r="S286">
        <v>12</v>
      </c>
    </row>
    <row r="287" spans="18:19">
      <c r="R287">
        <v>286</v>
      </c>
      <c r="S287">
        <v>11</v>
      </c>
    </row>
    <row r="288" spans="18:19">
      <c r="R288">
        <v>287</v>
      </c>
      <c r="S288">
        <v>10</v>
      </c>
    </row>
    <row r="289" spans="18:19">
      <c r="R289">
        <v>288</v>
      </c>
      <c r="S289">
        <v>12</v>
      </c>
    </row>
    <row r="290" spans="18:19">
      <c r="R290">
        <v>289</v>
      </c>
      <c r="S290">
        <v>10</v>
      </c>
    </row>
    <row r="291" spans="18:19">
      <c r="R291">
        <v>290</v>
      </c>
      <c r="S291">
        <v>12</v>
      </c>
    </row>
    <row r="292" spans="18:19">
      <c r="R292">
        <v>291</v>
      </c>
      <c r="S292">
        <v>12</v>
      </c>
    </row>
    <row r="293" spans="18:19">
      <c r="R293">
        <v>292</v>
      </c>
      <c r="S293">
        <v>11</v>
      </c>
    </row>
    <row r="294" spans="18:19">
      <c r="R294">
        <v>293</v>
      </c>
      <c r="S294">
        <v>11</v>
      </c>
    </row>
    <row r="295" spans="18:19">
      <c r="R295">
        <v>294</v>
      </c>
      <c r="S295">
        <v>11</v>
      </c>
    </row>
    <row r="296" spans="18:19">
      <c r="R296">
        <v>295</v>
      </c>
      <c r="S296">
        <v>13</v>
      </c>
    </row>
    <row r="297" spans="18:19">
      <c r="R297">
        <v>296</v>
      </c>
      <c r="S297">
        <v>10</v>
      </c>
    </row>
    <row r="298" spans="18:19">
      <c r="R298">
        <v>297</v>
      </c>
      <c r="S298">
        <v>11</v>
      </c>
    </row>
    <row r="299" spans="18:19">
      <c r="R299">
        <v>298</v>
      </c>
      <c r="S299">
        <v>12</v>
      </c>
    </row>
    <row r="300" spans="18:19">
      <c r="R300">
        <v>299</v>
      </c>
      <c r="S300">
        <v>12</v>
      </c>
    </row>
    <row r="301" spans="18:19">
      <c r="R301">
        <v>300</v>
      </c>
      <c r="S301">
        <v>9</v>
      </c>
    </row>
    <row r="302" spans="18:19">
      <c r="R302">
        <v>301</v>
      </c>
      <c r="S302">
        <v>11</v>
      </c>
    </row>
    <row r="303" spans="18:19">
      <c r="R303">
        <v>302</v>
      </c>
      <c r="S303">
        <v>11</v>
      </c>
    </row>
    <row r="304" spans="18:19">
      <c r="R304">
        <v>303</v>
      </c>
      <c r="S304">
        <v>11</v>
      </c>
    </row>
    <row r="305" spans="18:19">
      <c r="R305">
        <v>304</v>
      </c>
      <c r="S305">
        <v>11</v>
      </c>
    </row>
    <row r="306" spans="18:19">
      <c r="R306">
        <v>305</v>
      </c>
      <c r="S306">
        <v>12</v>
      </c>
    </row>
    <row r="307" spans="18:19">
      <c r="R307">
        <v>306</v>
      </c>
      <c r="S307">
        <v>11</v>
      </c>
    </row>
    <row r="308" spans="18:19">
      <c r="R308">
        <v>307</v>
      </c>
      <c r="S308">
        <v>12</v>
      </c>
    </row>
    <row r="309" spans="18:19">
      <c r="R309">
        <v>308</v>
      </c>
      <c r="S309">
        <v>12</v>
      </c>
    </row>
    <row r="310" spans="18:19">
      <c r="R310">
        <v>309</v>
      </c>
      <c r="S310">
        <v>12</v>
      </c>
    </row>
    <row r="311" spans="18:19">
      <c r="R311">
        <v>310</v>
      </c>
      <c r="S311">
        <v>11</v>
      </c>
    </row>
    <row r="312" spans="18:19">
      <c r="R312">
        <v>311</v>
      </c>
      <c r="S312">
        <v>14</v>
      </c>
    </row>
    <row r="313" spans="18:19">
      <c r="R313">
        <v>312</v>
      </c>
      <c r="S313">
        <v>14</v>
      </c>
    </row>
    <row r="314" spans="18:19">
      <c r="R314">
        <v>313</v>
      </c>
      <c r="S314">
        <v>10</v>
      </c>
    </row>
    <row r="315" spans="18:19">
      <c r="R315">
        <v>314</v>
      </c>
      <c r="S315">
        <v>12</v>
      </c>
    </row>
    <row r="316" spans="18:19">
      <c r="R316">
        <v>315</v>
      </c>
      <c r="S316">
        <v>12</v>
      </c>
    </row>
    <row r="317" spans="18:19">
      <c r="R317">
        <v>316</v>
      </c>
      <c r="S317">
        <v>12</v>
      </c>
    </row>
    <row r="318" spans="18:19">
      <c r="R318">
        <v>317</v>
      </c>
      <c r="S318">
        <v>11</v>
      </c>
    </row>
    <row r="319" spans="18:19">
      <c r="R319">
        <v>318</v>
      </c>
      <c r="S319">
        <v>13</v>
      </c>
    </row>
    <row r="320" spans="18:19">
      <c r="R320">
        <v>319</v>
      </c>
      <c r="S320">
        <v>11</v>
      </c>
    </row>
    <row r="321" spans="18:19">
      <c r="R321">
        <v>320</v>
      </c>
      <c r="S321">
        <v>14</v>
      </c>
    </row>
    <row r="322" spans="18:19">
      <c r="R322">
        <v>321</v>
      </c>
      <c r="S322">
        <v>11</v>
      </c>
    </row>
    <row r="323" spans="18:19">
      <c r="R323">
        <v>322</v>
      </c>
      <c r="S323">
        <v>11</v>
      </c>
    </row>
    <row r="324" spans="18:19">
      <c r="R324">
        <v>323</v>
      </c>
      <c r="S324">
        <v>12</v>
      </c>
    </row>
    <row r="325" spans="18:19">
      <c r="R325">
        <v>324</v>
      </c>
      <c r="S325">
        <v>11</v>
      </c>
    </row>
    <row r="326" spans="18:19">
      <c r="R326">
        <v>325</v>
      </c>
      <c r="S326">
        <v>12</v>
      </c>
    </row>
    <row r="327" spans="18:19">
      <c r="R327">
        <v>326</v>
      </c>
      <c r="S327">
        <v>11</v>
      </c>
    </row>
    <row r="328" spans="18:19">
      <c r="R328">
        <v>327</v>
      </c>
      <c r="S328">
        <v>14</v>
      </c>
    </row>
    <row r="329" spans="18:19">
      <c r="R329">
        <v>328</v>
      </c>
      <c r="S329">
        <v>10</v>
      </c>
    </row>
    <row r="330" spans="18:19">
      <c r="R330">
        <v>329</v>
      </c>
      <c r="S330">
        <v>13</v>
      </c>
    </row>
    <row r="331" spans="18:19">
      <c r="R331">
        <v>330</v>
      </c>
      <c r="S331">
        <v>11</v>
      </c>
    </row>
    <row r="332" spans="18:19">
      <c r="R332">
        <v>331</v>
      </c>
      <c r="S332">
        <v>10</v>
      </c>
    </row>
    <row r="333" spans="18:19">
      <c r="R333">
        <v>332</v>
      </c>
      <c r="S333">
        <v>13</v>
      </c>
    </row>
    <row r="334" spans="18:19">
      <c r="R334">
        <v>333</v>
      </c>
      <c r="S334">
        <v>11</v>
      </c>
    </row>
    <row r="335" spans="18:19">
      <c r="R335">
        <v>334</v>
      </c>
      <c r="S335">
        <v>13</v>
      </c>
    </row>
    <row r="336" spans="18:19">
      <c r="R336">
        <v>335</v>
      </c>
      <c r="S336">
        <v>13</v>
      </c>
    </row>
    <row r="337" spans="18:19">
      <c r="R337">
        <v>336</v>
      </c>
      <c r="S337">
        <v>12</v>
      </c>
    </row>
    <row r="338" spans="18:19">
      <c r="R338">
        <v>337</v>
      </c>
      <c r="S338">
        <v>11</v>
      </c>
    </row>
    <row r="339" spans="18:19">
      <c r="R339">
        <v>338</v>
      </c>
      <c r="S339">
        <v>11</v>
      </c>
    </row>
    <row r="340" spans="18:19">
      <c r="R340">
        <v>339</v>
      </c>
      <c r="S340">
        <v>11</v>
      </c>
    </row>
    <row r="341" spans="18:19">
      <c r="R341">
        <v>340</v>
      </c>
      <c r="S341">
        <v>13</v>
      </c>
    </row>
    <row r="342" spans="18:19">
      <c r="R342">
        <v>341</v>
      </c>
      <c r="S342">
        <v>11</v>
      </c>
    </row>
    <row r="343" spans="18:19">
      <c r="R343">
        <v>342</v>
      </c>
      <c r="S343">
        <v>13</v>
      </c>
    </row>
    <row r="344" spans="18:19">
      <c r="R344">
        <v>343</v>
      </c>
      <c r="S344">
        <v>14</v>
      </c>
    </row>
    <row r="345" spans="18:19">
      <c r="R345">
        <v>344</v>
      </c>
      <c r="S345">
        <v>10</v>
      </c>
    </row>
    <row r="346" spans="18:19">
      <c r="R346">
        <v>345</v>
      </c>
      <c r="S346">
        <v>11</v>
      </c>
    </row>
    <row r="347" spans="18:19">
      <c r="R347">
        <v>346</v>
      </c>
      <c r="S347">
        <v>11</v>
      </c>
    </row>
    <row r="348" spans="18:19">
      <c r="R348">
        <v>347</v>
      </c>
      <c r="S348">
        <v>13</v>
      </c>
    </row>
    <row r="349" spans="18:19">
      <c r="R349">
        <v>348</v>
      </c>
      <c r="S349">
        <v>12</v>
      </c>
    </row>
    <row r="350" spans="18:19">
      <c r="R350">
        <v>349</v>
      </c>
      <c r="S350">
        <v>12</v>
      </c>
    </row>
    <row r="351" spans="18:19">
      <c r="R351">
        <v>350</v>
      </c>
      <c r="S351">
        <v>10</v>
      </c>
    </row>
    <row r="352" spans="18:19">
      <c r="R352">
        <v>351</v>
      </c>
      <c r="S352">
        <v>13</v>
      </c>
    </row>
    <row r="353" spans="18:19">
      <c r="R353">
        <v>352</v>
      </c>
      <c r="S353">
        <v>10</v>
      </c>
    </row>
    <row r="354" spans="18:19">
      <c r="R354">
        <v>353</v>
      </c>
      <c r="S354">
        <v>14</v>
      </c>
    </row>
    <row r="355" spans="18:19">
      <c r="R355">
        <v>354</v>
      </c>
      <c r="S355">
        <v>14</v>
      </c>
    </row>
    <row r="356" spans="18:19">
      <c r="R356">
        <v>355</v>
      </c>
      <c r="S356">
        <v>10</v>
      </c>
    </row>
    <row r="357" spans="18:19">
      <c r="R357">
        <v>356</v>
      </c>
      <c r="S357">
        <v>10</v>
      </c>
    </row>
    <row r="358" spans="18:19">
      <c r="R358">
        <v>357</v>
      </c>
      <c r="S358">
        <v>12</v>
      </c>
    </row>
    <row r="359" spans="18:19">
      <c r="R359">
        <v>358</v>
      </c>
      <c r="S359">
        <v>13</v>
      </c>
    </row>
    <row r="360" spans="18:19">
      <c r="R360">
        <v>359</v>
      </c>
      <c r="S360">
        <v>13</v>
      </c>
    </row>
    <row r="361" spans="18:19">
      <c r="R361">
        <v>360</v>
      </c>
      <c r="S361">
        <v>12</v>
      </c>
    </row>
    <row r="362" spans="18:19">
      <c r="R362">
        <v>361</v>
      </c>
      <c r="S362">
        <v>13</v>
      </c>
    </row>
    <row r="363" spans="18:19">
      <c r="R363">
        <v>362</v>
      </c>
      <c r="S363">
        <v>13</v>
      </c>
    </row>
    <row r="364" spans="18:19">
      <c r="R364">
        <v>363</v>
      </c>
      <c r="S364">
        <v>10</v>
      </c>
    </row>
    <row r="365" spans="18:19">
      <c r="R365">
        <v>364</v>
      </c>
      <c r="S365">
        <v>17</v>
      </c>
    </row>
    <row r="366" spans="18:19">
      <c r="R366">
        <v>365</v>
      </c>
      <c r="S366">
        <v>12</v>
      </c>
    </row>
    <row r="367" spans="18:19">
      <c r="R367">
        <v>366</v>
      </c>
      <c r="S367">
        <v>11</v>
      </c>
    </row>
    <row r="368" spans="18:19">
      <c r="R368">
        <v>367</v>
      </c>
      <c r="S368">
        <v>12</v>
      </c>
    </row>
    <row r="369" spans="18:19">
      <c r="R369">
        <v>368</v>
      </c>
      <c r="S369">
        <v>11</v>
      </c>
    </row>
    <row r="370" spans="18:19">
      <c r="R370">
        <v>369</v>
      </c>
      <c r="S370">
        <v>10</v>
      </c>
    </row>
    <row r="371" spans="18:19">
      <c r="R371">
        <v>370</v>
      </c>
      <c r="S371">
        <v>9</v>
      </c>
    </row>
    <row r="372" spans="18:19">
      <c r="R372">
        <v>371</v>
      </c>
      <c r="S372">
        <v>13</v>
      </c>
    </row>
    <row r="373" spans="18:19">
      <c r="R373">
        <v>372</v>
      </c>
      <c r="S373">
        <v>10</v>
      </c>
    </row>
    <row r="374" spans="18:19">
      <c r="R374">
        <v>373</v>
      </c>
      <c r="S374">
        <v>12</v>
      </c>
    </row>
    <row r="375" spans="18:19">
      <c r="R375">
        <v>374</v>
      </c>
      <c r="S375">
        <v>10</v>
      </c>
    </row>
    <row r="376" spans="18:19">
      <c r="R376">
        <v>375</v>
      </c>
      <c r="S376">
        <v>11</v>
      </c>
    </row>
    <row r="377" spans="18:19">
      <c r="R377">
        <v>376</v>
      </c>
      <c r="S377">
        <v>11</v>
      </c>
    </row>
    <row r="378" spans="18:19">
      <c r="R378">
        <v>377</v>
      </c>
      <c r="S378">
        <v>14</v>
      </c>
    </row>
    <row r="379" spans="18:19">
      <c r="R379">
        <v>378</v>
      </c>
      <c r="S379">
        <v>14</v>
      </c>
    </row>
    <row r="380" spans="18:19">
      <c r="R380">
        <v>379</v>
      </c>
      <c r="S380">
        <v>10</v>
      </c>
    </row>
    <row r="381" spans="18:19">
      <c r="R381">
        <v>380</v>
      </c>
      <c r="S381">
        <v>10</v>
      </c>
    </row>
    <row r="382" spans="18:19">
      <c r="R382">
        <v>381</v>
      </c>
      <c r="S382">
        <v>11</v>
      </c>
    </row>
    <row r="383" spans="18:19">
      <c r="R383">
        <v>382</v>
      </c>
      <c r="S383">
        <v>11</v>
      </c>
    </row>
    <row r="384" spans="18:19">
      <c r="R384">
        <v>383</v>
      </c>
      <c r="S384">
        <v>12</v>
      </c>
    </row>
    <row r="385" spans="18:19">
      <c r="R385">
        <v>384</v>
      </c>
      <c r="S385">
        <v>11</v>
      </c>
    </row>
    <row r="386" spans="18:19">
      <c r="R386">
        <v>385</v>
      </c>
      <c r="S386">
        <v>12</v>
      </c>
    </row>
    <row r="387" spans="18:19">
      <c r="R387">
        <v>386</v>
      </c>
      <c r="S387">
        <v>11</v>
      </c>
    </row>
    <row r="388" spans="18:19">
      <c r="R388">
        <v>387</v>
      </c>
      <c r="S388">
        <v>12</v>
      </c>
    </row>
    <row r="389" spans="18:19">
      <c r="R389">
        <v>388</v>
      </c>
      <c r="S389">
        <v>16</v>
      </c>
    </row>
    <row r="390" spans="18:19">
      <c r="R390">
        <v>389</v>
      </c>
      <c r="S390">
        <v>12</v>
      </c>
    </row>
    <row r="391" spans="18:19">
      <c r="R391">
        <v>390</v>
      </c>
      <c r="S391">
        <v>12</v>
      </c>
    </row>
    <row r="392" spans="18:19">
      <c r="R392">
        <v>391</v>
      </c>
      <c r="S392">
        <v>11</v>
      </c>
    </row>
    <row r="393" spans="18:19">
      <c r="R393">
        <v>392</v>
      </c>
      <c r="S393">
        <v>13</v>
      </c>
    </row>
    <row r="394" spans="18:19">
      <c r="R394">
        <v>393</v>
      </c>
      <c r="S394">
        <v>11</v>
      </c>
    </row>
    <row r="395" spans="18:19">
      <c r="R395">
        <v>394</v>
      </c>
      <c r="S395">
        <v>12</v>
      </c>
    </row>
    <row r="396" spans="18:19">
      <c r="R396">
        <v>395</v>
      </c>
      <c r="S396">
        <v>13</v>
      </c>
    </row>
    <row r="397" spans="18:19">
      <c r="R397">
        <v>396</v>
      </c>
      <c r="S397">
        <v>10</v>
      </c>
    </row>
    <row r="398" spans="18:19">
      <c r="R398">
        <v>397</v>
      </c>
      <c r="S398">
        <v>13</v>
      </c>
    </row>
    <row r="399" spans="18:19">
      <c r="R399">
        <v>398</v>
      </c>
      <c r="S399">
        <v>11</v>
      </c>
    </row>
    <row r="400" spans="18:19">
      <c r="R400">
        <v>399</v>
      </c>
      <c r="S400">
        <v>12</v>
      </c>
    </row>
    <row r="401" spans="18:19">
      <c r="R401">
        <v>400</v>
      </c>
      <c r="S401">
        <v>11</v>
      </c>
    </row>
    <row r="402" spans="18:19">
      <c r="R402">
        <v>401</v>
      </c>
      <c r="S402">
        <v>13</v>
      </c>
    </row>
    <row r="403" spans="18:19">
      <c r="R403">
        <v>402</v>
      </c>
      <c r="S403">
        <v>12</v>
      </c>
    </row>
    <row r="404" spans="18:19">
      <c r="R404">
        <v>403</v>
      </c>
      <c r="S404">
        <v>13</v>
      </c>
    </row>
    <row r="405" spans="18:19">
      <c r="R405">
        <v>404</v>
      </c>
      <c r="S405">
        <v>12</v>
      </c>
    </row>
    <row r="406" spans="18:19">
      <c r="R406">
        <v>405</v>
      </c>
      <c r="S406">
        <v>11</v>
      </c>
    </row>
    <row r="407" spans="18:19">
      <c r="R407">
        <v>406</v>
      </c>
      <c r="S407">
        <v>11</v>
      </c>
    </row>
    <row r="408" spans="18:19">
      <c r="R408">
        <v>407</v>
      </c>
      <c r="S408">
        <v>11</v>
      </c>
    </row>
    <row r="409" spans="18:19">
      <c r="R409">
        <v>408</v>
      </c>
      <c r="S409">
        <v>12</v>
      </c>
    </row>
    <row r="410" spans="18:19">
      <c r="R410">
        <v>409</v>
      </c>
      <c r="S410">
        <v>12</v>
      </c>
    </row>
    <row r="411" spans="18:19">
      <c r="R411">
        <v>410</v>
      </c>
      <c r="S411">
        <v>12</v>
      </c>
    </row>
    <row r="412" spans="18:19">
      <c r="R412">
        <v>411</v>
      </c>
      <c r="S412">
        <v>11</v>
      </c>
    </row>
    <row r="413" spans="18:19">
      <c r="R413">
        <v>412</v>
      </c>
      <c r="S413">
        <v>12</v>
      </c>
    </row>
    <row r="414" spans="18:19">
      <c r="R414">
        <v>413</v>
      </c>
      <c r="S414">
        <v>12</v>
      </c>
    </row>
    <row r="415" spans="18:19">
      <c r="R415">
        <v>414</v>
      </c>
      <c r="S415">
        <v>11</v>
      </c>
    </row>
    <row r="416" spans="18:19">
      <c r="R416">
        <v>415</v>
      </c>
      <c r="S416">
        <v>12</v>
      </c>
    </row>
    <row r="417" spans="18:19">
      <c r="R417">
        <v>416</v>
      </c>
      <c r="S417">
        <v>14</v>
      </c>
    </row>
    <row r="418" spans="18:19">
      <c r="R418">
        <v>417</v>
      </c>
      <c r="S418">
        <v>12</v>
      </c>
    </row>
    <row r="419" spans="18:19">
      <c r="R419">
        <v>418</v>
      </c>
      <c r="S419">
        <v>11</v>
      </c>
    </row>
    <row r="420" spans="18:19">
      <c r="R420">
        <v>419</v>
      </c>
      <c r="S420">
        <v>12</v>
      </c>
    </row>
    <row r="421" spans="18:19">
      <c r="R421">
        <v>420</v>
      </c>
      <c r="S421">
        <v>15</v>
      </c>
    </row>
    <row r="422" spans="18:19">
      <c r="R422">
        <v>421</v>
      </c>
      <c r="S422">
        <v>13</v>
      </c>
    </row>
    <row r="423" spans="18:19">
      <c r="R423">
        <v>422</v>
      </c>
      <c r="S423">
        <v>13</v>
      </c>
    </row>
    <row r="424" spans="18:19">
      <c r="R424">
        <v>423</v>
      </c>
      <c r="S424">
        <v>11</v>
      </c>
    </row>
    <row r="425" spans="18:19">
      <c r="R425">
        <v>424</v>
      </c>
      <c r="S425">
        <v>10</v>
      </c>
    </row>
    <row r="426" spans="18:19">
      <c r="R426">
        <v>425</v>
      </c>
      <c r="S426">
        <v>10</v>
      </c>
    </row>
    <row r="427" spans="18:19">
      <c r="R427">
        <v>426</v>
      </c>
      <c r="S427">
        <v>11</v>
      </c>
    </row>
    <row r="428" spans="18:19">
      <c r="R428">
        <v>427</v>
      </c>
      <c r="S428">
        <v>12</v>
      </c>
    </row>
    <row r="429" spans="18:19">
      <c r="R429">
        <v>428</v>
      </c>
      <c r="S429">
        <v>13</v>
      </c>
    </row>
    <row r="430" spans="18:19">
      <c r="R430">
        <v>429</v>
      </c>
      <c r="S430">
        <v>11</v>
      </c>
    </row>
    <row r="431" spans="18:19">
      <c r="R431">
        <v>430</v>
      </c>
      <c r="S431">
        <v>11</v>
      </c>
    </row>
    <row r="432" spans="18:19">
      <c r="R432">
        <v>431</v>
      </c>
      <c r="S432">
        <v>12</v>
      </c>
    </row>
    <row r="433" spans="18:19">
      <c r="R433">
        <v>432</v>
      </c>
      <c r="S433">
        <v>11</v>
      </c>
    </row>
    <row r="434" spans="18:19">
      <c r="R434">
        <v>433</v>
      </c>
      <c r="S434">
        <v>12</v>
      </c>
    </row>
    <row r="435" spans="18:19">
      <c r="R435">
        <v>434</v>
      </c>
      <c r="S435">
        <v>11</v>
      </c>
    </row>
    <row r="436" spans="18:19">
      <c r="R436">
        <v>435</v>
      </c>
      <c r="S436">
        <v>11</v>
      </c>
    </row>
    <row r="437" spans="18:19">
      <c r="R437">
        <v>436</v>
      </c>
      <c r="S437">
        <v>11</v>
      </c>
    </row>
    <row r="438" spans="18:19">
      <c r="R438">
        <v>437</v>
      </c>
      <c r="S438">
        <v>12</v>
      </c>
    </row>
    <row r="439" spans="18:19">
      <c r="R439">
        <v>438</v>
      </c>
      <c r="S439">
        <v>10</v>
      </c>
    </row>
    <row r="440" spans="18:19">
      <c r="R440">
        <v>439</v>
      </c>
      <c r="S440">
        <v>10</v>
      </c>
    </row>
    <row r="441" spans="18:19">
      <c r="R441">
        <v>440</v>
      </c>
      <c r="S441">
        <v>11</v>
      </c>
    </row>
    <row r="442" spans="18:19">
      <c r="R442">
        <v>441</v>
      </c>
      <c r="S442">
        <v>12</v>
      </c>
    </row>
    <row r="443" spans="18:19">
      <c r="R443">
        <v>442</v>
      </c>
      <c r="S443">
        <v>10</v>
      </c>
    </row>
    <row r="444" spans="18:19">
      <c r="R444">
        <v>443</v>
      </c>
      <c r="S444">
        <v>12</v>
      </c>
    </row>
    <row r="445" spans="18:19">
      <c r="R445">
        <v>444</v>
      </c>
      <c r="S445">
        <v>11</v>
      </c>
    </row>
    <row r="446" spans="18:19">
      <c r="R446">
        <v>445</v>
      </c>
      <c r="S446">
        <v>15</v>
      </c>
    </row>
    <row r="447" spans="18:19">
      <c r="R447">
        <v>446</v>
      </c>
      <c r="S447">
        <v>10</v>
      </c>
    </row>
    <row r="448" spans="18:19">
      <c r="R448">
        <v>447</v>
      </c>
      <c r="S448">
        <v>12</v>
      </c>
    </row>
    <row r="449" spans="18:19">
      <c r="R449">
        <v>448</v>
      </c>
      <c r="S449">
        <v>12</v>
      </c>
    </row>
    <row r="450" spans="18:19">
      <c r="R450">
        <v>449</v>
      </c>
      <c r="S450">
        <v>13</v>
      </c>
    </row>
    <row r="451" spans="18:19">
      <c r="R451">
        <v>450</v>
      </c>
      <c r="S451">
        <v>14</v>
      </c>
    </row>
    <row r="452" spans="18:19">
      <c r="R452">
        <v>451</v>
      </c>
      <c r="S452">
        <v>13</v>
      </c>
    </row>
    <row r="453" spans="18:19">
      <c r="R453">
        <v>452</v>
      </c>
      <c r="S453">
        <v>11</v>
      </c>
    </row>
    <row r="454" spans="18:19">
      <c r="R454">
        <v>453</v>
      </c>
      <c r="S454">
        <v>14</v>
      </c>
    </row>
    <row r="455" spans="18:19">
      <c r="R455">
        <v>454</v>
      </c>
      <c r="S455">
        <v>10</v>
      </c>
    </row>
    <row r="456" spans="18:19">
      <c r="R456">
        <v>455</v>
      </c>
      <c r="S456">
        <v>12</v>
      </c>
    </row>
    <row r="457" spans="18:19">
      <c r="R457">
        <v>456</v>
      </c>
      <c r="S457">
        <v>11</v>
      </c>
    </row>
    <row r="458" spans="18:19">
      <c r="R458">
        <v>457</v>
      </c>
      <c r="S458">
        <v>12</v>
      </c>
    </row>
    <row r="459" spans="18:19">
      <c r="R459">
        <v>458</v>
      </c>
      <c r="S459">
        <v>11</v>
      </c>
    </row>
    <row r="460" spans="18:19">
      <c r="R460">
        <v>459</v>
      </c>
      <c r="S460">
        <v>11</v>
      </c>
    </row>
    <row r="461" spans="18:19">
      <c r="R461">
        <v>460</v>
      </c>
      <c r="S461">
        <v>11</v>
      </c>
    </row>
    <row r="462" spans="18:19">
      <c r="R462">
        <v>461</v>
      </c>
      <c r="S462">
        <v>11</v>
      </c>
    </row>
    <row r="463" spans="18:19">
      <c r="R463">
        <v>462</v>
      </c>
      <c r="S463">
        <v>13</v>
      </c>
    </row>
    <row r="464" spans="18:19">
      <c r="R464">
        <v>463</v>
      </c>
      <c r="S464">
        <v>10</v>
      </c>
    </row>
    <row r="465" spans="18:19">
      <c r="R465">
        <v>464</v>
      </c>
      <c r="S465">
        <v>15</v>
      </c>
    </row>
    <row r="466" spans="18:19">
      <c r="R466">
        <v>465</v>
      </c>
      <c r="S466">
        <v>11</v>
      </c>
    </row>
    <row r="467" spans="18:19">
      <c r="R467">
        <v>466</v>
      </c>
      <c r="S467">
        <v>11</v>
      </c>
    </row>
    <row r="468" spans="18:19">
      <c r="R468">
        <v>467</v>
      </c>
      <c r="S468">
        <v>10</v>
      </c>
    </row>
    <row r="469" spans="18:19">
      <c r="R469">
        <v>468</v>
      </c>
      <c r="S469">
        <v>12</v>
      </c>
    </row>
    <row r="470" spans="18:19">
      <c r="R470">
        <v>469</v>
      </c>
      <c r="S470">
        <v>13</v>
      </c>
    </row>
    <row r="471" spans="18:19">
      <c r="R471">
        <v>470</v>
      </c>
      <c r="S471">
        <v>13</v>
      </c>
    </row>
    <row r="472" spans="18:19">
      <c r="R472">
        <v>471</v>
      </c>
      <c r="S472">
        <v>12</v>
      </c>
    </row>
    <row r="473" spans="18:19">
      <c r="R473">
        <v>472</v>
      </c>
      <c r="S473">
        <v>12</v>
      </c>
    </row>
    <row r="474" spans="18:19">
      <c r="R474">
        <v>473</v>
      </c>
      <c r="S474">
        <v>11</v>
      </c>
    </row>
    <row r="475" spans="18:19">
      <c r="R475">
        <v>474</v>
      </c>
      <c r="S475">
        <v>14</v>
      </c>
    </row>
    <row r="476" spans="18:19">
      <c r="R476">
        <v>475</v>
      </c>
      <c r="S476">
        <v>13</v>
      </c>
    </row>
    <row r="477" spans="18:19">
      <c r="R477">
        <v>476</v>
      </c>
      <c r="S477">
        <v>12</v>
      </c>
    </row>
    <row r="478" spans="18:19">
      <c r="R478">
        <v>477</v>
      </c>
      <c r="S478">
        <v>11</v>
      </c>
    </row>
    <row r="479" spans="18:19">
      <c r="R479">
        <v>478</v>
      </c>
      <c r="S479">
        <v>11</v>
      </c>
    </row>
    <row r="480" spans="18:19">
      <c r="R480">
        <v>479</v>
      </c>
      <c r="S480">
        <v>12</v>
      </c>
    </row>
    <row r="481" spans="18:19">
      <c r="R481">
        <v>480</v>
      </c>
      <c r="S481">
        <v>11</v>
      </c>
    </row>
    <row r="482" spans="18:19">
      <c r="R482">
        <v>481</v>
      </c>
      <c r="S482">
        <v>11</v>
      </c>
    </row>
    <row r="483" spans="18:19">
      <c r="R483">
        <v>482</v>
      </c>
      <c r="S483">
        <v>12</v>
      </c>
    </row>
    <row r="484" spans="18:19">
      <c r="R484">
        <v>483</v>
      </c>
      <c r="S484">
        <v>11</v>
      </c>
    </row>
    <row r="485" spans="18:19">
      <c r="R485">
        <v>484</v>
      </c>
      <c r="S485">
        <v>17</v>
      </c>
    </row>
    <row r="486" spans="18:19">
      <c r="R486">
        <v>485</v>
      </c>
      <c r="S486">
        <v>11</v>
      </c>
    </row>
    <row r="487" spans="18:19">
      <c r="R487">
        <v>486</v>
      </c>
      <c r="S487">
        <v>11</v>
      </c>
    </row>
    <row r="488" spans="18:19">
      <c r="R488">
        <v>487</v>
      </c>
      <c r="S488">
        <v>16</v>
      </c>
    </row>
    <row r="489" spans="18:19">
      <c r="R489">
        <v>488</v>
      </c>
      <c r="S489">
        <v>11</v>
      </c>
    </row>
    <row r="490" spans="18:19">
      <c r="R490">
        <v>489</v>
      </c>
      <c r="S490">
        <v>12</v>
      </c>
    </row>
    <row r="491" spans="18:19">
      <c r="R491">
        <v>490</v>
      </c>
      <c r="S491">
        <v>11</v>
      </c>
    </row>
    <row r="492" spans="18:19">
      <c r="R492">
        <v>491</v>
      </c>
      <c r="S492">
        <v>11</v>
      </c>
    </row>
    <row r="493" spans="18:19">
      <c r="R493">
        <v>492</v>
      </c>
      <c r="S493">
        <v>13</v>
      </c>
    </row>
    <row r="494" spans="18:19">
      <c r="R494">
        <v>493</v>
      </c>
      <c r="S494">
        <v>11</v>
      </c>
    </row>
    <row r="495" spans="18:19">
      <c r="R495">
        <v>494</v>
      </c>
      <c r="S495">
        <v>14</v>
      </c>
    </row>
    <row r="496" spans="18:19">
      <c r="R496">
        <v>495</v>
      </c>
      <c r="S496">
        <v>11</v>
      </c>
    </row>
    <row r="497" spans="18:19">
      <c r="R497">
        <v>496</v>
      </c>
      <c r="S497">
        <v>11</v>
      </c>
    </row>
    <row r="498" spans="18:19">
      <c r="R498">
        <v>497</v>
      </c>
      <c r="S498">
        <v>13</v>
      </c>
    </row>
    <row r="499" spans="18:19">
      <c r="R499">
        <v>498</v>
      </c>
      <c r="S499">
        <v>13</v>
      </c>
    </row>
    <row r="500" spans="18:19">
      <c r="R500">
        <v>499</v>
      </c>
      <c r="S500">
        <v>12</v>
      </c>
    </row>
    <row r="501" spans="18:19">
      <c r="R501">
        <v>500</v>
      </c>
      <c r="S501">
        <v>10</v>
      </c>
    </row>
    <row r="502" spans="18:19">
      <c r="R502">
        <v>501</v>
      </c>
      <c r="S502">
        <v>11</v>
      </c>
    </row>
    <row r="503" spans="18:19">
      <c r="R503">
        <v>502</v>
      </c>
      <c r="S503">
        <v>19</v>
      </c>
    </row>
    <row r="504" spans="18:19">
      <c r="R504">
        <v>503</v>
      </c>
      <c r="S504">
        <v>12</v>
      </c>
    </row>
    <row r="505" spans="18:19">
      <c r="R505">
        <v>504</v>
      </c>
      <c r="S505">
        <v>11</v>
      </c>
    </row>
    <row r="506" spans="18:19">
      <c r="R506">
        <v>505</v>
      </c>
      <c r="S506">
        <v>11</v>
      </c>
    </row>
    <row r="507" spans="18:19">
      <c r="R507">
        <v>506</v>
      </c>
      <c r="S507">
        <v>11</v>
      </c>
    </row>
    <row r="508" spans="18:19">
      <c r="R508">
        <v>507</v>
      </c>
      <c r="S508">
        <v>11</v>
      </c>
    </row>
    <row r="509" spans="18:19">
      <c r="R509">
        <v>508</v>
      </c>
      <c r="S509">
        <v>11</v>
      </c>
    </row>
    <row r="510" spans="18:19">
      <c r="R510">
        <v>509</v>
      </c>
      <c r="S510">
        <v>10</v>
      </c>
    </row>
    <row r="511" spans="18:19">
      <c r="R511">
        <v>510</v>
      </c>
      <c r="S511">
        <v>12</v>
      </c>
    </row>
    <row r="512" spans="18:19">
      <c r="R512">
        <v>511</v>
      </c>
      <c r="S512">
        <v>12</v>
      </c>
    </row>
    <row r="513" spans="18:19">
      <c r="R513">
        <v>512</v>
      </c>
      <c r="S513">
        <v>11</v>
      </c>
    </row>
    <row r="514" spans="18:19">
      <c r="R514">
        <v>513</v>
      </c>
      <c r="S514">
        <v>10</v>
      </c>
    </row>
    <row r="515" spans="18:19">
      <c r="R515">
        <v>514</v>
      </c>
      <c r="S515">
        <v>12</v>
      </c>
    </row>
    <row r="516" spans="18:19">
      <c r="R516">
        <v>515</v>
      </c>
      <c r="S516">
        <v>14</v>
      </c>
    </row>
    <row r="517" spans="18:19">
      <c r="R517">
        <v>516</v>
      </c>
      <c r="S517">
        <v>13</v>
      </c>
    </row>
    <row r="518" spans="18:19">
      <c r="R518">
        <v>517</v>
      </c>
      <c r="S518">
        <v>14</v>
      </c>
    </row>
    <row r="519" spans="18:19">
      <c r="R519">
        <v>518</v>
      </c>
      <c r="S519">
        <v>12</v>
      </c>
    </row>
    <row r="520" spans="18:19">
      <c r="R520">
        <v>519</v>
      </c>
      <c r="S520">
        <v>11</v>
      </c>
    </row>
    <row r="521" spans="18:19">
      <c r="R521">
        <v>520</v>
      </c>
      <c r="S521">
        <v>13</v>
      </c>
    </row>
    <row r="522" spans="18:19">
      <c r="R522">
        <v>521</v>
      </c>
      <c r="S522">
        <v>11</v>
      </c>
    </row>
    <row r="523" spans="18:19">
      <c r="R523">
        <v>522</v>
      </c>
      <c r="S523">
        <v>13</v>
      </c>
    </row>
    <row r="524" spans="18:19">
      <c r="R524">
        <v>523</v>
      </c>
      <c r="S524">
        <v>11</v>
      </c>
    </row>
    <row r="525" spans="18:19">
      <c r="R525">
        <v>524</v>
      </c>
      <c r="S525">
        <v>13</v>
      </c>
    </row>
    <row r="526" spans="18:19">
      <c r="R526">
        <v>525</v>
      </c>
      <c r="S526">
        <v>11</v>
      </c>
    </row>
    <row r="527" spans="18:19">
      <c r="R527">
        <v>526</v>
      </c>
      <c r="S527">
        <v>12</v>
      </c>
    </row>
    <row r="528" spans="18:19">
      <c r="R528">
        <v>527</v>
      </c>
      <c r="S528">
        <v>12</v>
      </c>
    </row>
    <row r="529" spans="18:19">
      <c r="R529">
        <v>528</v>
      </c>
      <c r="S529">
        <v>15</v>
      </c>
    </row>
    <row r="530" spans="18:19">
      <c r="R530">
        <v>529</v>
      </c>
      <c r="S530">
        <v>13</v>
      </c>
    </row>
    <row r="531" spans="18:19">
      <c r="R531">
        <v>530</v>
      </c>
      <c r="S531">
        <v>13</v>
      </c>
    </row>
    <row r="532" spans="18:19">
      <c r="R532">
        <v>531</v>
      </c>
      <c r="S532">
        <v>11</v>
      </c>
    </row>
    <row r="533" spans="18:19">
      <c r="R533">
        <v>532</v>
      </c>
      <c r="S533">
        <v>10</v>
      </c>
    </row>
    <row r="534" spans="18:19">
      <c r="R534">
        <v>533</v>
      </c>
      <c r="S534">
        <v>12</v>
      </c>
    </row>
    <row r="535" spans="18:19">
      <c r="R535">
        <v>534</v>
      </c>
      <c r="S535">
        <v>11</v>
      </c>
    </row>
    <row r="536" spans="18:19">
      <c r="R536">
        <v>535</v>
      </c>
      <c r="S536">
        <v>10</v>
      </c>
    </row>
    <row r="537" spans="18:19">
      <c r="R537">
        <v>536</v>
      </c>
      <c r="S537">
        <v>10</v>
      </c>
    </row>
    <row r="538" spans="18:19">
      <c r="R538">
        <v>537</v>
      </c>
      <c r="S538">
        <v>11</v>
      </c>
    </row>
    <row r="539" spans="18:19">
      <c r="R539">
        <v>538</v>
      </c>
      <c r="S539">
        <v>11</v>
      </c>
    </row>
    <row r="540" spans="18:19">
      <c r="R540">
        <v>539</v>
      </c>
      <c r="S540">
        <v>12</v>
      </c>
    </row>
    <row r="541" spans="18:19">
      <c r="R541">
        <v>540</v>
      </c>
      <c r="S541">
        <v>11</v>
      </c>
    </row>
    <row r="542" spans="18:19">
      <c r="R542">
        <v>541</v>
      </c>
      <c r="S542">
        <v>12</v>
      </c>
    </row>
    <row r="543" spans="18:19">
      <c r="R543">
        <v>542</v>
      </c>
      <c r="S543">
        <v>12</v>
      </c>
    </row>
    <row r="544" spans="18:19">
      <c r="R544">
        <v>543</v>
      </c>
      <c r="S544">
        <v>13</v>
      </c>
    </row>
    <row r="545" spans="18:19">
      <c r="R545">
        <v>544</v>
      </c>
      <c r="S545">
        <v>11</v>
      </c>
    </row>
    <row r="546" spans="18:19">
      <c r="R546">
        <v>545</v>
      </c>
      <c r="S546">
        <v>13</v>
      </c>
    </row>
    <row r="547" spans="18:19">
      <c r="R547">
        <v>546</v>
      </c>
      <c r="S547">
        <v>10</v>
      </c>
    </row>
    <row r="548" spans="18:19">
      <c r="R548">
        <v>547</v>
      </c>
      <c r="S548">
        <v>14</v>
      </c>
    </row>
    <row r="549" spans="18:19">
      <c r="R549">
        <v>548</v>
      </c>
      <c r="S549">
        <v>11</v>
      </c>
    </row>
    <row r="550" spans="18:19">
      <c r="R550">
        <v>549</v>
      </c>
      <c r="S550">
        <v>11</v>
      </c>
    </row>
    <row r="551" spans="18:19">
      <c r="R551">
        <v>550</v>
      </c>
      <c r="S551">
        <v>12</v>
      </c>
    </row>
    <row r="552" spans="18:19">
      <c r="R552">
        <v>551</v>
      </c>
      <c r="S552">
        <v>12</v>
      </c>
    </row>
    <row r="553" spans="18:19">
      <c r="R553">
        <v>552</v>
      </c>
      <c r="S553">
        <v>14</v>
      </c>
    </row>
    <row r="554" spans="18:19">
      <c r="R554">
        <v>553</v>
      </c>
      <c r="S554">
        <v>12</v>
      </c>
    </row>
    <row r="555" spans="18:19">
      <c r="R555">
        <v>554</v>
      </c>
      <c r="S555">
        <v>12</v>
      </c>
    </row>
    <row r="556" spans="18:19">
      <c r="R556">
        <v>555</v>
      </c>
      <c r="S556">
        <v>11</v>
      </c>
    </row>
    <row r="557" spans="18:19">
      <c r="R557">
        <v>556</v>
      </c>
      <c r="S557">
        <v>12</v>
      </c>
    </row>
    <row r="558" spans="18:19">
      <c r="R558">
        <v>557</v>
      </c>
      <c r="S558">
        <v>11</v>
      </c>
    </row>
    <row r="559" spans="18:19">
      <c r="R559">
        <v>558</v>
      </c>
      <c r="S559">
        <v>11</v>
      </c>
    </row>
    <row r="560" spans="18:19">
      <c r="R560">
        <v>559</v>
      </c>
      <c r="S560">
        <v>11</v>
      </c>
    </row>
    <row r="561" spans="18:19">
      <c r="R561">
        <v>560</v>
      </c>
      <c r="S561">
        <v>11</v>
      </c>
    </row>
    <row r="562" spans="18:19">
      <c r="R562">
        <v>561</v>
      </c>
      <c r="S562">
        <v>12</v>
      </c>
    </row>
    <row r="563" spans="18:19">
      <c r="R563">
        <v>562</v>
      </c>
      <c r="S563">
        <v>11</v>
      </c>
    </row>
    <row r="564" spans="18:19">
      <c r="R564">
        <v>563</v>
      </c>
      <c r="S564">
        <v>11</v>
      </c>
    </row>
    <row r="565" spans="18:19">
      <c r="R565">
        <v>564</v>
      </c>
      <c r="S565">
        <v>10</v>
      </c>
    </row>
    <row r="566" spans="18:19">
      <c r="R566">
        <v>565</v>
      </c>
      <c r="S566">
        <v>11</v>
      </c>
    </row>
    <row r="567" spans="18:19">
      <c r="R567">
        <v>566</v>
      </c>
      <c r="S567">
        <v>12</v>
      </c>
    </row>
    <row r="568" spans="18:19">
      <c r="R568">
        <v>567</v>
      </c>
      <c r="S568">
        <v>11</v>
      </c>
    </row>
    <row r="569" spans="18:19">
      <c r="R569">
        <v>568</v>
      </c>
      <c r="S569">
        <v>12</v>
      </c>
    </row>
    <row r="570" spans="18:19">
      <c r="R570">
        <v>569</v>
      </c>
      <c r="S570">
        <v>11</v>
      </c>
    </row>
    <row r="571" spans="18:19">
      <c r="R571">
        <v>570</v>
      </c>
      <c r="S571">
        <v>12</v>
      </c>
    </row>
    <row r="572" spans="18:19">
      <c r="R572">
        <v>571</v>
      </c>
      <c r="S572">
        <v>11</v>
      </c>
    </row>
    <row r="573" spans="18:19">
      <c r="R573">
        <v>572</v>
      </c>
      <c r="S573">
        <v>12</v>
      </c>
    </row>
    <row r="574" spans="18:19">
      <c r="R574">
        <v>573</v>
      </c>
      <c r="S574">
        <v>12</v>
      </c>
    </row>
    <row r="575" spans="18:19">
      <c r="R575">
        <v>574</v>
      </c>
      <c r="S575">
        <v>13</v>
      </c>
    </row>
    <row r="576" spans="18:19">
      <c r="R576">
        <v>575</v>
      </c>
      <c r="S576">
        <v>12</v>
      </c>
    </row>
    <row r="577" spans="18:19">
      <c r="R577">
        <v>576</v>
      </c>
      <c r="S577">
        <v>11</v>
      </c>
    </row>
    <row r="578" spans="18:19">
      <c r="R578">
        <v>577</v>
      </c>
      <c r="S578">
        <v>13</v>
      </c>
    </row>
    <row r="579" spans="18:19">
      <c r="R579">
        <v>578</v>
      </c>
      <c r="S579">
        <v>11</v>
      </c>
    </row>
    <row r="580" spans="18:19">
      <c r="R580">
        <v>579</v>
      </c>
      <c r="S580">
        <v>12</v>
      </c>
    </row>
    <row r="581" spans="18:19">
      <c r="R581">
        <v>580</v>
      </c>
      <c r="S581">
        <v>12</v>
      </c>
    </row>
    <row r="582" spans="18:19">
      <c r="R582">
        <v>581</v>
      </c>
      <c r="S582">
        <v>15</v>
      </c>
    </row>
    <row r="583" spans="18:19">
      <c r="R583">
        <v>582</v>
      </c>
      <c r="S583">
        <v>12</v>
      </c>
    </row>
    <row r="584" spans="18:19">
      <c r="R584">
        <v>583</v>
      </c>
      <c r="S584">
        <v>12</v>
      </c>
    </row>
    <row r="585" spans="18:19">
      <c r="R585">
        <v>584</v>
      </c>
      <c r="S585">
        <v>12</v>
      </c>
    </row>
    <row r="586" spans="18:19">
      <c r="R586">
        <v>585</v>
      </c>
      <c r="S586">
        <v>13</v>
      </c>
    </row>
    <row r="587" spans="18:19">
      <c r="R587">
        <v>586</v>
      </c>
      <c r="S587">
        <v>12</v>
      </c>
    </row>
    <row r="588" spans="18:19">
      <c r="R588">
        <v>587</v>
      </c>
      <c r="S588">
        <v>11</v>
      </c>
    </row>
    <row r="589" spans="18:19">
      <c r="R589">
        <v>588</v>
      </c>
      <c r="S589">
        <v>12</v>
      </c>
    </row>
    <row r="590" spans="18:19">
      <c r="R590">
        <v>589</v>
      </c>
      <c r="S590">
        <v>11</v>
      </c>
    </row>
    <row r="591" spans="18:19">
      <c r="R591">
        <v>590</v>
      </c>
      <c r="S591">
        <v>10</v>
      </c>
    </row>
    <row r="592" spans="18:19">
      <c r="R592">
        <v>591</v>
      </c>
      <c r="S592">
        <v>12</v>
      </c>
    </row>
    <row r="593" spans="18:19">
      <c r="R593">
        <v>592</v>
      </c>
      <c r="S593">
        <v>11</v>
      </c>
    </row>
    <row r="594" spans="18:19">
      <c r="R594">
        <v>593</v>
      </c>
      <c r="S594">
        <v>13</v>
      </c>
    </row>
    <row r="595" spans="18:19">
      <c r="R595">
        <v>594</v>
      </c>
      <c r="S595">
        <v>15</v>
      </c>
    </row>
    <row r="596" spans="18:19">
      <c r="R596">
        <v>595</v>
      </c>
      <c r="S596">
        <v>11</v>
      </c>
    </row>
    <row r="597" spans="18:19">
      <c r="R597">
        <v>596</v>
      </c>
      <c r="S597">
        <v>10</v>
      </c>
    </row>
    <row r="598" spans="18:19">
      <c r="R598">
        <v>597</v>
      </c>
      <c r="S598">
        <v>13</v>
      </c>
    </row>
    <row r="599" spans="18:19">
      <c r="R599">
        <v>598</v>
      </c>
      <c r="S599">
        <v>15</v>
      </c>
    </row>
    <row r="600" spans="18:19">
      <c r="R600">
        <v>599</v>
      </c>
      <c r="S600">
        <v>13</v>
      </c>
    </row>
    <row r="601" spans="18:19">
      <c r="R601">
        <v>600</v>
      </c>
      <c r="S601">
        <v>13</v>
      </c>
    </row>
    <row r="602" spans="18:19">
      <c r="R602">
        <v>601</v>
      </c>
      <c r="S602">
        <v>10</v>
      </c>
    </row>
    <row r="603" spans="18:19">
      <c r="R603">
        <v>602</v>
      </c>
      <c r="S603">
        <v>10</v>
      </c>
    </row>
    <row r="604" spans="18:19">
      <c r="R604">
        <v>603</v>
      </c>
      <c r="S604">
        <v>11</v>
      </c>
    </row>
    <row r="605" spans="18:19">
      <c r="R605">
        <v>604</v>
      </c>
      <c r="S605">
        <v>13</v>
      </c>
    </row>
    <row r="606" spans="18:19">
      <c r="R606">
        <v>605</v>
      </c>
      <c r="S606">
        <v>13</v>
      </c>
    </row>
    <row r="607" spans="18:19">
      <c r="R607">
        <v>606</v>
      </c>
      <c r="S607">
        <v>11</v>
      </c>
    </row>
    <row r="608" spans="18:19">
      <c r="R608">
        <v>607</v>
      </c>
      <c r="S608">
        <v>12</v>
      </c>
    </row>
    <row r="609" spans="18:19">
      <c r="R609">
        <v>608</v>
      </c>
      <c r="S609">
        <v>12</v>
      </c>
    </row>
    <row r="610" spans="18:19">
      <c r="R610">
        <v>609</v>
      </c>
      <c r="S610">
        <v>13</v>
      </c>
    </row>
    <row r="611" spans="18:19">
      <c r="R611">
        <v>610</v>
      </c>
      <c r="S611">
        <v>13</v>
      </c>
    </row>
    <row r="612" spans="18:19">
      <c r="R612">
        <v>611</v>
      </c>
      <c r="S612">
        <v>12</v>
      </c>
    </row>
    <row r="613" spans="18:19">
      <c r="R613">
        <v>612</v>
      </c>
      <c r="S613">
        <v>11</v>
      </c>
    </row>
    <row r="614" spans="18:19">
      <c r="R614">
        <v>613</v>
      </c>
      <c r="S614">
        <v>12</v>
      </c>
    </row>
    <row r="615" spans="18:19">
      <c r="R615">
        <v>614</v>
      </c>
      <c r="S615">
        <v>11</v>
      </c>
    </row>
    <row r="616" spans="18:19">
      <c r="R616">
        <v>615</v>
      </c>
      <c r="S616">
        <v>11</v>
      </c>
    </row>
    <row r="617" spans="18:19">
      <c r="R617">
        <v>616</v>
      </c>
      <c r="S617">
        <v>11</v>
      </c>
    </row>
    <row r="618" spans="18:19">
      <c r="R618">
        <v>617</v>
      </c>
      <c r="S618">
        <v>12</v>
      </c>
    </row>
    <row r="619" spans="18:19">
      <c r="R619">
        <v>618</v>
      </c>
      <c r="S619">
        <v>11</v>
      </c>
    </row>
    <row r="620" spans="18:19">
      <c r="R620">
        <v>619</v>
      </c>
      <c r="S620">
        <v>13</v>
      </c>
    </row>
    <row r="621" spans="18:19">
      <c r="R621">
        <v>620</v>
      </c>
      <c r="S621">
        <v>13</v>
      </c>
    </row>
    <row r="622" spans="18:19">
      <c r="R622">
        <v>621</v>
      </c>
      <c r="S622">
        <v>12</v>
      </c>
    </row>
    <row r="623" spans="18:19">
      <c r="R623">
        <v>622</v>
      </c>
      <c r="S623">
        <v>10</v>
      </c>
    </row>
    <row r="624" spans="18:19">
      <c r="R624">
        <v>623</v>
      </c>
      <c r="S624">
        <v>11</v>
      </c>
    </row>
    <row r="625" spans="18:19">
      <c r="R625">
        <v>624</v>
      </c>
      <c r="S625">
        <v>13</v>
      </c>
    </row>
    <row r="626" spans="18:19">
      <c r="R626">
        <v>625</v>
      </c>
      <c r="S626">
        <v>14</v>
      </c>
    </row>
    <row r="627" spans="18:19">
      <c r="R627">
        <v>626</v>
      </c>
      <c r="S627">
        <v>10</v>
      </c>
    </row>
    <row r="628" spans="18:19">
      <c r="R628">
        <v>627</v>
      </c>
      <c r="S628">
        <v>14</v>
      </c>
    </row>
    <row r="629" spans="18:19">
      <c r="R629">
        <v>628</v>
      </c>
      <c r="S629">
        <v>12</v>
      </c>
    </row>
    <row r="630" spans="18:19">
      <c r="R630">
        <v>629</v>
      </c>
      <c r="S630">
        <v>11</v>
      </c>
    </row>
    <row r="631" spans="18:19">
      <c r="R631">
        <v>630</v>
      </c>
      <c r="S631">
        <v>14</v>
      </c>
    </row>
    <row r="632" spans="18:19">
      <c r="R632">
        <v>631</v>
      </c>
      <c r="S632">
        <v>12</v>
      </c>
    </row>
    <row r="633" spans="18:19">
      <c r="R633">
        <v>632</v>
      </c>
      <c r="S633">
        <v>12</v>
      </c>
    </row>
    <row r="634" spans="18:19">
      <c r="R634">
        <v>633</v>
      </c>
      <c r="S634">
        <v>11</v>
      </c>
    </row>
    <row r="635" spans="18:19">
      <c r="R635">
        <v>634</v>
      </c>
      <c r="S635">
        <v>14</v>
      </c>
    </row>
    <row r="636" spans="18:19">
      <c r="R636">
        <v>635</v>
      </c>
      <c r="S636">
        <v>11</v>
      </c>
    </row>
    <row r="637" spans="18:19">
      <c r="R637">
        <v>636</v>
      </c>
      <c r="S637">
        <v>10</v>
      </c>
    </row>
    <row r="638" spans="18:19">
      <c r="R638">
        <v>637</v>
      </c>
      <c r="S638">
        <v>12</v>
      </c>
    </row>
    <row r="639" spans="18:19">
      <c r="R639">
        <v>638</v>
      </c>
      <c r="S639">
        <v>12</v>
      </c>
    </row>
    <row r="640" spans="18:19">
      <c r="R640">
        <v>639</v>
      </c>
      <c r="S640">
        <v>11</v>
      </c>
    </row>
    <row r="641" spans="18:19">
      <c r="R641">
        <v>640</v>
      </c>
      <c r="S641">
        <v>14</v>
      </c>
    </row>
    <row r="642" spans="18:19">
      <c r="R642">
        <v>641</v>
      </c>
      <c r="S642">
        <v>12</v>
      </c>
    </row>
    <row r="643" spans="18:19">
      <c r="R643">
        <v>642</v>
      </c>
      <c r="S643">
        <v>12</v>
      </c>
    </row>
    <row r="644" spans="18:19">
      <c r="R644">
        <v>643</v>
      </c>
      <c r="S644">
        <v>15</v>
      </c>
    </row>
    <row r="645" spans="18:19">
      <c r="R645">
        <v>644</v>
      </c>
      <c r="S645">
        <v>10</v>
      </c>
    </row>
    <row r="646" spans="18:19">
      <c r="R646">
        <v>645</v>
      </c>
      <c r="S646">
        <v>12</v>
      </c>
    </row>
    <row r="647" spans="18:19">
      <c r="R647">
        <v>646</v>
      </c>
      <c r="S647">
        <v>12</v>
      </c>
    </row>
    <row r="648" spans="18:19">
      <c r="R648">
        <v>647</v>
      </c>
      <c r="S648">
        <v>12</v>
      </c>
    </row>
    <row r="649" spans="18:19">
      <c r="R649">
        <v>648</v>
      </c>
      <c r="S649">
        <v>12</v>
      </c>
    </row>
    <row r="650" spans="18:19">
      <c r="R650">
        <v>649</v>
      </c>
      <c r="S650">
        <v>10</v>
      </c>
    </row>
    <row r="651" spans="18:19">
      <c r="R651">
        <v>650</v>
      </c>
      <c r="S651">
        <v>13</v>
      </c>
    </row>
    <row r="652" spans="18:19">
      <c r="R652">
        <v>651</v>
      </c>
      <c r="S652">
        <v>13</v>
      </c>
    </row>
    <row r="653" spans="18:19">
      <c r="R653">
        <v>652</v>
      </c>
      <c r="S653">
        <v>13</v>
      </c>
    </row>
    <row r="654" spans="18:19">
      <c r="R654">
        <v>653</v>
      </c>
      <c r="S654">
        <v>12</v>
      </c>
    </row>
    <row r="655" spans="18:19">
      <c r="R655">
        <v>654</v>
      </c>
      <c r="S655">
        <v>11</v>
      </c>
    </row>
    <row r="656" spans="18:19">
      <c r="R656">
        <v>655</v>
      </c>
      <c r="S656">
        <v>11</v>
      </c>
    </row>
    <row r="657" spans="18:19">
      <c r="R657">
        <v>656</v>
      </c>
      <c r="S657">
        <v>10</v>
      </c>
    </row>
    <row r="658" spans="18:19">
      <c r="R658">
        <v>657</v>
      </c>
      <c r="S658">
        <v>12</v>
      </c>
    </row>
    <row r="659" spans="18:19">
      <c r="R659">
        <v>658</v>
      </c>
      <c r="S659">
        <v>11</v>
      </c>
    </row>
    <row r="660" spans="18:19">
      <c r="R660">
        <v>659</v>
      </c>
      <c r="S660">
        <v>11</v>
      </c>
    </row>
    <row r="661" spans="18:19">
      <c r="R661">
        <v>660</v>
      </c>
      <c r="S661">
        <v>13</v>
      </c>
    </row>
    <row r="662" spans="18:19">
      <c r="R662">
        <v>661</v>
      </c>
      <c r="S662">
        <v>11</v>
      </c>
    </row>
    <row r="663" spans="18:19">
      <c r="R663">
        <v>662</v>
      </c>
      <c r="S663">
        <v>15</v>
      </c>
    </row>
    <row r="664" spans="18:19">
      <c r="R664">
        <v>663</v>
      </c>
      <c r="S664">
        <v>12</v>
      </c>
    </row>
    <row r="665" spans="18:19">
      <c r="R665">
        <v>664</v>
      </c>
      <c r="S665">
        <v>13</v>
      </c>
    </row>
    <row r="666" spans="18:19">
      <c r="R666">
        <v>665</v>
      </c>
      <c r="S666">
        <v>11</v>
      </c>
    </row>
    <row r="667" spans="18:19">
      <c r="R667">
        <v>666</v>
      </c>
      <c r="S667">
        <v>11</v>
      </c>
    </row>
    <row r="668" spans="18:19">
      <c r="R668">
        <v>667</v>
      </c>
      <c r="S668">
        <v>12</v>
      </c>
    </row>
    <row r="669" spans="18:19">
      <c r="R669">
        <v>668</v>
      </c>
      <c r="S669">
        <v>12</v>
      </c>
    </row>
    <row r="670" spans="18:19">
      <c r="R670">
        <v>669</v>
      </c>
      <c r="S670">
        <v>11</v>
      </c>
    </row>
    <row r="671" spans="18:19">
      <c r="R671">
        <v>670</v>
      </c>
      <c r="S671">
        <v>12</v>
      </c>
    </row>
    <row r="672" spans="18:19">
      <c r="R672">
        <v>671</v>
      </c>
      <c r="S672">
        <v>13</v>
      </c>
    </row>
    <row r="673" spans="18:19">
      <c r="R673">
        <v>672</v>
      </c>
      <c r="S673">
        <v>12</v>
      </c>
    </row>
    <row r="674" spans="18:19">
      <c r="R674">
        <v>673</v>
      </c>
      <c r="S674">
        <v>12</v>
      </c>
    </row>
    <row r="675" spans="18:19">
      <c r="R675">
        <v>674</v>
      </c>
      <c r="S675">
        <v>12</v>
      </c>
    </row>
    <row r="676" spans="18:19">
      <c r="R676">
        <v>675</v>
      </c>
      <c r="S676">
        <v>11</v>
      </c>
    </row>
    <row r="677" spans="18:19">
      <c r="R677">
        <v>676</v>
      </c>
      <c r="S677">
        <v>11</v>
      </c>
    </row>
    <row r="678" spans="18:19">
      <c r="R678">
        <v>677</v>
      </c>
      <c r="S678">
        <v>11</v>
      </c>
    </row>
    <row r="679" spans="18:19">
      <c r="R679">
        <v>678</v>
      </c>
      <c r="S679">
        <v>12</v>
      </c>
    </row>
    <row r="680" spans="18:19">
      <c r="R680">
        <v>679</v>
      </c>
      <c r="S680">
        <v>10</v>
      </c>
    </row>
    <row r="681" spans="18:19">
      <c r="R681">
        <v>680</v>
      </c>
      <c r="S681">
        <v>12</v>
      </c>
    </row>
    <row r="682" spans="18:19">
      <c r="R682">
        <v>681</v>
      </c>
      <c r="S682">
        <v>11</v>
      </c>
    </row>
    <row r="683" spans="18:19">
      <c r="R683">
        <v>682</v>
      </c>
      <c r="S683">
        <v>12</v>
      </c>
    </row>
    <row r="684" spans="18:19">
      <c r="R684">
        <v>683</v>
      </c>
      <c r="S684">
        <v>14</v>
      </c>
    </row>
    <row r="685" spans="18:19">
      <c r="R685">
        <v>684</v>
      </c>
      <c r="S685">
        <v>13</v>
      </c>
    </row>
    <row r="686" spans="18:19">
      <c r="R686">
        <v>685</v>
      </c>
      <c r="S686">
        <v>11</v>
      </c>
    </row>
    <row r="687" spans="18:19">
      <c r="R687">
        <v>686</v>
      </c>
      <c r="S687">
        <v>12</v>
      </c>
    </row>
    <row r="688" spans="18:19">
      <c r="R688">
        <v>687</v>
      </c>
      <c r="S688">
        <v>12</v>
      </c>
    </row>
    <row r="689" spans="18:19">
      <c r="R689">
        <v>688</v>
      </c>
      <c r="S689">
        <v>12</v>
      </c>
    </row>
    <row r="690" spans="18:19">
      <c r="R690">
        <v>689</v>
      </c>
      <c r="S690">
        <v>11</v>
      </c>
    </row>
    <row r="691" spans="18:19">
      <c r="R691">
        <v>690</v>
      </c>
      <c r="S691">
        <v>13</v>
      </c>
    </row>
    <row r="692" spans="18:19">
      <c r="R692">
        <v>691</v>
      </c>
      <c r="S692">
        <v>12</v>
      </c>
    </row>
    <row r="693" spans="18:19">
      <c r="R693">
        <v>692</v>
      </c>
      <c r="S693">
        <v>16</v>
      </c>
    </row>
    <row r="694" spans="18:19">
      <c r="R694">
        <v>693</v>
      </c>
      <c r="S694">
        <v>12</v>
      </c>
    </row>
    <row r="695" spans="18:19">
      <c r="R695">
        <v>694</v>
      </c>
      <c r="S695">
        <v>10</v>
      </c>
    </row>
    <row r="696" spans="18:19">
      <c r="R696">
        <v>695</v>
      </c>
      <c r="S696">
        <v>14</v>
      </c>
    </row>
    <row r="697" spans="18:19">
      <c r="R697">
        <v>696</v>
      </c>
      <c r="S697">
        <v>12</v>
      </c>
    </row>
    <row r="698" spans="18:19">
      <c r="R698">
        <v>697</v>
      </c>
      <c r="S698">
        <v>10</v>
      </c>
    </row>
    <row r="699" spans="18:19">
      <c r="R699">
        <v>698</v>
      </c>
      <c r="S699">
        <v>11</v>
      </c>
    </row>
    <row r="700" spans="18:19">
      <c r="R700">
        <v>699</v>
      </c>
      <c r="S700">
        <v>13</v>
      </c>
    </row>
    <row r="701" spans="18:19">
      <c r="R701">
        <v>700</v>
      </c>
      <c r="S701">
        <v>12</v>
      </c>
    </row>
    <row r="702" spans="18:19">
      <c r="R702">
        <v>701</v>
      </c>
      <c r="S702">
        <v>12</v>
      </c>
    </row>
    <row r="703" spans="18:19">
      <c r="R703">
        <v>702</v>
      </c>
      <c r="S703">
        <v>11</v>
      </c>
    </row>
    <row r="704" spans="18:19">
      <c r="R704">
        <v>703</v>
      </c>
      <c r="S704">
        <v>12</v>
      </c>
    </row>
    <row r="705" spans="18:19">
      <c r="R705">
        <v>704</v>
      </c>
      <c r="S705">
        <v>10</v>
      </c>
    </row>
    <row r="706" spans="18:19">
      <c r="R706">
        <v>705</v>
      </c>
      <c r="S706">
        <v>12</v>
      </c>
    </row>
    <row r="707" spans="18:19">
      <c r="R707">
        <v>706</v>
      </c>
      <c r="S707">
        <v>10</v>
      </c>
    </row>
    <row r="708" spans="18:19">
      <c r="R708">
        <v>707</v>
      </c>
      <c r="S708">
        <v>12</v>
      </c>
    </row>
    <row r="709" spans="18:19">
      <c r="R709">
        <v>708</v>
      </c>
      <c r="S709">
        <v>13</v>
      </c>
    </row>
    <row r="710" spans="18:19">
      <c r="R710">
        <v>709</v>
      </c>
      <c r="S710">
        <v>13</v>
      </c>
    </row>
    <row r="711" spans="18:19">
      <c r="R711">
        <v>710</v>
      </c>
      <c r="S711">
        <v>11</v>
      </c>
    </row>
    <row r="712" spans="18:19">
      <c r="R712">
        <v>711</v>
      </c>
      <c r="S712">
        <v>12</v>
      </c>
    </row>
    <row r="713" spans="18:19">
      <c r="R713">
        <v>712</v>
      </c>
      <c r="S713">
        <v>22</v>
      </c>
    </row>
    <row r="714" spans="18:19">
      <c r="R714">
        <v>713</v>
      </c>
      <c r="S714">
        <v>12</v>
      </c>
    </row>
    <row r="715" spans="18:19">
      <c r="R715">
        <v>714</v>
      </c>
      <c r="S715">
        <v>13</v>
      </c>
    </row>
    <row r="716" spans="18:19">
      <c r="R716">
        <v>715</v>
      </c>
      <c r="S716">
        <v>16</v>
      </c>
    </row>
    <row r="717" spans="18:19">
      <c r="R717">
        <v>716</v>
      </c>
      <c r="S717">
        <v>12</v>
      </c>
    </row>
    <row r="718" spans="18:19">
      <c r="R718">
        <v>717</v>
      </c>
      <c r="S718">
        <v>13</v>
      </c>
    </row>
    <row r="719" spans="18:19">
      <c r="R719">
        <v>718</v>
      </c>
      <c r="S719">
        <v>12</v>
      </c>
    </row>
    <row r="720" spans="18:19">
      <c r="R720">
        <v>719</v>
      </c>
      <c r="S720">
        <v>13</v>
      </c>
    </row>
    <row r="721" spans="18:19">
      <c r="R721">
        <v>720</v>
      </c>
      <c r="S721">
        <v>11</v>
      </c>
    </row>
    <row r="722" spans="18:19">
      <c r="R722">
        <v>721</v>
      </c>
      <c r="S722">
        <v>10</v>
      </c>
    </row>
    <row r="723" spans="18:19">
      <c r="R723">
        <v>722</v>
      </c>
      <c r="S723">
        <v>11</v>
      </c>
    </row>
    <row r="724" spans="18:19">
      <c r="R724">
        <v>723</v>
      </c>
      <c r="S724">
        <v>12</v>
      </c>
    </row>
    <row r="725" spans="18:19">
      <c r="R725">
        <v>724</v>
      </c>
      <c r="S725">
        <v>11</v>
      </c>
    </row>
    <row r="726" spans="18:19">
      <c r="R726">
        <v>725</v>
      </c>
      <c r="S726">
        <v>10</v>
      </c>
    </row>
    <row r="727" spans="18:19">
      <c r="R727">
        <v>726</v>
      </c>
      <c r="S727">
        <v>14</v>
      </c>
    </row>
    <row r="728" spans="18:19">
      <c r="R728">
        <v>727</v>
      </c>
      <c r="S728">
        <v>13</v>
      </c>
    </row>
    <row r="729" spans="18:19">
      <c r="R729">
        <v>728</v>
      </c>
      <c r="S729">
        <v>12</v>
      </c>
    </row>
    <row r="730" spans="18:19">
      <c r="R730">
        <v>729</v>
      </c>
      <c r="S730">
        <v>11</v>
      </c>
    </row>
    <row r="731" spans="18:19">
      <c r="R731">
        <v>730</v>
      </c>
      <c r="S731">
        <v>12</v>
      </c>
    </row>
    <row r="732" spans="18:19">
      <c r="R732">
        <v>731</v>
      </c>
      <c r="S732">
        <v>12</v>
      </c>
    </row>
    <row r="733" spans="18:19">
      <c r="R733">
        <v>732</v>
      </c>
      <c r="S733">
        <v>15</v>
      </c>
    </row>
    <row r="734" spans="18:19">
      <c r="R734">
        <v>733</v>
      </c>
      <c r="S734">
        <v>11</v>
      </c>
    </row>
    <row r="735" spans="18:19">
      <c r="R735">
        <v>734</v>
      </c>
      <c r="S735">
        <v>12</v>
      </c>
    </row>
    <row r="736" spans="18:19">
      <c r="R736">
        <v>735</v>
      </c>
      <c r="S736">
        <v>11</v>
      </c>
    </row>
    <row r="737" spans="18:19">
      <c r="R737">
        <v>736</v>
      </c>
      <c r="S737">
        <v>14</v>
      </c>
    </row>
    <row r="738" spans="18:19">
      <c r="R738">
        <v>737</v>
      </c>
      <c r="S738">
        <v>10</v>
      </c>
    </row>
    <row r="739" spans="18:19">
      <c r="R739">
        <v>738</v>
      </c>
      <c r="S739">
        <v>12</v>
      </c>
    </row>
    <row r="740" spans="18:19">
      <c r="R740">
        <v>739</v>
      </c>
      <c r="S740">
        <v>11</v>
      </c>
    </row>
    <row r="741" spans="18:19">
      <c r="R741">
        <v>740</v>
      </c>
      <c r="S741">
        <v>11</v>
      </c>
    </row>
    <row r="742" spans="18:19">
      <c r="R742">
        <v>741</v>
      </c>
      <c r="S742">
        <v>10</v>
      </c>
    </row>
    <row r="743" spans="18:19">
      <c r="R743">
        <v>742</v>
      </c>
      <c r="S743">
        <v>11</v>
      </c>
    </row>
    <row r="744" spans="18:19">
      <c r="R744">
        <v>743</v>
      </c>
      <c r="S744">
        <v>13</v>
      </c>
    </row>
    <row r="745" spans="18:19">
      <c r="R745">
        <v>744</v>
      </c>
      <c r="S745">
        <v>11</v>
      </c>
    </row>
    <row r="746" spans="18:19">
      <c r="R746">
        <v>745</v>
      </c>
      <c r="S746">
        <v>12</v>
      </c>
    </row>
    <row r="747" spans="18:19">
      <c r="R747">
        <v>746</v>
      </c>
      <c r="S747">
        <v>11</v>
      </c>
    </row>
    <row r="748" spans="18:19">
      <c r="R748">
        <v>747</v>
      </c>
      <c r="S748">
        <v>11</v>
      </c>
    </row>
    <row r="749" spans="18:19">
      <c r="R749">
        <v>748</v>
      </c>
      <c r="S749">
        <v>12</v>
      </c>
    </row>
    <row r="750" spans="18:19">
      <c r="R750">
        <v>749</v>
      </c>
      <c r="S750">
        <v>12</v>
      </c>
    </row>
    <row r="751" spans="18:19">
      <c r="R751">
        <v>750</v>
      </c>
      <c r="S751">
        <v>12</v>
      </c>
    </row>
    <row r="752" spans="18:19">
      <c r="R752">
        <v>751</v>
      </c>
      <c r="S752">
        <v>13</v>
      </c>
    </row>
    <row r="753" spans="18:19">
      <c r="R753">
        <v>752</v>
      </c>
      <c r="S753">
        <v>12</v>
      </c>
    </row>
    <row r="754" spans="18:19">
      <c r="R754">
        <v>753</v>
      </c>
      <c r="S754">
        <v>15</v>
      </c>
    </row>
    <row r="755" spans="18:19">
      <c r="R755">
        <v>754</v>
      </c>
      <c r="S755">
        <v>11</v>
      </c>
    </row>
    <row r="756" spans="18:19">
      <c r="R756">
        <v>755</v>
      </c>
      <c r="S756">
        <v>11</v>
      </c>
    </row>
    <row r="757" spans="18:19">
      <c r="R757">
        <v>756</v>
      </c>
      <c r="S757">
        <v>11</v>
      </c>
    </row>
    <row r="758" spans="18:19">
      <c r="R758">
        <v>757</v>
      </c>
      <c r="S758">
        <v>12</v>
      </c>
    </row>
    <row r="759" spans="18:19">
      <c r="R759">
        <v>758</v>
      </c>
      <c r="S759">
        <v>14</v>
      </c>
    </row>
    <row r="760" spans="18:19">
      <c r="R760">
        <v>759</v>
      </c>
      <c r="S760">
        <v>12</v>
      </c>
    </row>
    <row r="761" spans="18:19">
      <c r="R761">
        <v>760</v>
      </c>
      <c r="S761">
        <v>11</v>
      </c>
    </row>
    <row r="762" spans="18:19">
      <c r="R762">
        <v>761</v>
      </c>
      <c r="S762">
        <v>10</v>
      </c>
    </row>
    <row r="763" spans="18:19">
      <c r="R763">
        <v>762</v>
      </c>
      <c r="S763">
        <v>13</v>
      </c>
    </row>
    <row r="764" spans="18:19">
      <c r="R764">
        <v>763</v>
      </c>
      <c r="S764">
        <v>11</v>
      </c>
    </row>
    <row r="765" spans="18:19">
      <c r="R765">
        <v>764</v>
      </c>
      <c r="S765">
        <v>14</v>
      </c>
    </row>
    <row r="766" spans="18:19">
      <c r="R766">
        <v>765</v>
      </c>
      <c r="S766">
        <v>11</v>
      </c>
    </row>
    <row r="767" spans="18:19">
      <c r="R767">
        <v>766</v>
      </c>
      <c r="S767">
        <v>14</v>
      </c>
    </row>
    <row r="768" spans="18:19">
      <c r="R768">
        <v>767</v>
      </c>
      <c r="S768">
        <v>12</v>
      </c>
    </row>
    <row r="769" spans="18:19">
      <c r="R769">
        <v>768</v>
      </c>
      <c r="S769">
        <v>12</v>
      </c>
    </row>
    <row r="770" spans="18:19">
      <c r="R770">
        <v>769</v>
      </c>
      <c r="S770">
        <v>12</v>
      </c>
    </row>
    <row r="771" spans="18:19">
      <c r="R771">
        <v>770</v>
      </c>
      <c r="S771">
        <v>14</v>
      </c>
    </row>
    <row r="772" spans="18:19">
      <c r="R772">
        <v>771</v>
      </c>
      <c r="S772">
        <v>13</v>
      </c>
    </row>
    <row r="773" spans="18:19">
      <c r="R773">
        <v>772</v>
      </c>
      <c r="S773">
        <v>11</v>
      </c>
    </row>
    <row r="774" spans="18:19">
      <c r="R774">
        <v>773</v>
      </c>
      <c r="S774">
        <v>13</v>
      </c>
    </row>
    <row r="775" spans="18:19">
      <c r="R775">
        <v>774</v>
      </c>
      <c r="S775">
        <v>13</v>
      </c>
    </row>
    <row r="776" spans="18:19">
      <c r="R776">
        <v>775</v>
      </c>
      <c r="S776">
        <v>11</v>
      </c>
    </row>
    <row r="777" spans="18:19">
      <c r="R777">
        <v>776</v>
      </c>
      <c r="S777">
        <v>12</v>
      </c>
    </row>
    <row r="778" spans="18:19">
      <c r="R778">
        <v>777</v>
      </c>
      <c r="S778">
        <v>13</v>
      </c>
    </row>
    <row r="779" spans="18:19">
      <c r="R779">
        <v>778</v>
      </c>
      <c r="S779">
        <v>13</v>
      </c>
    </row>
    <row r="780" spans="18:19">
      <c r="R780">
        <v>779</v>
      </c>
      <c r="S780">
        <v>11</v>
      </c>
    </row>
    <row r="781" spans="18:19">
      <c r="R781">
        <v>780</v>
      </c>
      <c r="S781">
        <v>11</v>
      </c>
    </row>
    <row r="782" spans="18:19">
      <c r="R782">
        <v>781</v>
      </c>
      <c r="S782">
        <v>17</v>
      </c>
    </row>
    <row r="783" spans="18:19">
      <c r="R783">
        <v>782</v>
      </c>
      <c r="S783">
        <v>12</v>
      </c>
    </row>
    <row r="784" spans="18:19">
      <c r="R784">
        <v>783</v>
      </c>
      <c r="S784">
        <v>10</v>
      </c>
    </row>
    <row r="785" spans="18:19">
      <c r="R785">
        <v>784</v>
      </c>
      <c r="S785">
        <v>14</v>
      </c>
    </row>
    <row r="786" spans="18:19">
      <c r="R786">
        <v>785</v>
      </c>
      <c r="S786">
        <v>12</v>
      </c>
    </row>
    <row r="787" spans="18:19">
      <c r="R787">
        <v>786</v>
      </c>
      <c r="S787">
        <v>12</v>
      </c>
    </row>
    <row r="788" spans="18:19">
      <c r="R788">
        <v>787</v>
      </c>
      <c r="S788">
        <v>10</v>
      </c>
    </row>
    <row r="789" spans="18:19">
      <c r="R789">
        <v>788</v>
      </c>
      <c r="S789">
        <v>13</v>
      </c>
    </row>
    <row r="790" spans="18:19">
      <c r="R790">
        <v>789</v>
      </c>
      <c r="S790">
        <v>12</v>
      </c>
    </row>
    <row r="791" spans="18:19">
      <c r="R791">
        <v>790</v>
      </c>
      <c r="S791">
        <v>12</v>
      </c>
    </row>
    <row r="792" spans="18:19">
      <c r="R792">
        <v>791</v>
      </c>
      <c r="S792">
        <v>12</v>
      </c>
    </row>
    <row r="793" spans="18:19">
      <c r="R793">
        <v>792</v>
      </c>
      <c r="S793">
        <v>13</v>
      </c>
    </row>
    <row r="794" spans="18:19">
      <c r="R794">
        <v>793</v>
      </c>
      <c r="S794">
        <v>12</v>
      </c>
    </row>
    <row r="795" spans="18:19">
      <c r="R795">
        <v>794</v>
      </c>
      <c r="S795">
        <v>12</v>
      </c>
    </row>
    <row r="796" spans="18:19">
      <c r="R796">
        <v>795</v>
      </c>
      <c r="S796">
        <v>11</v>
      </c>
    </row>
    <row r="797" spans="18:19">
      <c r="R797">
        <v>796</v>
      </c>
      <c r="S797">
        <v>11</v>
      </c>
    </row>
    <row r="798" spans="18:19">
      <c r="R798">
        <v>797</v>
      </c>
      <c r="S798">
        <v>13</v>
      </c>
    </row>
    <row r="799" spans="18:19">
      <c r="R799">
        <v>798</v>
      </c>
      <c r="S799">
        <v>12</v>
      </c>
    </row>
    <row r="800" spans="18:19">
      <c r="R800">
        <v>799</v>
      </c>
      <c r="S800">
        <v>11</v>
      </c>
    </row>
    <row r="801" spans="18:19">
      <c r="R801">
        <v>800</v>
      </c>
      <c r="S801">
        <v>11</v>
      </c>
    </row>
    <row r="802" spans="18:19">
      <c r="R802">
        <v>801</v>
      </c>
      <c r="S802">
        <v>11</v>
      </c>
    </row>
    <row r="803" spans="18:19">
      <c r="R803">
        <v>802</v>
      </c>
      <c r="S803">
        <v>12</v>
      </c>
    </row>
    <row r="804" spans="18:19">
      <c r="R804">
        <v>803</v>
      </c>
      <c r="S804">
        <v>13</v>
      </c>
    </row>
    <row r="805" spans="18:19">
      <c r="R805">
        <v>804</v>
      </c>
      <c r="S805">
        <v>11</v>
      </c>
    </row>
    <row r="806" spans="18:19">
      <c r="R806">
        <v>805</v>
      </c>
      <c r="S806">
        <v>13</v>
      </c>
    </row>
    <row r="807" spans="18:19">
      <c r="R807">
        <v>806</v>
      </c>
      <c r="S807">
        <v>14</v>
      </c>
    </row>
    <row r="808" spans="18:19">
      <c r="R808">
        <v>807</v>
      </c>
      <c r="S808">
        <v>11</v>
      </c>
    </row>
    <row r="809" spans="18:19">
      <c r="R809">
        <v>808</v>
      </c>
      <c r="S809">
        <v>10</v>
      </c>
    </row>
    <row r="810" spans="18:19">
      <c r="R810">
        <v>809</v>
      </c>
      <c r="S810">
        <v>11</v>
      </c>
    </row>
    <row r="811" spans="18:19">
      <c r="R811">
        <v>810</v>
      </c>
      <c r="S811">
        <v>11</v>
      </c>
    </row>
    <row r="812" spans="18:19">
      <c r="R812">
        <v>811</v>
      </c>
      <c r="S812">
        <v>12</v>
      </c>
    </row>
    <row r="813" spans="18:19">
      <c r="R813">
        <v>812</v>
      </c>
      <c r="S813">
        <v>14</v>
      </c>
    </row>
    <row r="814" spans="18:19">
      <c r="R814">
        <v>813</v>
      </c>
      <c r="S814">
        <v>14</v>
      </c>
    </row>
    <row r="815" spans="18:19">
      <c r="R815">
        <v>814</v>
      </c>
      <c r="S815">
        <v>14</v>
      </c>
    </row>
    <row r="816" spans="18:19">
      <c r="R816">
        <v>815</v>
      </c>
      <c r="S816">
        <v>12</v>
      </c>
    </row>
    <row r="817" spans="18:19">
      <c r="R817">
        <v>816</v>
      </c>
      <c r="S817">
        <v>12</v>
      </c>
    </row>
    <row r="818" spans="18:19">
      <c r="R818">
        <v>817</v>
      </c>
      <c r="S818">
        <v>12</v>
      </c>
    </row>
    <row r="819" spans="18:19">
      <c r="R819">
        <v>818</v>
      </c>
      <c r="S819">
        <v>13</v>
      </c>
    </row>
    <row r="820" spans="18:19">
      <c r="R820">
        <v>819</v>
      </c>
      <c r="S820">
        <v>14</v>
      </c>
    </row>
    <row r="821" spans="18:19">
      <c r="R821">
        <v>820</v>
      </c>
      <c r="S821">
        <v>14</v>
      </c>
    </row>
    <row r="822" spans="18:19">
      <c r="R822">
        <v>821</v>
      </c>
      <c r="S822">
        <v>13</v>
      </c>
    </row>
    <row r="823" spans="18:19">
      <c r="R823">
        <v>822</v>
      </c>
      <c r="S823">
        <v>12</v>
      </c>
    </row>
    <row r="824" spans="18:19">
      <c r="R824">
        <v>823</v>
      </c>
      <c r="S824">
        <v>12</v>
      </c>
    </row>
    <row r="825" spans="18:19">
      <c r="R825">
        <v>824</v>
      </c>
      <c r="S825">
        <v>11</v>
      </c>
    </row>
    <row r="826" spans="18:19">
      <c r="R826">
        <v>825</v>
      </c>
      <c r="S826">
        <v>10</v>
      </c>
    </row>
    <row r="827" spans="18:19">
      <c r="R827">
        <v>826</v>
      </c>
      <c r="S827">
        <v>11</v>
      </c>
    </row>
    <row r="828" spans="18:19">
      <c r="R828">
        <v>827</v>
      </c>
      <c r="S828">
        <v>13</v>
      </c>
    </row>
    <row r="829" spans="18:19">
      <c r="R829">
        <v>828</v>
      </c>
      <c r="S829">
        <v>11</v>
      </c>
    </row>
    <row r="830" spans="18:19">
      <c r="R830">
        <v>829</v>
      </c>
      <c r="S830">
        <v>10</v>
      </c>
    </row>
    <row r="831" spans="18:19">
      <c r="R831">
        <v>830</v>
      </c>
      <c r="S831">
        <v>11</v>
      </c>
    </row>
    <row r="832" spans="18:19">
      <c r="R832">
        <v>831</v>
      </c>
      <c r="S832">
        <v>13</v>
      </c>
    </row>
    <row r="833" spans="18:19">
      <c r="R833">
        <v>832</v>
      </c>
      <c r="S833">
        <v>13</v>
      </c>
    </row>
    <row r="834" spans="18:19">
      <c r="R834">
        <v>833</v>
      </c>
      <c r="S834">
        <v>12</v>
      </c>
    </row>
    <row r="835" spans="18:19">
      <c r="R835">
        <v>834</v>
      </c>
      <c r="S835">
        <v>13</v>
      </c>
    </row>
    <row r="836" spans="18:19">
      <c r="R836">
        <v>835</v>
      </c>
      <c r="S836">
        <v>11</v>
      </c>
    </row>
    <row r="837" spans="18:19">
      <c r="R837">
        <v>836</v>
      </c>
      <c r="S837">
        <v>13</v>
      </c>
    </row>
    <row r="838" spans="18:19">
      <c r="R838">
        <v>837</v>
      </c>
      <c r="S838">
        <v>12</v>
      </c>
    </row>
    <row r="839" spans="18:19">
      <c r="R839">
        <v>838</v>
      </c>
      <c r="S839">
        <v>12</v>
      </c>
    </row>
    <row r="840" spans="18:19">
      <c r="R840">
        <v>839</v>
      </c>
      <c r="S840">
        <v>11</v>
      </c>
    </row>
    <row r="841" spans="18:19">
      <c r="R841">
        <v>840</v>
      </c>
      <c r="S841">
        <v>11</v>
      </c>
    </row>
    <row r="842" spans="18:19">
      <c r="R842">
        <v>841</v>
      </c>
      <c r="S842">
        <v>11</v>
      </c>
    </row>
    <row r="843" spans="18:19">
      <c r="R843">
        <v>842</v>
      </c>
      <c r="S843">
        <v>10</v>
      </c>
    </row>
    <row r="844" spans="18:19">
      <c r="R844">
        <v>843</v>
      </c>
      <c r="S844">
        <v>12</v>
      </c>
    </row>
    <row r="845" spans="18:19">
      <c r="R845">
        <v>844</v>
      </c>
      <c r="S845">
        <v>11</v>
      </c>
    </row>
    <row r="846" spans="18:19">
      <c r="R846">
        <v>845</v>
      </c>
      <c r="S846">
        <v>12</v>
      </c>
    </row>
    <row r="847" spans="18:19">
      <c r="R847">
        <v>846</v>
      </c>
      <c r="S847">
        <v>11</v>
      </c>
    </row>
    <row r="848" spans="18:19">
      <c r="R848">
        <v>847</v>
      </c>
      <c r="S848">
        <v>12</v>
      </c>
    </row>
    <row r="849" spans="18:19">
      <c r="R849">
        <v>848</v>
      </c>
      <c r="S849">
        <v>11</v>
      </c>
    </row>
    <row r="850" spans="18:19">
      <c r="R850">
        <v>849</v>
      </c>
      <c r="S850">
        <v>14</v>
      </c>
    </row>
    <row r="851" spans="18:19">
      <c r="R851">
        <v>850</v>
      </c>
      <c r="S851">
        <v>12</v>
      </c>
    </row>
    <row r="852" spans="18:19">
      <c r="R852">
        <v>851</v>
      </c>
      <c r="S852">
        <v>12</v>
      </c>
    </row>
    <row r="853" spans="18:19">
      <c r="R853">
        <v>852</v>
      </c>
      <c r="S853">
        <v>10</v>
      </c>
    </row>
    <row r="854" spans="18:19">
      <c r="R854">
        <v>853</v>
      </c>
      <c r="S854">
        <v>11</v>
      </c>
    </row>
    <row r="855" spans="18:19">
      <c r="R855">
        <v>854</v>
      </c>
      <c r="S855">
        <v>15</v>
      </c>
    </row>
    <row r="856" spans="18:19">
      <c r="R856">
        <v>855</v>
      </c>
      <c r="S856">
        <v>11</v>
      </c>
    </row>
    <row r="857" spans="18:19">
      <c r="R857">
        <v>856</v>
      </c>
      <c r="S857">
        <v>11</v>
      </c>
    </row>
    <row r="858" spans="18:19">
      <c r="R858">
        <v>857</v>
      </c>
      <c r="S858">
        <v>12</v>
      </c>
    </row>
    <row r="859" spans="18:19">
      <c r="R859">
        <v>858</v>
      </c>
      <c r="S859">
        <v>11</v>
      </c>
    </row>
    <row r="860" spans="18:19">
      <c r="R860">
        <v>859</v>
      </c>
      <c r="S860">
        <v>14</v>
      </c>
    </row>
    <row r="861" spans="18:19">
      <c r="R861">
        <v>860</v>
      </c>
      <c r="S861">
        <v>11</v>
      </c>
    </row>
    <row r="862" spans="18:19">
      <c r="R862">
        <v>861</v>
      </c>
      <c r="S862">
        <v>12</v>
      </c>
    </row>
    <row r="863" spans="18:19">
      <c r="R863">
        <v>862</v>
      </c>
      <c r="S863">
        <v>12</v>
      </c>
    </row>
    <row r="864" spans="18:19">
      <c r="R864">
        <v>863</v>
      </c>
      <c r="S864">
        <v>10</v>
      </c>
    </row>
    <row r="865" spans="18:19">
      <c r="R865">
        <v>864</v>
      </c>
      <c r="S865">
        <v>13</v>
      </c>
    </row>
    <row r="866" spans="18:19">
      <c r="R866">
        <v>865</v>
      </c>
      <c r="S866">
        <v>12</v>
      </c>
    </row>
    <row r="867" spans="18:19">
      <c r="R867">
        <v>866</v>
      </c>
      <c r="S867">
        <v>12</v>
      </c>
    </row>
    <row r="868" spans="18:19">
      <c r="R868">
        <v>867</v>
      </c>
      <c r="S868">
        <v>13</v>
      </c>
    </row>
    <row r="869" spans="18:19">
      <c r="R869">
        <v>868</v>
      </c>
      <c r="S869">
        <v>11</v>
      </c>
    </row>
    <row r="870" spans="18:19">
      <c r="R870">
        <v>869</v>
      </c>
      <c r="S870">
        <v>10</v>
      </c>
    </row>
    <row r="871" spans="18:19">
      <c r="R871">
        <v>870</v>
      </c>
      <c r="S871">
        <v>12</v>
      </c>
    </row>
    <row r="872" spans="18:19">
      <c r="R872">
        <v>871</v>
      </c>
      <c r="S872">
        <v>12</v>
      </c>
    </row>
    <row r="873" spans="18:19">
      <c r="R873">
        <v>872</v>
      </c>
      <c r="S873">
        <v>10</v>
      </c>
    </row>
    <row r="874" spans="18:19">
      <c r="R874">
        <v>873</v>
      </c>
      <c r="S874">
        <v>11</v>
      </c>
    </row>
    <row r="875" spans="18:19">
      <c r="R875">
        <v>874</v>
      </c>
      <c r="S875">
        <v>12</v>
      </c>
    </row>
    <row r="876" spans="18:19">
      <c r="R876">
        <v>875</v>
      </c>
      <c r="S876">
        <v>16</v>
      </c>
    </row>
    <row r="877" spans="18:19">
      <c r="R877">
        <v>876</v>
      </c>
      <c r="S877">
        <v>13</v>
      </c>
    </row>
    <row r="878" spans="18:19">
      <c r="R878">
        <v>877</v>
      </c>
      <c r="S878">
        <v>13</v>
      </c>
    </row>
    <row r="879" spans="18:19">
      <c r="R879">
        <v>878</v>
      </c>
      <c r="S879">
        <v>12</v>
      </c>
    </row>
    <row r="880" spans="18:19">
      <c r="R880">
        <v>879</v>
      </c>
      <c r="S880">
        <v>11</v>
      </c>
    </row>
    <row r="881" spans="18:19">
      <c r="R881">
        <v>880</v>
      </c>
      <c r="S881">
        <v>12</v>
      </c>
    </row>
    <row r="882" spans="18:19">
      <c r="R882">
        <v>881</v>
      </c>
      <c r="S882">
        <v>12</v>
      </c>
    </row>
    <row r="883" spans="18:19">
      <c r="R883">
        <v>882</v>
      </c>
      <c r="S883">
        <v>10</v>
      </c>
    </row>
    <row r="884" spans="18:19">
      <c r="R884">
        <v>883</v>
      </c>
      <c r="S884">
        <v>13</v>
      </c>
    </row>
    <row r="885" spans="18:19">
      <c r="R885">
        <v>884</v>
      </c>
      <c r="S885">
        <v>12</v>
      </c>
    </row>
    <row r="886" spans="18:19">
      <c r="R886">
        <v>885</v>
      </c>
      <c r="S886">
        <v>16</v>
      </c>
    </row>
    <row r="887" spans="18:19">
      <c r="R887">
        <v>886</v>
      </c>
      <c r="S887">
        <v>11</v>
      </c>
    </row>
    <row r="888" spans="18:19">
      <c r="R888">
        <v>887</v>
      </c>
      <c r="S888">
        <v>10</v>
      </c>
    </row>
    <row r="889" spans="18:19">
      <c r="R889">
        <v>888</v>
      </c>
      <c r="S889">
        <v>12</v>
      </c>
    </row>
    <row r="890" spans="18:19">
      <c r="R890">
        <v>889</v>
      </c>
      <c r="S890">
        <v>11</v>
      </c>
    </row>
    <row r="891" spans="18:19">
      <c r="R891">
        <v>890</v>
      </c>
      <c r="S891">
        <v>11</v>
      </c>
    </row>
    <row r="892" spans="18:19">
      <c r="R892">
        <v>891</v>
      </c>
      <c r="S892">
        <v>11</v>
      </c>
    </row>
    <row r="893" spans="18:19">
      <c r="R893">
        <v>892</v>
      </c>
      <c r="S893">
        <v>12</v>
      </c>
    </row>
    <row r="894" spans="18:19">
      <c r="R894">
        <v>893</v>
      </c>
      <c r="S894">
        <v>13</v>
      </c>
    </row>
    <row r="895" spans="18:19">
      <c r="R895">
        <v>894</v>
      </c>
      <c r="S895">
        <v>16</v>
      </c>
    </row>
    <row r="896" spans="18:19">
      <c r="R896">
        <v>895</v>
      </c>
      <c r="S896">
        <v>10</v>
      </c>
    </row>
    <row r="897" spans="18:19">
      <c r="R897">
        <v>896</v>
      </c>
      <c r="S897">
        <v>11</v>
      </c>
    </row>
    <row r="898" spans="18:19">
      <c r="R898">
        <v>897</v>
      </c>
      <c r="S898">
        <v>11</v>
      </c>
    </row>
    <row r="899" spans="18:19">
      <c r="R899">
        <v>898</v>
      </c>
      <c r="S899">
        <v>13</v>
      </c>
    </row>
    <row r="900" spans="18:19">
      <c r="R900">
        <v>899</v>
      </c>
      <c r="S900">
        <v>10</v>
      </c>
    </row>
    <row r="901" spans="18:19">
      <c r="R901">
        <v>900</v>
      </c>
      <c r="S901">
        <v>11</v>
      </c>
    </row>
    <row r="902" spans="18:19">
      <c r="R902">
        <v>901</v>
      </c>
      <c r="S902">
        <v>12</v>
      </c>
    </row>
    <row r="903" spans="18:19">
      <c r="R903">
        <v>902</v>
      </c>
      <c r="S903">
        <v>10</v>
      </c>
    </row>
    <row r="904" spans="18:19">
      <c r="R904">
        <v>903</v>
      </c>
      <c r="S904">
        <v>10</v>
      </c>
    </row>
    <row r="905" spans="18:19">
      <c r="R905">
        <v>904</v>
      </c>
      <c r="S905">
        <v>12</v>
      </c>
    </row>
    <row r="906" spans="18:19">
      <c r="R906">
        <v>905</v>
      </c>
      <c r="S906">
        <v>11</v>
      </c>
    </row>
    <row r="907" spans="18:19">
      <c r="R907">
        <v>906</v>
      </c>
      <c r="S907">
        <v>16</v>
      </c>
    </row>
    <row r="908" spans="18:19">
      <c r="R908">
        <v>907</v>
      </c>
      <c r="S908">
        <v>13</v>
      </c>
    </row>
    <row r="909" spans="18:19">
      <c r="R909">
        <v>908</v>
      </c>
      <c r="S909">
        <v>10</v>
      </c>
    </row>
    <row r="910" spans="18:19">
      <c r="R910">
        <v>909</v>
      </c>
      <c r="S910">
        <v>10</v>
      </c>
    </row>
    <row r="911" spans="18:19">
      <c r="R911">
        <v>910</v>
      </c>
      <c r="S911">
        <v>11</v>
      </c>
    </row>
    <row r="912" spans="18:19">
      <c r="R912">
        <v>911</v>
      </c>
      <c r="S912">
        <v>13</v>
      </c>
    </row>
    <row r="913" spans="18:19">
      <c r="R913">
        <v>912</v>
      </c>
      <c r="S913">
        <v>11</v>
      </c>
    </row>
    <row r="914" spans="18:19">
      <c r="R914">
        <v>913</v>
      </c>
      <c r="S914">
        <v>10</v>
      </c>
    </row>
    <row r="915" spans="18:19">
      <c r="R915">
        <v>914</v>
      </c>
      <c r="S915">
        <v>10</v>
      </c>
    </row>
    <row r="916" spans="18:19">
      <c r="R916">
        <v>915</v>
      </c>
      <c r="S916">
        <v>11</v>
      </c>
    </row>
    <row r="917" spans="18:19">
      <c r="R917">
        <v>916</v>
      </c>
      <c r="S917">
        <v>12</v>
      </c>
    </row>
    <row r="918" spans="18:19">
      <c r="R918">
        <v>917</v>
      </c>
      <c r="S918">
        <v>13</v>
      </c>
    </row>
    <row r="919" spans="18:19">
      <c r="R919">
        <v>918</v>
      </c>
      <c r="S919">
        <v>11</v>
      </c>
    </row>
    <row r="920" spans="18:19">
      <c r="R920">
        <v>919</v>
      </c>
      <c r="S920">
        <v>11</v>
      </c>
    </row>
    <row r="921" spans="18:19">
      <c r="R921">
        <v>920</v>
      </c>
      <c r="S921">
        <v>21</v>
      </c>
    </row>
    <row r="922" spans="18:19">
      <c r="R922">
        <v>921</v>
      </c>
      <c r="S922">
        <v>11</v>
      </c>
    </row>
    <row r="923" spans="18:19">
      <c r="R923">
        <v>922</v>
      </c>
      <c r="S923">
        <v>12</v>
      </c>
    </row>
    <row r="924" spans="18:19">
      <c r="R924">
        <v>923</v>
      </c>
      <c r="S924">
        <v>13</v>
      </c>
    </row>
    <row r="925" spans="18:19">
      <c r="R925">
        <v>924</v>
      </c>
      <c r="S925">
        <v>13</v>
      </c>
    </row>
    <row r="926" spans="18:19">
      <c r="R926">
        <v>925</v>
      </c>
      <c r="S926">
        <v>12</v>
      </c>
    </row>
    <row r="927" spans="18:19">
      <c r="R927">
        <v>926</v>
      </c>
      <c r="S927">
        <v>14</v>
      </c>
    </row>
    <row r="928" spans="18:19">
      <c r="R928">
        <v>927</v>
      </c>
      <c r="S928">
        <v>11</v>
      </c>
    </row>
    <row r="929" spans="18:19">
      <c r="R929">
        <v>928</v>
      </c>
      <c r="S929">
        <v>10</v>
      </c>
    </row>
    <row r="930" spans="18:19">
      <c r="R930">
        <v>929</v>
      </c>
      <c r="S930">
        <v>11</v>
      </c>
    </row>
    <row r="931" spans="18:19">
      <c r="R931">
        <v>930</v>
      </c>
      <c r="S931">
        <v>13</v>
      </c>
    </row>
    <row r="932" spans="18:19">
      <c r="R932">
        <v>931</v>
      </c>
      <c r="S932">
        <v>12</v>
      </c>
    </row>
    <row r="933" spans="18:19">
      <c r="R933">
        <v>932</v>
      </c>
      <c r="S933">
        <v>12</v>
      </c>
    </row>
    <row r="934" spans="18:19">
      <c r="R934">
        <v>933</v>
      </c>
      <c r="S934">
        <v>12</v>
      </c>
    </row>
    <row r="935" spans="18:19">
      <c r="R935">
        <v>934</v>
      </c>
      <c r="S935">
        <v>12</v>
      </c>
    </row>
    <row r="936" spans="18:19">
      <c r="R936">
        <v>935</v>
      </c>
      <c r="S936">
        <v>13</v>
      </c>
    </row>
    <row r="937" spans="18:19">
      <c r="R937">
        <v>936</v>
      </c>
      <c r="S937">
        <v>13</v>
      </c>
    </row>
    <row r="938" spans="18:19">
      <c r="R938">
        <v>937</v>
      </c>
      <c r="S938">
        <v>11</v>
      </c>
    </row>
    <row r="939" spans="18:19">
      <c r="R939">
        <v>938</v>
      </c>
      <c r="S939">
        <v>12</v>
      </c>
    </row>
    <row r="940" spans="18:19">
      <c r="R940">
        <v>939</v>
      </c>
      <c r="S940">
        <v>11</v>
      </c>
    </row>
    <row r="941" spans="18:19">
      <c r="R941">
        <v>940</v>
      </c>
      <c r="S941">
        <v>11</v>
      </c>
    </row>
    <row r="942" spans="18:19">
      <c r="R942">
        <v>941</v>
      </c>
      <c r="S942">
        <v>12</v>
      </c>
    </row>
    <row r="943" spans="18:19">
      <c r="R943">
        <v>942</v>
      </c>
      <c r="S943">
        <v>12</v>
      </c>
    </row>
    <row r="944" spans="18:19">
      <c r="R944">
        <v>943</v>
      </c>
      <c r="S944">
        <v>10</v>
      </c>
    </row>
    <row r="945" spans="18:19">
      <c r="R945">
        <v>944</v>
      </c>
      <c r="S945">
        <v>11</v>
      </c>
    </row>
    <row r="946" spans="18:19">
      <c r="R946">
        <v>945</v>
      </c>
      <c r="S946">
        <v>11</v>
      </c>
    </row>
    <row r="947" spans="18:19">
      <c r="R947">
        <v>946</v>
      </c>
      <c r="S947">
        <v>12</v>
      </c>
    </row>
    <row r="948" spans="18:19">
      <c r="R948">
        <v>947</v>
      </c>
      <c r="S948">
        <v>12</v>
      </c>
    </row>
    <row r="949" spans="18:19">
      <c r="R949">
        <v>948</v>
      </c>
      <c r="S949">
        <v>14</v>
      </c>
    </row>
    <row r="950" spans="18:19">
      <c r="R950">
        <v>949</v>
      </c>
      <c r="S950">
        <v>13</v>
      </c>
    </row>
    <row r="951" spans="18:19">
      <c r="R951">
        <v>950</v>
      </c>
      <c r="S951">
        <v>10</v>
      </c>
    </row>
    <row r="952" spans="18:19">
      <c r="R952">
        <v>951</v>
      </c>
      <c r="S952">
        <v>10</v>
      </c>
    </row>
    <row r="953" spans="18:19">
      <c r="R953">
        <v>952</v>
      </c>
      <c r="S953">
        <v>12</v>
      </c>
    </row>
    <row r="954" spans="18:19">
      <c r="R954">
        <v>953</v>
      </c>
      <c r="S954">
        <v>12</v>
      </c>
    </row>
    <row r="955" spans="18:19">
      <c r="R955">
        <v>954</v>
      </c>
      <c r="S955">
        <v>12</v>
      </c>
    </row>
    <row r="956" spans="18:19">
      <c r="R956">
        <v>955</v>
      </c>
      <c r="S956">
        <v>13</v>
      </c>
    </row>
    <row r="957" spans="18:19">
      <c r="R957">
        <v>956</v>
      </c>
      <c r="S957">
        <v>15</v>
      </c>
    </row>
    <row r="958" spans="18:19">
      <c r="R958">
        <v>957</v>
      </c>
      <c r="S958">
        <v>12</v>
      </c>
    </row>
    <row r="959" spans="18:19">
      <c r="R959">
        <v>958</v>
      </c>
      <c r="S959">
        <v>15</v>
      </c>
    </row>
    <row r="960" spans="18:19">
      <c r="R960">
        <v>959</v>
      </c>
      <c r="S960">
        <v>10</v>
      </c>
    </row>
    <row r="961" spans="18:19">
      <c r="R961">
        <v>960</v>
      </c>
      <c r="S961">
        <v>13</v>
      </c>
    </row>
    <row r="962" spans="18:19">
      <c r="R962">
        <v>961</v>
      </c>
      <c r="S962">
        <v>12</v>
      </c>
    </row>
    <row r="963" spans="18:19">
      <c r="R963">
        <v>962</v>
      </c>
      <c r="S963">
        <v>11</v>
      </c>
    </row>
    <row r="964" spans="18:19">
      <c r="R964">
        <v>963</v>
      </c>
      <c r="S964">
        <v>12</v>
      </c>
    </row>
    <row r="965" spans="18:19">
      <c r="R965">
        <v>964</v>
      </c>
      <c r="S965">
        <v>12</v>
      </c>
    </row>
    <row r="966" spans="18:19">
      <c r="R966">
        <v>965</v>
      </c>
      <c r="S966">
        <v>14</v>
      </c>
    </row>
    <row r="967" spans="18:19">
      <c r="R967">
        <v>966</v>
      </c>
      <c r="S967">
        <v>16</v>
      </c>
    </row>
    <row r="968" spans="18:19">
      <c r="R968">
        <v>967</v>
      </c>
      <c r="S968">
        <v>13</v>
      </c>
    </row>
    <row r="969" spans="18:19">
      <c r="R969">
        <v>968</v>
      </c>
      <c r="S969">
        <v>12</v>
      </c>
    </row>
    <row r="970" spans="18:19">
      <c r="R970">
        <v>969</v>
      </c>
      <c r="S970">
        <v>12</v>
      </c>
    </row>
    <row r="971" spans="18:19">
      <c r="R971">
        <v>970</v>
      </c>
      <c r="S971">
        <v>10</v>
      </c>
    </row>
    <row r="972" spans="18:19">
      <c r="R972">
        <v>971</v>
      </c>
      <c r="S972">
        <v>12</v>
      </c>
    </row>
    <row r="973" spans="18:19">
      <c r="R973">
        <v>972</v>
      </c>
      <c r="S973">
        <v>10</v>
      </c>
    </row>
    <row r="974" spans="18:19">
      <c r="R974">
        <v>973</v>
      </c>
      <c r="S974">
        <v>12</v>
      </c>
    </row>
    <row r="975" spans="18:19">
      <c r="R975">
        <v>974</v>
      </c>
      <c r="S975">
        <v>16</v>
      </c>
    </row>
    <row r="976" spans="18:19">
      <c r="R976">
        <v>975</v>
      </c>
      <c r="S976">
        <v>10</v>
      </c>
    </row>
    <row r="977" spans="18:19">
      <c r="R977">
        <v>976</v>
      </c>
      <c r="S977">
        <v>12</v>
      </c>
    </row>
    <row r="978" spans="18:19">
      <c r="R978">
        <v>977</v>
      </c>
      <c r="S978">
        <v>11</v>
      </c>
    </row>
    <row r="979" spans="18:19">
      <c r="R979">
        <v>978</v>
      </c>
      <c r="S979">
        <v>14</v>
      </c>
    </row>
    <row r="980" spans="18:19">
      <c r="R980">
        <v>979</v>
      </c>
      <c r="S980">
        <v>15</v>
      </c>
    </row>
    <row r="981" spans="18:19">
      <c r="R981">
        <v>980</v>
      </c>
      <c r="S981">
        <v>16</v>
      </c>
    </row>
    <row r="982" spans="18:19">
      <c r="R982">
        <v>981</v>
      </c>
      <c r="S982">
        <v>11</v>
      </c>
    </row>
    <row r="983" spans="18:19">
      <c r="R983">
        <v>982</v>
      </c>
      <c r="S983">
        <v>11</v>
      </c>
    </row>
    <row r="984" spans="18:19">
      <c r="R984">
        <v>983</v>
      </c>
      <c r="S984">
        <v>12</v>
      </c>
    </row>
    <row r="985" spans="18:19">
      <c r="R985">
        <v>984</v>
      </c>
      <c r="S985">
        <v>11</v>
      </c>
    </row>
    <row r="986" spans="18:19">
      <c r="R986">
        <v>985</v>
      </c>
      <c r="S986">
        <v>11</v>
      </c>
    </row>
    <row r="987" spans="18:19">
      <c r="R987">
        <v>986</v>
      </c>
      <c r="S987">
        <v>12</v>
      </c>
    </row>
    <row r="988" spans="18:19">
      <c r="R988">
        <v>987</v>
      </c>
      <c r="S988">
        <v>11</v>
      </c>
    </row>
    <row r="989" spans="18:19">
      <c r="R989">
        <v>988</v>
      </c>
      <c r="S989">
        <v>11</v>
      </c>
    </row>
    <row r="990" spans="18:19">
      <c r="R990">
        <v>989</v>
      </c>
      <c r="S990">
        <v>11</v>
      </c>
    </row>
    <row r="991" spans="18:19">
      <c r="R991">
        <v>990</v>
      </c>
      <c r="S991">
        <v>13</v>
      </c>
    </row>
    <row r="992" spans="18:19">
      <c r="R992">
        <v>991</v>
      </c>
      <c r="S992">
        <v>11</v>
      </c>
    </row>
    <row r="993" spans="18:19">
      <c r="R993">
        <v>992</v>
      </c>
      <c r="S993">
        <v>16</v>
      </c>
    </row>
    <row r="994" spans="18:19">
      <c r="R994">
        <v>993</v>
      </c>
      <c r="S994">
        <v>11</v>
      </c>
    </row>
    <row r="995" spans="18:19">
      <c r="R995">
        <v>994</v>
      </c>
      <c r="S995">
        <v>11</v>
      </c>
    </row>
    <row r="996" spans="18:19">
      <c r="R996">
        <v>995</v>
      </c>
      <c r="S996">
        <v>13</v>
      </c>
    </row>
    <row r="997" spans="18:19">
      <c r="R997">
        <v>996</v>
      </c>
      <c r="S997">
        <v>14</v>
      </c>
    </row>
    <row r="998" spans="18:19">
      <c r="R998">
        <v>997</v>
      </c>
      <c r="S998">
        <v>13</v>
      </c>
    </row>
    <row r="999" spans="18:19">
      <c r="R999">
        <v>998</v>
      </c>
      <c r="S999">
        <v>12</v>
      </c>
    </row>
    <row r="1000" spans="18:19">
      <c r="R1000">
        <v>999</v>
      </c>
      <c r="S1000">
        <v>13</v>
      </c>
    </row>
    <row r="1001" spans="18:19">
      <c r="R1001">
        <v>1000</v>
      </c>
      <c r="S1001">
        <v>11</v>
      </c>
    </row>
    <row r="1002" spans="18:19">
      <c r="R1002">
        <v>1001</v>
      </c>
      <c r="S1002">
        <v>12</v>
      </c>
    </row>
    <row r="1003" spans="18:19">
      <c r="R1003">
        <v>1002</v>
      </c>
      <c r="S1003">
        <v>12</v>
      </c>
    </row>
    <row r="1004" spans="18:19">
      <c r="R1004">
        <v>1003</v>
      </c>
      <c r="S1004">
        <v>12</v>
      </c>
    </row>
    <row r="1005" spans="18:19">
      <c r="R1005">
        <v>1004</v>
      </c>
      <c r="S1005">
        <v>11</v>
      </c>
    </row>
    <row r="1006" spans="18:19">
      <c r="R1006">
        <v>1005</v>
      </c>
      <c r="S1006">
        <v>12</v>
      </c>
    </row>
    <row r="1007" spans="18:19">
      <c r="R1007">
        <v>1006</v>
      </c>
      <c r="S1007">
        <v>12</v>
      </c>
    </row>
    <row r="1008" spans="18:19">
      <c r="R1008">
        <v>1007</v>
      </c>
      <c r="S1008">
        <v>13</v>
      </c>
    </row>
    <row r="1009" spans="18:19">
      <c r="R1009">
        <v>1008</v>
      </c>
      <c r="S1009">
        <v>10</v>
      </c>
    </row>
    <row r="1010" spans="18:19">
      <c r="R1010">
        <v>1009</v>
      </c>
      <c r="S1010">
        <v>15</v>
      </c>
    </row>
    <row r="1011" spans="18:19">
      <c r="R1011">
        <v>1010</v>
      </c>
      <c r="S1011">
        <v>11</v>
      </c>
    </row>
    <row r="1012" spans="18:19">
      <c r="R1012">
        <v>1011</v>
      </c>
      <c r="S1012">
        <v>12</v>
      </c>
    </row>
    <row r="1013" spans="18:19">
      <c r="R1013">
        <v>1012</v>
      </c>
      <c r="S1013">
        <v>14</v>
      </c>
    </row>
    <row r="1014" spans="18:19">
      <c r="R1014">
        <v>1013</v>
      </c>
      <c r="S1014">
        <v>12</v>
      </c>
    </row>
    <row r="1015" spans="18:19">
      <c r="R1015">
        <v>1014</v>
      </c>
      <c r="S1015">
        <v>13</v>
      </c>
    </row>
    <row r="1016" spans="18:19">
      <c r="R1016">
        <v>1015</v>
      </c>
      <c r="S1016">
        <v>11</v>
      </c>
    </row>
    <row r="1017" spans="18:19">
      <c r="R1017">
        <v>1016</v>
      </c>
      <c r="S1017">
        <v>12</v>
      </c>
    </row>
    <row r="1018" spans="18:19">
      <c r="R1018">
        <v>1017</v>
      </c>
      <c r="S1018">
        <v>12</v>
      </c>
    </row>
    <row r="1019" spans="18:19">
      <c r="R1019">
        <v>1018</v>
      </c>
      <c r="S1019">
        <v>12</v>
      </c>
    </row>
    <row r="1020" spans="18:19">
      <c r="R1020">
        <v>1019</v>
      </c>
      <c r="S1020">
        <v>11</v>
      </c>
    </row>
    <row r="1021" spans="18:19">
      <c r="R1021">
        <v>1020</v>
      </c>
      <c r="S1021">
        <v>12</v>
      </c>
    </row>
    <row r="1022" spans="18:19">
      <c r="R1022">
        <v>1021</v>
      </c>
      <c r="S1022">
        <v>11</v>
      </c>
    </row>
    <row r="1023" spans="18:19">
      <c r="R1023">
        <v>1022</v>
      </c>
      <c r="S1023">
        <v>12</v>
      </c>
    </row>
    <row r="1024" spans="18:19">
      <c r="R1024">
        <v>1023</v>
      </c>
      <c r="S1024">
        <v>10</v>
      </c>
    </row>
    <row r="1025" spans="18:19">
      <c r="R1025">
        <v>1024</v>
      </c>
      <c r="S1025">
        <v>12</v>
      </c>
    </row>
    <row r="1026" spans="18:19">
      <c r="R1026">
        <v>1025</v>
      </c>
      <c r="S1026">
        <v>11</v>
      </c>
    </row>
    <row r="1027" spans="18:19">
      <c r="R1027">
        <v>1026</v>
      </c>
      <c r="S1027">
        <v>15</v>
      </c>
    </row>
    <row r="1028" spans="18:19">
      <c r="R1028">
        <v>1027</v>
      </c>
      <c r="S1028">
        <v>13</v>
      </c>
    </row>
    <row r="1029" spans="18:19">
      <c r="R1029">
        <v>1028</v>
      </c>
      <c r="S1029">
        <v>11</v>
      </c>
    </row>
    <row r="1030" spans="18:19">
      <c r="R1030">
        <v>1029</v>
      </c>
      <c r="S1030">
        <v>11</v>
      </c>
    </row>
    <row r="1031" spans="18:19">
      <c r="R1031">
        <v>1030</v>
      </c>
      <c r="S1031">
        <v>13</v>
      </c>
    </row>
    <row r="1032" spans="18:19">
      <c r="R1032">
        <v>1031</v>
      </c>
      <c r="S1032">
        <v>13</v>
      </c>
    </row>
    <row r="1033" spans="18:19">
      <c r="R1033">
        <v>1032</v>
      </c>
      <c r="S1033">
        <v>11</v>
      </c>
    </row>
    <row r="1034" spans="18:19">
      <c r="R1034">
        <v>1033</v>
      </c>
      <c r="S1034">
        <v>11</v>
      </c>
    </row>
    <row r="1035" spans="18:19">
      <c r="R1035">
        <v>1034</v>
      </c>
      <c r="S1035">
        <v>11</v>
      </c>
    </row>
    <row r="1036" spans="18:19">
      <c r="R1036">
        <v>1035</v>
      </c>
      <c r="S1036">
        <v>11</v>
      </c>
    </row>
    <row r="1037" spans="18:19">
      <c r="R1037">
        <v>1036</v>
      </c>
      <c r="S1037">
        <v>10</v>
      </c>
    </row>
    <row r="1038" spans="18:19">
      <c r="R1038">
        <v>1037</v>
      </c>
      <c r="S1038">
        <v>11</v>
      </c>
    </row>
    <row r="1039" spans="18:19">
      <c r="R1039">
        <v>1038</v>
      </c>
      <c r="S1039">
        <v>12</v>
      </c>
    </row>
    <row r="1040" spans="18:19">
      <c r="R1040">
        <v>1039</v>
      </c>
      <c r="S1040">
        <v>11</v>
      </c>
    </row>
    <row r="1041" spans="18:19">
      <c r="R1041">
        <v>1040</v>
      </c>
      <c r="S1041">
        <v>12</v>
      </c>
    </row>
    <row r="1042" spans="18:19">
      <c r="R1042">
        <v>1041</v>
      </c>
      <c r="S1042">
        <v>11</v>
      </c>
    </row>
    <row r="1043" spans="18:19">
      <c r="R1043">
        <v>1042</v>
      </c>
      <c r="S1043">
        <v>9</v>
      </c>
    </row>
    <row r="1044" spans="18:19">
      <c r="R1044">
        <v>1043</v>
      </c>
      <c r="S1044">
        <v>11</v>
      </c>
    </row>
    <row r="1045" spans="18:19">
      <c r="R1045">
        <v>1044</v>
      </c>
      <c r="S1045">
        <v>11</v>
      </c>
    </row>
    <row r="1046" spans="18:19">
      <c r="R1046">
        <v>1045</v>
      </c>
      <c r="S1046">
        <v>13</v>
      </c>
    </row>
    <row r="1047" spans="18:19">
      <c r="R1047">
        <v>1046</v>
      </c>
      <c r="S1047">
        <v>11</v>
      </c>
    </row>
    <row r="1048" spans="18:19">
      <c r="R1048">
        <v>1047</v>
      </c>
      <c r="S1048">
        <v>10</v>
      </c>
    </row>
    <row r="1049" spans="18:19">
      <c r="R1049">
        <v>1048</v>
      </c>
      <c r="S1049">
        <v>12</v>
      </c>
    </row>
    <row r="1050" spans="18:19">
      <c r="R1050">
        <v>1049</v>
      </c>
      <c r="S1050">
        <v>13</v>
      </c>
    </row>
    <row r="1051" spans="18:19">
      <c r="R1051">
        <v>1050</v>
      </c>
      <c r="S1051">
        <v>12</v>
      </c>
    </row>
    <row r="1052" spans="18:19">
      <c r="R1052">
        <v>1051</v>
      </c>
      <c r="S1052">
        <v>11</v>
      </c>
    </row>
    <row r="1053" spans="18:19">
      <c r="R1053">
        <v>1052</v>
      </c>
      <c r="S1053">
        <v>11</v>
      </c>
    </row>
    <row r="1054" spans="18:19">
      <c r="R1054">
        <v>1053</v>
      </c>
      <c r="S1054">
        <v>11</v>
      </c>
    </row>
    <row r="1055" spans="18:19">
      <c r="R1055">
        <v>1054</v>
      </c>
      <c r="S1055">
        <v>14</v>
      </c>
    </row>
    <row r="1056" spans="18:19">
      <c r="R1056">
        <v>1055</v>
      </c>
      <c r="S1056">
        <v>12</v>
      </c>
    </row>
    <row r="1057" spans="18:19">
      <c r="R1057">
        <v>1056</v>
      </c>
      <c r="S1057">
        <v>12</v>
      </c>
    </row>
    <row r="1058" spans="18:19">
      <c r="R1058">
        <v>1057</v>
      </c>
      <c r="S1058">
        <v>11</v>
      </c>
    </row>
    <row r="1059" spans="18:19">
      <c r="R1059">
        <v>1058</v>
      </c>
      <c r="S1059">
        <v>10</v>
      </c>
    </row>
    <row r="1060" spans="18:19">
      <c r="R1060">
        <v>1059</v>
      </c>
      <c r="S1060">
        <v>13</v>
      </c>
    </row>
    <row r="1061" spans="18:19">
      <c r="R1061">
        <v>1060</v>
      </c>
      <c r="S1061">
        <v>13</v>
      </c>
    </row>
    <row r="1062" spans="18:19">
      <c r="R1062">
        <v>1061</v>
      </c>
      <c r="S1062">
        <v>14</v>
      </c>
    </row>
    <row r="1063" spans="18:19">
      <c r="R1063">
        <v>1062</v>
      </c>
      <c r="S1063">
        <v>14</v>
      </c>
    </row>
    <row r="1064" spans="18:19">
      <c r="R1064">
        <v>1063</v>
      </c>
      <c r="S1064">
        <v>11</v>
      </c>
    </row>
    <row r="1065" spans="18:19">
      <c r="R1065">
        <v>1064</v>
      </c>
      <c r="S1065">
        <v>12</v>
      </c>
    </row>
    <row r="1066" spans="18:19">
      <c r="R1066">
        <v>1065</v>
      </c>
      <c r="S1066">
        <v>11</v>
      </c>
    </row>
    <row r="1067" spans="18:19">
      <c r="R1067">
        <v>1066</v>
      </c>
      <c r="S1067">
        <v>14</v>
      </c>
    </row>
    <row r="1068" spans="18:19">
      <c r="R1068">
        <v>1067</v>
      </c>
      <c r="S1068">
        <v>11</v>
      </c>
    </row>
    <row r="1069" spans="18:19">
      <c r="R1069">
        <v>1068</v>
      </c>
      <c r="S1069">
        <v>11</v>
      </c>
    </row>
    <row r="1070" spans="18:19">
      <c r="R1070">
        <v>1069</v>
      </c>
      <c r="S1070">
        <v>12</v>
      </c>
    </row>
    <row r="1071" spans="18:19">
      <c r="R1071">
        <v>1070</v>
      </c>
      <c r="S1071">
        <v>13</v>
      </c>
    </row>
    <row r="1072" spans="18:19">
      <c r="R1072">
        <v>1071</v>
      </c>
      <c r="S1072">
        <v>13</v>
      </c>
    </row>
    <row r="1073" spans="18:19">
      <c r="R1073">
        <v>1072</v>
      </c>
      <c r="S1073">
        <v>12</v>
      </c>
    </row>
    <row r="1074" spans="18:19">
      <c r="R1074">
        <v>1073</v>
      </c>
      <c r="S1074">
        <v>12</v>
      </c>
    </row>
    <row r="1075" spans="18:19">
      <c r="R1075">
        <v>1074</v>
      </c>
      <c r="S1075">
        <v>13</v>
      </c>
    </row>
    <row r="1076" spans="18:19">
      <c r="R1076">
        <v>1075</v>
      </c>
      <c r="S1076">
        <v>12</v>
      </c>
    </row>
    <row r="1077" spans="18:19">
      <c r="R1077">
        <v>1076</v>
      </c>
      <c r="S1077">
        <v>12</v>
      </c>
    </row>
    <row r="1078" spans="18:19">
      <c r="R1078">
        <v>1077</v>
      </c>
      <c r="S1078">
        <v>12</v>
      </c>
    </row>
    <row r="1079" spans="18:19">
      <c r="R1079">
        <v>1078</v>
      </c>
      <c r="S1079">
        <v>12</v>
      </c>
    </row>
    <row r="1080" spans="18:19">
      <c r="R1080">
        <v>1079</v>
      </c>
      <c r="S1080">
        <v>12</v>
      </c>
    </row>
    <row r="1081" spans="18:19">
      <c r="R1081">
        <v>1080</v>
      </c>
      <c r="S1081">
        <v>12</v>
      </c>
    </row>
    <row r="1082" spans="18:19">
      <c r="R1082">
        <v>1081</v>
      </c>
      <c r="S1082">
        <v>11</v>
      </c>
    </row>
    <row r="1083" spans="18:19">
      <c r="R1083">
        <v>1082</v>
      </c>
      <c r="S1083">
        <v>12</v>
      </c>
    </row>
    <row r="1084" spans="18:19">
      <c r="R1084">
        <v>1083</v>
      </c>
      <c r="S1084">
        <v>13</v>
      </c>
    </row>
    <row r="1085" spans="18:19">
      <c r="R1085">
        <v>1084</v>
      </c>
      <c r="S1085">
        <v>14</v>
      </c>
    </row>
    <row r="1086" spans="18:19">
      <c r="R1086">
        <v>1085</v>
      </c>
      <c r="S1086">
        <v>11</v>
      </c>
    </row>
    <row r="1087" spans="18:19">
      <c r="R1087">
        <v>1086</v>
      </c>
      <c r="S1087">
        <v>10</v>
      </c>
    </row>
    <row r="1088" spans="18:19">
      <c r="R1088">
        <v>1087</v>
      </c>
      <c r="S1088">
        <v>20</v>
      </c>
    </row>
    <row r="1089" spans="18:19">
      <c r="R1089">
        <v>1088</v>
      </c>
      <c r="S1089">
        <v>11</v>
      </c>
    </row>
    <row r="1090" spans="18:19">
      <c r="R1090">
        <v>1089</v>
      </c>
      <c r="S1090">
        <v>10</v>
      </c>
    </row>
    <row r="1091" spans="18:19">
      <c r="R1091">
        <v>1090</v>
      </c>
      <c r="S1091">
        <v>11</v>
      </c>
    </row>
    <row r="1092" spans="18:19">
      <c r="R1092">
        <v>1091</v>
      </c>
      <c r="S1092">
        <v>12</v>
      </c>
    </row>
    <row r="1093" spans="18:19">
      <c r="R1093">
        <v>1092</v>
      </c>
      <c r="S1093">
        <v>12</v>
      </c>
    </row>
    <row r="1094" spans="18:19">
      <c r="R1094">
        <v>1093</v>
      </c>
      <c r="S1094">
        <v>11</v>
      </c>
    </row>
    <row r="1095" spans="18:19">
      <c r="R1095">
        <v>1094</v>
      </c>
      <c r="S1095">
        <v>12</v>
      </c>
    </row>
    <row r="1096" spans="18:19">
      <c r="R1096">
        <v>1095</v>
      </c>
      <c r="S1096">
        <v>12</v>
      </c>
    </row>
    <row r="1097" spans="18:19">
      <c r="R1097">
        <v>1096</v>
      </c>
      <c r="S1097">
        <v>13</v>
      </c>
    </row>
    <row r="1098" spans="18:19">
      <c r="R1098">
        <v>1097</v>
      </c>
      <c r="S1098">
        <v>13</v>
      </c>
    </row>
    <row r="1099" spans="18:19">
      <c r="R1099">
        <v>1098</v>
      </c>
      <c r="S1099">
        <v>14</v>
      </c>
    </row>
    <row r="1100" spans="18:19">
      <c r="R1100">
        <v>1099</v>
      </c>
      <c r="S1100">
        <v>12</v>
      </c>
    </row>
    <row r="1101" spans="18:19">
      <c r="R1101">
        <v>1100</v>
      </c>
      <c r="S1101">
        <v>11</v>
      </c>
    </row>
    <row r="1102" spans="18:19">
      <c r="R1102">
        <v>1101</v>
      </c>
      <c r="S1102">
        <v>14</v>
      </c>
    </row>
    <row r="1103" spans="18:19">
      <c r="R1103">
        <v>1102</v>
      </c>
      <c r="S1103">
        <v>13</v>
      </c>
    </row>
    <row r="1104" spans="18:19">
      <c r="R1104">
        <v>1103</v>
      </c>
      <c r="S1104">
        <v>12</v>
      </c>
    </row>
    <row r="1105" spans="18:19">
      <c r="R1105">
        <v>1104</v>
      </c>
      <c r="S1105">
        <v>12</v>
      </c>
    </row>
    <row r="1106" spans="18:19">
      <c r="R1106">
        <v>1105</v>
      </c>
      <c r="S1106">
        <v>12</v>
      </c>
    </row>
    <row r="1107" spans="18:19">
      <c r="R1107">
        <v>1106</v>
      </c>
      <c r="S1107">
        <v>12</v>
      </c>
    </row>
    <row r="1108" spans="18:19">
      <c r="R1108">
        <v>1107</v>
      </c>
      <c r="S1108">
        <v>10</v>
      </c>
    </row>
    <row r="1109" spans="18:19">
      <c r="R1109">
        <v>1108</v>
      </c>
      <c r="S1109">
        <v>12</v>
      </c>
    </row>
    <row r="1110" spans="18:19">
      <c r="R1110">
        <v>1109</v>
      </c>
      <c r="S1110">
        <v>11</v>
      </c>
    </row>
    <row r="1111" spans="18:19">
      <c r="R1111">
        <v>1110</v>
      </c>
      <c r="S1111">
        <v>12</v>
      </c>
    </row>
    <row r="1112" spans="18:19">
      <c r="R1112">
        <v>1111</v>
      </c>
      <c r="S1112">
        <v>13</v>
      </c>
    </row>
    <row r="1113" spans="18:19">
      <c r="R1113">
        <v>1112</v>
      </c>
      <c r="S1113">
        <v>12</v>
      </c>
    </row>
    <row r="1114" spans="18:19">
      <c r="R1114">
        <v>1113</v>
      </c>
      <c r="S1114">
        <v>11</v>
      </c>
    </row>
    <row r="1115" spans="18:19">
      <c r="R1115">
        <v>1114</v>
      </c>
      <c r="S1115">
        <v>10</v>
      </c>
    </row>
    <row r="1116" spans="18:19">
      <c r="R1116">
        <v>1115</v>
      </c>
      <c r="S1116">
        <v>10</v>
      </c>
    </row>
    <row r="1117" spans="18:19">
      <c r="R1117">
        <v>1116</v>
      </c>
      <c r="S1117">
        <v>12</v>
      </c>
    </row>
    <row r="1118" spans="18:19">
      <c r="R1118">
        <v>1117</v>
      </c>
      <c r="S1118">
        <v>11</v>
      </c>
    </row>
    <row r="1119" spans="18:19">
      <c r="R1119">
        <v>1118</v>
      </c>
      <c r="S1119">
        <v>15</v>
      </c>
    </row>
    <row r="1120" spans="18:19">
      <c r="R1120">
        <v>1119</v>
      </c>
      <c r="S1120">
        <v>12</v>
      </c>
    </row>
    <row r="1121" spans="18:19">
      <c r="R1121">
        <v>1120</v>
      </c>
      <c r="S1121">
        <v>11</v>
      </c>
    </row>
    <row r="1122" spans="18:19">
      <c r="R1122">
        <v>1121</v>
      </c>
      <c r="S1122">
        <v>12</v>
      </c>
    </row>
    <row r="1123" spans="18:19">
      <c r="R1123">
        <v>1122</v>
      </c>
      <c r="S1123">
        <v>12</v>
      </c>
    </row>
    <row r="1124" spans="18:19">
      <c r="R1124">
        <v>1123</v>
      </c>
      <c r="S1124">
        <v>11</v>
      </c>
    </row>
    <row r="1125" spans="18:19">
      <c r="R1125">
        <v>1124</v>
      </c>
      <c r="S1125">
        <v>12</v>
      </c>
    </row>
    <row r="1126" spans="18:19">
      <c r="R1126">
        <v>1125</v>
      </c>
      <c r="S1126">
        <v>11</v>
      </c>
    </row>
    <row r="1127" spans="18:19">
      <c r="R1127">
        <v>1126</v>
      </c>
      <c r="S1127">
        <v>14</v>
      </c>
    </row>
    <row r="1128" spans="18:19">
      <c r="R1128">
        <v>1127</v>
      </c>
      <c r="S1128">
        <v>12</v>
      </c>
    </row>
    <row r="1129" spans="18:19">
      <c r="R1129">
        <v>1128</v>
      </c>
      <c r="S1129">
        <v>11</v>
      </c>
    </row>
    <row r="1130" spans="18:19">
      <c r="R1130">
        <v>1129</v>
      </c>
      <c r="S1130">
        <v>12</v>
      </c>
    </row>
    <row r="1131" spans="18:19">
      <c r="R1131">
        <v>1130</v>
      </c>
      <c r="S1131">
        <v>10</v>
      </c>
    </row>
    <row r="1132" spans="18:19">
      <c r="R1132">
        <v>1131</v>
      </c>
      <c r="S1132">
        <v>12</v>
      </c>
    </row>
    <row r="1133" spans="18:19">
      <c r="R1133">
        <v>1132</v>
      </c>
      <c r="S1133">
        <v>12</v>
      </c>
    </row>
    <row r="1134" spans="18:19">
      <c r="R1134">
        <v>1133</v>
      </c>
      <c r="S1134">
        <v>11</v>
      </c>
    </row>
    <row r="1135" spans="18:19">
      <c r="R1135">
        <v>1134</v>
      </c>
      <c r="S1135">
        <v>12</v>
      </c>
    </row>
    <row r="1136" spans="18:19">
      <c r="R1136">
        <v>1135</v>
      </c>
      <c r="S1136">
        <v>12</v>
      </c>
    </row>
    <row r="1137" spans="18:19">
      <c r="R1137">
        <v>1136</v>
      </c>
      <c r="S1137">
        <v>12</v>
      </c>
    </row>
    <row r="1138" spans="18:19">
      <c r="R1138">
        <v>1137</v>
      </c>
      <c r="S1138">
        <v>10</v>
      </c>
    </row>
    <row r="1139" spans="18:19">
      <c r="R1139">
        <v>1138</v>
      </c>
      <c r="S1139">
        <v>13</v>
      </c>
    </row>
    <row r="1140" spans="18:19">
      <c r="R1140">
        <v>1139</v>
      </c>
      <c r="S1140">
        <v>13</v>
      </c>
    </row>
    <row r="1141" spans="18:19">
      <c r="R1141">
        <v>1140</v>
      </c>
      <c r="S1141">
        <v>13</v>
      </c>
    </row>
    <row r="1142" spans="18:19">
      <c r="R1142">
        <v>1141</v>
      </c>
      <c r="S1142">
        <v>11</v>
      </c>
    </row>
    <row r="1143" spans="18:19">
      <c r="R1143">
        <v>1142</v>
      </c>
      <c r="S1143">
        <v>15</v>
      </c>
    </row>
    <row r="1144" spans="18:19">
      <c r="R1144">
        <v>1143</v>
      </c>
      <c r="S1144">
        <v>11</v>
      </c>
    </row>
    <row r="1145" spans="18:19">
      <c r="R1145">
        <v>1144</v>
      </c>
      <c r="S1145">
        <v>13</v>
      </c>
    </row>
    <row r="1146" spans="18:19">
      <c r="R1146">
        <v>1145</v>
      </c>
      <c r="S1146">
        <v>12</v>
      </c>
    </row>
    <row r="1147" spans="18:19">
      <c r="R1147">
        <v>1146</v>
      </c>
      <c r="S1147">
        <v>13</v>
      </c>
    </row>
    <row r="1148" spans="18:19">
      <c r="R1148">
        <v>1147</v>
      </c>
      <c r="S1148">
        <v>11</v>
      </c>
    </row>
    <row r="1149" spans="18:19">
      <c r="R1149">
        <v>1148</v>
      </c>
      <c r="S1149">
        <v>12</v>
      </c>
    </row>
    <row r="1150" spans="18:19">
      <c r="R1150">
        <v>1149</v>
      </c>
      <c r="S1150">
        <v>13</v>
      </c>
    </row>
    <row r="1151" spans="18:19">
      <c r="R1151">
        <v>1150</v>
      </c>
      <c r="S1151">
        <v>10</v>
      </c>
    </row>
    <row r="1152" spans="18:19">
      <c r="R1152">
        <v>1151</v>
      </c>
      <c r="S1152">
        <v>13</v>
      </c>
    </row>
    <row r="1153" spans="18:19">
      <c r="R1153">
        <v>1152</v>
      </c>
      <c r="S1153">
        <v>12</v>
      </c>
    </row>
    <row r="1154" spans="18:19">
      <c r="R1154">
        <v>1153</v>
      </c>
      <c r="S1154">
        <v>11</v>
      </c>
    </row>
    <row r="1155" spans="18:19">
      <c r="R1155">
        <v>1154</v>
      </c>
      <c r="S1155">
        <v>12</v>
      </c>
    </row>
    <row r="1156" spans="18:19">
      <c r="R1156">
        <v>1155</v>
      </c>
      <c r="S1156">
        <v>11</v>
      </c>
    </row>
    <row r="1157" spans="18:19">
      <c r="R1157">
        <v>1156</v>
      </c>
      <c r="S1157">
        <v>11</v>
      </c>
    </row>
    <row r="1158" spans="18:19">
      <c r="R1158">
        <v>1157</v>
      </c>
      <c r="S1158">
        <v>12</v>
      </c>
    </row>
    <row r="1159" spans="18:19">
      <c r="R1159">
        <v>1158</v>
      </c>
      <c r="S1159">
        <v>14</v>
      </c>
    </row>
    <row r="1160" spans="18:19">
      <c r="R1160">
        <v>1159</v>
      </c>
      <c r="S1160">
        <v>11</v>
      </c>
    </row>
    <row r="1161" spans="18:19">
      <c r="R1161">
        <v>1160</v>
      </c>
      <c r="S1161">
        <v>10</v>
      </c>
    </row>
    <row r="1162" spans="18:19">
      <c r="R1162">
        <v>1161</v>
      </c>
      <c r="S1162">
        <v>12</v>
      </c>
    </row>
    <row r="1163" spans="18:19">
      <c r="R1163">
        <v>1162</v>
      </c>
      <c r="S1163">
        <v>12</v>
      </c>
    </row>
    <row r="1164" spans="18:19">
      <c r="R1164">
        <v>1163</v>
      </c>
      <c r="S1164">
        <v>12</v>
      </c>
    </row>
    <row r="1165" spans="18:19">
      <c r="R1165">
        <v>1164</v>
      </c>
      <c r="S1165">
        <v>11</v>
      </c>
    </row>
    <row r="1166" spans="18:19">
      <c r="R1166">
        <v>1165</v>
      </c>
      <c r="S1166">
        <v>10</v>
      </c>
    </row>
    <row r="1167" spans="18:19">
      <c r="R1167">
        <v>1166</v>
      </c>
      <c r="S1167">
        <v>11</v>
      </c>
    </row>
    <row r="1168" spans="18:19">
      <c r="R1168">
        <v>1167</v>
      </c>
      <c r="S1168">
        <v>11</v>
      </c>
    </row>
    <row r="1169" spans="18:19">
      <c r="R1169">
        <v>1168</v>
      </c>
      <c r="S1169">
        <v>12</v>
      </c>
    </row>
    <row r="1170" spans="18:19">
      <c r="R1170">
        <v>1169</v>
      </c>
      <c r="S1170">
        <v>12</v>
      </c>
    </row>
    <row r="1171" spans="18:19">
      <c r="R1171">
        <v>1170</v>
      </c>
      <c r="S1171">
        <v>11</v>
      </c>
    </row>
    <row r="1172" spans="18:19">
      <c r="R1172">
        <v>1171</v>
      </c>
      <c r="S1172">
        <v>11</v>
      </c>
    </row>
    <row r="1173" spans="18:19">
      <c r="R1173">
        <v>1172</v>
      </c>
      <c r="S1173">
        <v>15</v>
      </c>
    </row>
    <row r="1174" spans="18:19">
      <c r="R1174">
        <v>1173</v>
      </c>
      <c r="S1174">
        <v>14</v>
      </c>
    </row>
    <row r="1175" spans="18:19">
      <c r="R1175">
        <v>1174</v>
      </c>
      <c r="S1175">
        <v>11</v>
      </c>
    </row>
    <row r="1176" spans="18:19">
      <c r="R1176">
        <v>1175</v>
      </c>
      <c r="S1176">
        <v>12</v>
      </c>
    </row>
    <row r="1177" spans="18:19">
      <c r="R1177">
        <v>1176</v>
      </c>
      <c r="S1177">
        <v>12</v>
      </c>
    </row>
    <row r="1178" spans="18:19">
      <c r="R1178">
        <v>1177</v>
      </c>
      <c r="S1178">
        <v>12</v>
      </c>
    </row>
    <row r="1179" spans="18:19">
      <c r="R1179">
        <v>1178</v>
      </c>
      <c r="S1179">
        <v>11</v>
      </c>
    </row>
    <row r="1180" spans="18:19">
      <c r="R1180">
        <v>1179</v>
      </c>
      <c r="S1180">
        <v>11</v>
      </c>
    </row>
    <row r="1181" spans="18:19">
      <c r="R1181">
        <v>1180</v>
      </c>
      <c r="S1181">
        <v>12</v>
      </c>
    </row>
    <row r="1182" spans="18:19">
      <c r="R1182">
        <v>1181</v>
      </c>
      <c r="S1182">
        <v>11</v>
      </c>
    </row>
    <row r="1183" spans="18:19">
      <c r="R1183">
        <v>1182</v>
      </c>
      <c r="S1183">
        <v>15</v>
      </c>
    </row>
    <row r="1184" spans="18:19">
      <c r="R1184">
        <v>1183</v>
      </c>
      <c r="S1184">
        <v>11</v>
      </c>
    </row>
    <row r="1185" spans="18:19">
      <c r="R1185">
        <v>1184</v>
      </c>
      <c r="S1185">
        <v>12</v>
      </c>
    </row>
    <row r="1186" spans="18:19">
      <c r="R1186">
        <v>1185</v>
      </c>
      <c r="S1186">
        <v>13</v>
      </c>
    </row>
    <row r="1187" spans="18:19">
      <c r="R1187">
        <v>1186</v>
      </c>
      <c r="S1187">
        <v>12</v>
      </c>
    </row>
    <row r="1188" spans="18:19">
      <c r="R1188">
        <v>1187</v>
      </c>
      <c r="S1188">
        <v>13</v>
      </c>
    </row>
    <row r="1189" spans="18:19">
      <c r="R1189">
        <v>1188</v>
      </c>
      <c r="S1189">
        <v>12</v>
      </c>
    </row>
    <row r="1190" spans="18:19">
      <c r="R1190">
        <v>1189</v>
      </c>
      <c r="S1190">
        <v>10</v>
      </c>
    </row>
    <row r="1191" spans="18:19">
      <c r="R1191">
        <v>1190</v>
      </c>
      <c r="S1191">
        <v>11</v>
      </c>
    </row>
    <row r="1192" spans="18:19">
      <c r="R1192">
        <v>1191</v>
      </c>
      <c r="S1192">
        <v>11</v>
      </c>
    </row>
    <row r="1193" spans="18:19">
      <c r="R1193">
        <v>1192</v>
      </c>
      <c r="S1193">
        <v>10</v>
      </c>
    </row>
    <row r="1194" spans="18:19">
      <c r="R1194">
        <v>1193</v>
      </c>
      <c r="S1194">
        <v>10</v>
      </c>
    </row>
    <row r="1195" spans="18:19">
      <c r="R1195">
        <v>1194</v>
      </c>
      <c r="S1195">
        <v>11</v>
      </c>
    </row>
    <row r="1196" spans="18:19">
      <c r="R1196">
        <v>1195</v>
      </c>
      <c r="S1196">
        <v>11</v>
      </c>
    </row>
    <row r="1197" spans="18:19">
      <c r="R1197">
        <v>1196</v>
      </c>
      <c r="S1197">
        <v>10</v>
      </c>
    </row>
    <row r="1198" spans="18:19">
      <c r="R1198">
        <v>1197</v>
      </c>
      <c r="S1198">
        <v>12</v>
      </c>
    </row>
    <row r="1199" spans="18:19">
      <c r="R1199">
        <v>1198</v>
      </c>
      <c r="S1199">
        <v>12</v>
      </c>
    </row>
    <row r="1200" spans="18:19">
      <c r="R1200">
        <v>1199</v>
      </c>
      <c r="S1200">
        <v>11</v>
      </c>
    </row>
    <row r="1201" spans="18:19">
      <c r="R1201">
        <v>1200</v>
      </c>
      <c r="S1201">
        <v>11</v>
      </c>
    </row>
    <row r="1202" spans="18:19">
      <c r="R1202">
        <v>1201</v>
      </c>
      <c r="S1202">
        <v>13</v>
      </c>
    </row>
    <row r="1203" spans="18:19">
      <c r="R1203">
        <v>1202</v>
      </c>
      <c r="S1203">
        <v>11</v>
      </c>
    </row>
    <row r="1204" spans="18:19">
      <c r="R1204">
        <v>1203</v>
      </c>
      <c r="S1204">
        <v>11</v>
      </c>
    </row>
    <row r="1205" spans="18:19">
      <c r="R1205">
        <v>1204</v>
      </c>
      <c r="S1205">
        <v>13</v>
      </c>
    </row>
    <row r="1206" spans="18:19">
      <c r="R1206">
        <v>1205</v>
      </c>
      <c r="S1206">
        <v>10</v>
      </c>
    </row>
    <row r="1207" spans="18:19">
      <c r="R1207">
        <v>1206</v>
      </c>
      <c r="S1207">
        <v>13</v>
      </c>
    </row>
    <row r="1208" spans="18:19">
      <c r="R1208">
        <v>1207</v>
      </c>
      <c r="S1208">
        <v>10</v>
      </c>
    </row>
    <row r="1209" spans="18:19">
      <c r="R1209">
        <v>1208</v>
      </c>
      <c r="S1209">
        <v>10</v>
      </c>
    </row>
    <row r="1210" spans="18:19">
      <c r="R1210">
        <v>1209</v>
      </c>
      <c r="S1210">
        <v>12</v>
      </c>
    </row>
    <row r="1211" spans="18:19">
      <c r="R1211">
        <v>1210</v>
      </c>
      <c r="S1211">
        <v>11</v>
      </c>
    </row>
    <row r="1212" spans="18:19">
      <c r="R1212">
        <v>1211</v>
      </c>
      <c r="S1212">
        <v>11</v>
      </c>
    </row>
    <row r="1213" spans="18:19">
      <c r="R1213">
        <v>1212</v>
      </c>
      <c r="S1213">
        <v>11</v>
      </c>
    </row>
    <row r="1214" spans="18:19">
      <c r="R1214">
        <v>1213</v>
      </c>
      <c r="S1214">
        <v>15</v>
      </c>
    </row>
    <row r="1215" spans="18:19">
      <c r="R1215">
        <v>1214</v>
      </c>
      <c r="S1215">
        <v>11</v>
      </c>
    </row>
    <row r="1216" spans="18:19">
      <c r="R1216">
        <v>1215</v>
      </c>
      <c r="S1216">
        <v>10</v>
      </c>
    </row>
    <row r="1217" spans="18:19">
      <c r="R1217">
        <v>1216</v>
      </c>
      <c r="S1217">
        <v>10</v>
      </c>
    </row>
    <row r="1218" spans="18:19">
      <c r="R1218">
        <v>1217</v>
      </c>
      <c r="S1218">
        <v>10</v>
      </c>
    </row>
    <row r="1219" spans="18:19">
      <c r="R1219">
        <v>1218</v>
      </c>
      <c r="S1219">
        <v>12</v>
      </c>
    </row>
    <row r="1220" spans="18:19">
      <c r="R1220">
        <v>1219</v>
      </c>
      <c r="S1220">
        <v>13</v>
      </c>
    </row>
    <row r="1221" spans="18:19">
      <c r="R1221">
        <v>1220</v>
      </c>
      <c r="S1221">
        <v>12</v>
      </c>
    </row>
    <row r="1222" spans="18:19">
      <c r="R1222">
        <v>1221</v>
      </c>
      <c r="S1222">
        <v>14</v>
      </c>
    </row>
    <row r="1223" spans="18:19">
      <c r="R1223">
        <v>1222</v>
      </c>
      <c r="S1223">
        <v>14</v>
      </c>
    </row>
    <row r="1224" spans="18:19">
      <c r="R1224">
        <v>1223</v>
      </c>
      <c r="S1224">
        <v>14</v>
      </c>
    </row>
    <row r="1225" spans="18:19">
      <c r="R1225">
        <v>1224</v>
      </c>
      <c r="S1225">
        <v>12</v>
      </c>
    </row>
    <row r="1226" spans="18:19">
      <c r="R1226">
        <v>1225</v>
      </c>
      <c r="S1226">
        <v>13</v>
      </c>
    </row>
    <row r="1227" spans="18:19">
      <c r="R1227">
        <v>1226</v>
      </c>
      <c r="S1227">
        <v>10</v>
      </c>
    </row>
    <row r="1228" spans="18:19">
      <c r="R1228">
        <v>1227</v>
      </c>
      <c r="S1228">
        <v>10</v>
      </c>
    </row>
    <row r="1229" spans="18:19">
      <c r="R1229">
        <v>1228</v>
      </c>
      <c r="S1229">
        <v>12</v>
      </c>
    </row>
    <row r="1230" spans="18:19">
      <c r="R1230">
        <v>1229</v>
      </c>
      <c r="S1230">
        <v>11</v>
      </c>
    </row>
    <row r="1231" spans="18:19">
      <c r="R1231">
        <v>1230</v>
      </c>
      <c r="S1231">
        <v>11</v>
      </c>
    </row>
    <row r="1232" spans="18:19">
      <c r="R1232">
        <v>1231</v>
      </c>
      <c r="S1232">
        <v>11</v>
      </c>
    </row>
    <row r="1233" spans="18:19">
      <c r="R1233">
        <v>1232</v>
      </c>
      <c r="S1233">
        <v>11</v>
      </c>
    </row>
    <row r="1234" spans="18:19">
      <c r="R1234">
        <v>1233</v>
      </c>
      <c r="S1234">
        <v>10</v>
      </c>
    </row>
    <row r="1235" spans="18:19">
      <c r="R1235">
        <v>1234</v>
      </c>
      <c r="S1235">
        <v>14</v>
      </c>
    </row>
    <row r="1236" spans="18:19">
      <c r="R1236">
        <v>1235</v>
      </c>
      <c r="S1236">
        <v>11</v>
      </c>
    </row>
    <row r="1237" spans="18:19">
      <c r="R1237">
        <v>1236</v>
      </c>
      <c r="S1237">
        <v>12</v>
      </c>
    </row>
    <row r="1238" spans="18:19">
      <c r="R1238">
        <v>1237</v>
      </c>
      <c r="S1238">
        <v>15</v>
      </c>
    </row>
    <row r="1239" spans="18:19">
      <c r="R1239">
        <v>1238</v>
      </c>
      <c r="S1239">
        <v>10</v>
      </c>
    </row>
    <row r="1240" spans="18:19">
      <c r="R1240">
        <v>1239</v>
      </c>
      <c r="S1240">
        <v>11</v>
      </c>
    </row>
    <row r="1241" spans="18:19">
      <c r="R1241">
        <v>1240</v>
      </c>
      <c r="S1241">
        <v>14</v>
      </c>
    </row>
    <row r="1242" spans="18:19">
      <c r="R1242">
        <v>1241</v>
      </c>
      <c r="S1242">
        <v>13</v>
      </c>
    </row>
    <row r="1243" spans="18:19">
      <c r="R1243">
        <v>1242</v>
      </c>
      <c r="S1243">
        <v>12</v>
      </c>
    </row>
    <row r="1244" spans="18:19">
      <c r="R1244">
        <v>1243</v>
      </c>
      <c r="S1244">
        <v>18</v>
      </c>
    </row>
    <row r="1245" spans="18:19">
      <c r="R1245">
        <v>1244</v>
      </c>
      <c r="S1245">
        <v>12</v>
      </c>
    </row>
    <row r="1246" spans="18:19">
      <c r="R1246">
        <v>1245</v>
      </c>
      <c r="S1246">
        <v>13</v>
      </c>
    </row>
    <row r="1247" spans="18:19">
      <c r="R1247">
        <v>1246</v>
      </c>
      <c r="S1247">
        <v>13</v>
      </c>
    </row>
    <row r="1248" spans="18:19">
      <c r="R1248">
        <v>1247</v>
      </c>
      <c r="S1248">
        <v>12</v>
      </c>
    </row>
    <row r="1249" spans="18:19">
      <c r="R1249">
        <v>1248</v>
      </c>
      <c r="S1249">
        <v>14</v>
      </c>
    </row>
    <row r="1250" spans="18:19">
      <c r="R1250">
        <v>1249</v>
      </c>
      <c r="S1250">
        <v>11</v>
      </c>
    </row>
    <row r="1251" spans="18:19">
      <c r="R1251">
        <v>1250</v>
      </c>
      <c r="S1251">
        <v>11</v>
      </c>
    </row>
    <row r="1252" spans="18:19">
      <c r="R1252">
        <v>1251</v>
      </c>
      <c r="S1252">
        <v>12</v>
      </c>
    </row>
    <row r="1253" spans="18:19">
      <c r="R1253">
        <v>1252</v>
      </c>
      <c r="S1253">
        <v>12</v>
      </c>
    </row>
    <row r="1254" spans="18:19">
      <c r="R1254">
        <v>1253</v>
      </c>
      <c r="S1254">
        <v>13</v>
      </c>
    </row>
    <row r="1255" spans="18:19">
      <c r="R1255">
        <v>1254</v>
      </c>
      <c r="S1255">
        <v>12</v>
      </c>
    </row>
    <row r="1256" spans="18:19">
      <c r="R1256">
        <v>1255</v>
      </c>
      <c r="S1256">
        <v>12</v>
      </c>
    </row>
    <row r="1257" spans="18:19">
      <c r="R1257">
        <v>1256</v>
      </c>
      <c r="S1257">
        <v>12</v>
      </c>
    </row>
    <row r="1258" spans="18:19">
      <c r="R1258">
        <v>1257</v>
      </c>
      <c r="S1258">
        <v>11</v>
      </c>
    </row>
    <row r="1259" spans="18:19">
      <c r="R1259">
        <v>1258</v>
      </c>
      <c r="S1259">
        <v>13</v>
      </c>
    </row>
    <row r="1260" spans="18:19">
      <c r="R1260">
        <v>1259</v>
      </c>
      <c r="S1260">
        <v>12</v>
      </c>
    </row>
    <row r="1261" spans="18:19">
      <c r="R1261">
        <v>1260</v>
      </c>
      <c r="S1261">
        <v>12</v>
      </c>
    </row>
    <row r="1262" spans="18:19">
      <c r="R1262">
        <v>1261</v>
      </c>
      <c r="S1262">
        <v>12</v>
      </c>
    </row>
    <row r="1263" spans="18:19">
      <c r="R1263">
        <v>1262</v>
      </c>
      <c r="S1263">
        <v>14</v>
      </c>
    </row>
    <row r="1264" spans="18:19">
      <c r="R1264">
        <v>1263</v>
      </c>
      <c r="S1264">
        <v>12</v>
      </c>
    </row>
    <row r="1265" spans="18:19">
      <c r="R1265">
        <v>1264</v>
      </c>
      <c r="S1265">
        <v>12</v>
      </c>
    </row>
    <row r="1266" spans="18:19">
      <c r="R1266">
        <v>1265</v>
      </c>
      <c r="S1266">
        <v>13</v>
      </c>
    </row>
    <row r="1267" spans="18:19">
      <c r="R1267">
        <v>1266</v>
      </c>
      <c r="S1267">
        <v>11</v>
      </c>
    </row>
    <row r="1268" spans="18:19">
      <c r="R1268">
        <v>1267</v>
      </c>
      <c r="S1268">
        <v>12</v>
      </c>
    </row>
    <row r="1269" spans="18:19">
      <c r="R1269">
        <v>1268</v>
      </c>
      <c r="S1269">
        <v>10</v>
      </c>
    </row>
    <row r="1270" spans="18:19">
      <c r="R1270">
        <v>1269</v>
      </c>
      <c r="S1270">
        <v>10</v>
      </c>
    </row>
    <row r="1271" spans="18:19">
      <c r="R1271">
        <v>1270</v>
      </c>
      <c r="S1271">
        <v>10</v>
      </c>
    </row>
    <row r="1272" spans="18:19">
      <c r="R1272">
        <v>1271</v>
      </c>
      <c r="S1272">
        <v>16</v>
      </c>
    </row>
    <row r="1273" spans="18:19">
      <c r="R1273">
        <v>1272</v>
      </c>
      <c r="S1273">
        <v>11</v>
      </c>
    </row>
    <row r="1274" spans="18:19">
      <c r="R1274">
        <v>1273</v>
      </c>
      <c r="S1274">
        <v>13</v>
      </c>
    </row>
    <row r="1275" spans="18:19">
      <c r="R1275">
        <v>1274</v>
      </c>
      <c r="S1275">
        <v>11</v>
      </c>
    </row>
    <row r="1276" spans="18:19">
      <c r="R1276">
        <v>1275</v>
      </c>
      <c r="S1276">
        <v>12</v>
      </c>
    </row>
    <row r="1277" spans="18:19">
      <c r="R1277">
        <v>1276</v>
      </c>
      <c r="S1277">
        <v>11</v>
      </c>
    </row>
    <row r="1278" spans="18:19">
      <c r="R1278">
        <v>1277</v>
      </c>
      <c r="S1278">
        <v>16</v>
      </c>
    </row>
    <row r="1279" spans="18:19">
      <c r="R1279">
        <v>1278</v>
      </c>
      <c r="S1279">
        <v>12</v>
      </c>
    </row>
    <row r="1280" spans="18:19">
      <c r="R1280">
        <v>1279</v>
      </c>
      <c r="S1280">
        <v>10</v>
      </c>
    </row>
    <row r="1281" spans="18:19">
      <c r="R1281">
        <v>1280</v>
      </c>
      <c r="S1281">
        <v>11</v>
      </c>
    </row>
    <row r="1282" spans="18:19">
      <c r="R1282">
        <v>1281</v>
      </c>
      <c r="S1282">
        <v>11</v>
      </c>
    </row>
    <row r="1283" spans="18:19">
      <c r="R1283">
        <v>1282</v>
      </c>
      <c r="S1283">
        <v>14</v>
      </c>
    </row>
    <row r="1284" spans="18:19">
      <c r="R1284">
        <v>1283</v>
      </c>
      <c r="S1284">
        <v>11</v>
      </c>
    </row>
    <row r="1285" spans="18:19">
      <c r="R1285">
        <v>1284</v>
      </c>
      <c r="S1285">
        <v>12</v>
      </c>
    </row>
    <row r="1286" spans="18:19">
      <c r="R1286">
        <v>1285</v>
      </c>
      <c r="S1286">
        <v>11</v>
      </c>
    </row>
    <row r="1287" spans="18:19">
      <c r="R1287">
        <v>1286</v>
      </c>
      <c r="S1287">
        <v>12</v>
      </c>
    </row>
    <row r="1288" spans="18:19">
      <c r="R1288">
        <v>1287</v>
      </c>
      <c r="S1288">
        <v>10</v>
      </c>
    </row>
    <row r="1289" spans="18:19">
      <c r="R1289">
        <v>1288</v>
      </c>
      <c r="S1289">
        <v>11</v>
      </c>
    </row>
    <row r="1290" spans="18:19">
      <c r="R1290">
        <v>1289</v>
      </c>
      <c r="S1290">
        <v>13</v>
      </c>
    </row>
    <row r="1291" spans="18:19">
      <c r="R1291">
        <v>1290</v>
      </c>
      <c r="S1291">
        <v>12</v>
      </c>
    </row>
    <row r="1292" spans="18:19">
      <c r="R1292">
        <v>1291</v>
      </c>
      <c r="S1292">
        <v>12</v>
      </c>
    </row>
    <row r="1293" spans="18:19">
      <c r="R1293">
        <v>1292</v>
      </c>
      <c r="S1293">
        <v>11</v>
      </c>
    </row>
    <row r="1294" spans="18:19">
      <c r="R1294">
        <v>1293</v>
      </c>
      <c r="S1294">
        <v>11</v>
      </c>
    </row>
    <row r="1295" spans="18:19">
      <c r="R1295">
        <v>1294</v>
      </c>
      <c r="S1295">
        <v>11</v>
      </c>
    </row>
    <row r="1296" spans="18:19">
      <c r="R1296">
        <v>1295</v>
      </c>
      <c r="S1296">
        <v>12</v>
      </c>
    </row>
    <row r="1297" spans="18:19">
      <c r="R1297">
        <v>1296</v>
      </c>
      <c r="S1297">
        <v>11</v>
      </c>
    </row>
    <row r="1298" spans="18:19">
      <c r="R1298">
        <v>1297</v>
      </c>
      <c r="S1298">
        <v>12</v>
      </c>
    </row>
    <row r="1299" spans="18:19">
      <c r="R1299">
        <v>1298</v>
      </c>
      <c r="S1299">
        <v>14</v>
      </c>
    </row>
    <row r="1300" spans="18:19">
      <c r="R1300">
        <v>1299</v>
      </c>
      <c r="S1300">
        <v>12</v>
      </c>
    </row>
    <row r="1301" spans="18:19">
      <c r="R1301">
        <v>1300</v>
      </c>
      <c r="S1301">
        <v>11</v>
      </c>
    </row>
    <row r="1302" spans="18:19">
      <c r="R1302">
        <v>1301</v>
      </c>
      <c r="S1302">
        <v>11</v>
      </c>
    </row>
    <row r="1303" spans="18:19">
      <c r="R1303">
        <v>1302</v>
      </c>
      <c r="S1303">
        <v>11</v>
      </c>
    </row>
    <row r="1304" spans="18:19">
      <c r="R1304">
        <v>1303</v>
      </c>
      <c r="S1304">
        <v>10</v>
      </c>
    </row>
    <row r="1305" spans="18:19">
      <c r="R1305">
        <v>1304</v>
      </c>
      <c r="S1305">
        <v>14</v>
      </c>
    </row>
    <row r="1306" spans="18:19">
      <c r="R1306">
        <v>1305</v>
      </c>
      <c r="S1306">
        <v>11</v>
      </c>
    </row>
    <row r="1307" spans="18:19">
      <c r="R1307">
        <v>1306</v>
      </c>
      <c r="S1307">
        <v>10</v>
      </c>
    </row>
    <row r="1308" spans="18:19">
      <c r="R1308">
        <v>1307</v>
      </c>
      <c r="S1308">
        <v>11</v>
      </c>
    </row>
    <row r="1309" spans="18:19">
      <c r="R1309">
        <v>1308</v>
      </c>
      <c r="S1309">
        <v>12</v>
      </c>
    </row>
    <row r="1310" spans="18:19">
      <c r="R1310">
        <v>1309</v>
      </c>
      <c r="S1310">
        <v>11</v>
      </c>
    </row>
    <row r="1311" spans="18:19">
      <c r="R1311">
        <v>1310</v>
      </c>
      <c r="S1311">
        <v>11</v>
      </c>
    </row>
    <row r="1312" spans="18:19">
      <c r="R1312">
        <v>1311</v>
      </c>
      <c r="S1312">
        <v>11</v>
      </c>
    </row>
    <row r="1313" spans="18:19">
      <c r="R1313">
        <v>1312</v>
      </c>
      <c r="S1313">
        <v>14</v>
      </c>
    </row>
    <row r="1314" spans="18:19">
      <c r="R1314">
        <v>1313</v>
      </c>
      <c r="S1314">
        <v>12</v>
      </c>
    </row>
    <row r="1315" spans="18:19">
      <c r="R1315">
        <v>1314</v>
      </c>
      <c r="S1315">
        <v>12</v>
      </c>
    </row>
    <row r="1316" spans="18:19">
      <c r="R1316">
        <v>1315</v>
      </c>
      <c r="S1316">
        <v>13</v>
      </c>
    </row>
    <row r="1317" spans="18:19">
      <c r="R1317">
        <v>1316</v>
      </c>
      <c r="S1317">
        <v>14</v>
      </c>
    </row>
    <row r="1318" spans="18:19">
      <c r="R1318">
        <v>1317</v>
      </c>
      <c r="S1318">
        <v>12</v>
      </c>
    </row>
    <row r="1319" spans="18:19">
      <c r="R1319">
        <v>1318</v>
      </c>
      <c r="S1319">
        <v>11</v>
      </c>
    </row>
    <row r="1320" spans="18:19">
      <c r="R1320">
        <v>1319</v>
      </c>
      <c r="S1320">
        <v>12</v>
      </c>
    </row>
    <row r="1321" spans="18:19">
      <c r="R1321">
        <v>1320</v>
      </c>
      <c r="S1321">
        <v>11</v>
      </c>
    </row>
    <row r="1322" spans="18:19">
      <c r="R1322">
        <v>1321</v>
      </c>
      <c r="S1322">
        <v>12</v>
      </c>
    </row>
    <row r="1323" spans="18:19">
      <c r="R1323">
        <v>1322</v>
      </c>
      <c r="S1323">
        <v>15</v>
      </c>
    </row>
    <row r="1324" spans="18:19">
      <c r="R1324">
        <v>1323</v>
      </c>
      <c r="S1324">
        <v>12</v>
      </c>
    </row>
    <row r="1325" spans="18:19">
      <c r="R1325">
        <v>1324</v>
      </c>
      <c r="S1325">
        <v>13</v>
      </c>
    </row>
    <row r="1326" spans="18:19">
      <c r="R1326">
        <v>1325</v>
      </c>
      <c r="S1326">
        <v>10</v>
      </c>
    </row>
    <row r="1327" spans="18:19">
      <c r="R1327">
        <v>1326</v>
      </c>
      <c r="S1327">
        <v>16</v>
      </c>
    </row>
    <row r="1328" spans="18:19">
      <c r="R1328">
        <v>1327</v>
      </c>
      <c r="S1328">
        <v>11</v>
      </c>
    </row>
    <row r="1329" spans="18:19">
      <c r="R1329">
        <v>1328</v>
      </c>
      <c r="S1329">
        <v>11</v>
      </c>
    </row>
    <row r="1330" spans="18:19">
      <c r="R1330">
        <v>1329</v>
      </c>
      <c r="S1330">
        <v>12</v>
      </c>
    </row>
    <row r="1331" spans="18:19">
      <c r="R1331">
        <v>1330</v>
      </c>
      <c r="S1331">
        <v>12</v>
      </c>
    </row>
    <row r="1332" spans="18:19">
      <c r="R1332">
        <v>1331</v>
      </c>
      <c r="S1332">
        <v>11</v>
      </c>
    </row>
    <row r="1333" spans="18:19">
      <c r="R1333">
        <v>1332</v>
      </c>
      <c r="S1333">
        <v>10</v>
      </c>
    </row>
    <row r="1334" spans="18:19">
      <c r="R1334">
        <v>1333</v>
      </c>
      <c r="S1334">
        <v>10</v>
      </c>
    </row>
    <row r="1335" spans="18:19">
      <c r="R1335">
        <v>1334</v>
      </c>
      <c r="S1335">
        <v>11</v>
      </c>
    </row>
    <row r="1336" spans="18:19">
      <c r="R1336">
        <v>1335</v>
      </c>
      <c r="S1336">
        <v>14</v>
      </c>
    </row>
    <row r="1337" spans="18:19">
      <c r="R1337">
        <v>1336</v>
      </c>
      <c r="S1337">
        <v>12</v>
      </c>
    </row>
    <row r="1338" spans="18:19">
      <c r="R1338">
        <v>1337</v>
      </c>
      <c r="S1338">
        <v>12</v>
      </c>
    </row>
    <row r="1339" spans="18:19">
      <c r="R1339">
        <v>1338</v>
      </c>
      <c r="S1339">
        <v>12</v>
      </c>
    </row>
    <row r="1340" spans="18:19">
      <c r="R1340">
        <v>1339</v>
      </c>
      <c r="S1340">
        <v>12</v>
      </c>
    </row>
    <row r="1341" spans="18:19">
      <c r="R1341">
        <v>1340</v>
      </c>
      <c r="S1341">
        <v>14</v>
      </c>
    </row>
    <row r="1342" spans="18:19">
      <c r="R1342">
        <v>1341</v>
      </c>
      <c r="S1342">
        <v>12</v>
      </c>
    </row>
    <row r="1343" spans="18:19">
      <c r="R1343">
        <v>1342</v>
      </c>
      <c r="S1343">
        <v>11</v>
      </c>
    </row>
    <row r="1344" spans="18:19">
      <c r="R1344">
        <v>1343</v>
      </c>
      <c r="S1344">
        <v>12</v>
      </c>
    </row>
    <row r="1345" spans="18:19">
      <c r="R1345">
        <v>1344</v>
      </c>
      <c r="S1345">
        <v>10</v>
      </c>
    </row>
    <row r="1346" spans="18:19">
      <c r="R1346">
        <v>1345</v>
      </c>
      <c r="S1346">
        <v>14</v>
      </c>
    </row>
    <row r="1347" spans="18:19">
      <c r="R1347">
        <v>1346</v>
      </c>
      <c r="S1347">
        <v>11</v>
      </c>
    </row>
    <row r="1348" spans="18:19">
      <c r="R1348">
        <v>1347</v>
      </c>
      <c r="S1348">
        <v>12</v>
      </c>
    </row>
    <row r="1349" spans="18:19">
      <c r="R1349">
        <v>1348</v>
      </c>
      <c r="S1349">
        <v>11</v>
      </c>
    </row>
    <row r="1350" spans="18:19">
      <c r="R1350">
        <v>1349</v>
      </c>
      <c r="S1350">
        <v>12</v>
      </c>
    </row>
    <row r="1351" spans="18:19">
      <c r="R1351">
        <v>1350</v>
      </c>
      <c r="S1351">
        <v>12</v>
      </c>
    </row>
    <row r="1352" spans="18:19">
      <c r="R1352">
        <v>1351</v>
      </c>
      <c r="S1352">
        <v>12</v>
      </c>
    </row>
    <row r="1353" spans="18:19">
      <c r="R1353">
        <v>1352</v>
      </c>
      <c r="S1353">
        <v>13</v>
      </c>
    </row>
    <row r="1354" spans="18:19">
      <c r="R1354">
        <v>1353</v>
      </c>
      <c r="S1354">
        <v>11</v>
      </c>
    </row>
    <row r="1355" spans="18:19">
      <c r="R1355">
        <v>1354</v>
      </c>
      <c r="S1355">
        <v>12</v>
      </c>
    </row>
    <row r="1356" spans="18:19">
      <c r="R1356">
        <v>1355</v>
      </c>
      <c r="S1356">
        <v>14</v>
      </c>
    </row>
    <row r="1357" spans="18:19">
      <c r="R1357">
        <v>1356</v>
      </c>
      <c r="S1357">
        <v>14</v>
      </c>
    </row>
    <row r="1358" spans="18:19">
      <c r="R1358">
        <v>1357</v>
      </c>
      <c r="S1358">
        <v>12</v>
      </c>
    </row>
    <row r="1359" spans="18:19">
      <c r="R1359">
        <v>1358</v>
      </c>
      <c r="S1359">
        <v>11</v>
      </c>
    </row>
    <row r="1360" spans="18:19">
      <c r="R1360">
        <v>1359</v>
      </c>
      <c r="S1360">
        <v>13</v>
      </c>
    </row>
    <row r="1361" spans="18:19">
      <c r="R1361">
        <v>1360</v>
      </c>
      <c r="S1361">
        <v>12</v>
      </c>
    </row>
    <row r="1362" spans="18:19">
      <c r="R1362">
        <v>1361</v>
      </c>
      <c r="S1362">
        <v>15</v>
      </c>
    </row>
    <row r="1363" spans="18:19">
      <c r="R1363">
        <v>1362</v>
      </c>
      <c r="S1363">
        <v>11</v>
      </c>
    </row>
    <row r="1364" spans="18:19">
      <c r="R1364">
        <v>1363</v>
      </c>
      <c r="S1364">
        <v>11</v>
      </c>
    </row>
    <row r="1365" spans="18:19">
      <c r="R1365">
        <v>1364</v>
      </c>
      <c r="S1365">
        <v>10</v>
      </c>
    </row>
    <row r="1366" spans="18:19">
      <c r="R1366">
        <v>1365</v>
      </c>
      <c r="S1366">
        <v>11</v>
      </c>
    </row>
    <row r="1367" spans="18:19">
      <c r="R1367">
        <v>1366</v>
      </c>
      <c r="S1367">
        <v>13</v>
      </c>
    </row>
    <row r="1368" spans="18:19">
      <c r="R1368">
        <v>1367</v>
      </c>
      <c r="S1368">
        <v>11</v>
      </c>
    </row>
    <row r="1369" spans="18:19">
      <c r="R1369">
        <v>1368</v>
      </c>
      <c r="S1369">
        <v>33</v>
      </c>
    </row>
    <row r="1370" spans="18:19">
      <c r="R1370">
        <v>1369</v>
      </c>
      <c r="S1370">
        <v>12</v>
      </c>
    </row>
    <row r="1371" spans="18:19">
      <c r="R1371">
        <v>1370</v>
      </c>
      <c r="S1371">
        <v>15</v>
      </c>
    </row>
    <row r="1372" spans="18:19">
      <c r="R1372">
        <v>1371</v>
      </c>
      <c r="S1372">
        <v>12</v>
      </c>
    </row>
    <row r="1373" spans="18:19">
      <c r="R1373">
        <v>1372</v>
      </c>
      <c r="S1373">
        <v>14</v>
      </c>
    </row>
    <row r="1374" spans="18:19">
      <c r="R1374">
        <v>1373</v>
      </c>
      <c r="S1374">
        <v>12</v>
      </c>
    </row>
    <row r="1375" spans="18:19">
      <c r="R1375">
        <v>1374</v>
      </c>
      <c r="S1375">
        <v>11</v>
      </c>
    </row>
    <row r="1376" spans="18:19">
      <c r="R1376">
        <v>1375</v>
      </c>
      <c r="S1376">
        <v>10</v>
      </c>
    </row>
    <row r="1377" spans="18:19">
      <c r="R1377">
        <v>1376</v>
      </c>
      <c r="S1377">
        <v>13</v>
      </c>
    </row>
    <row r="1378" spans="18:19">
      <c r="R1378">
        <v>1377</v>
      </c>
      <c r="S1378">
        <v>12</v>
      </c>
    </row>
    <row r="1379" spans="18:19">
      <c r="R1379">
        <v>1378</v>
      </c>
      <c r="S1379">
        <v>11</v>
      </c>
    </row>
    <row r="1380" spans="18:19">
      <c r="R1380">
        <v>1379</v>
      </c>
      <c r="S1380">
        <v>11</v>
      </c>
    </row>
    <row r="1381" spans="18:19">
      <c r="R1381">
        <v>1380</v>
      </c>
      <c r="S1381">
        <v>12</v>
      </c>
    </row>
    <row r="1382" spans="18:19">
      <c r="R1382">
        <v>1381</v>
      </c>
      <c r="S1382">
        <v>12</v>
      </c>
    </row>
    <row r="1383" spans="18:19">
      <c r="R1383">
        <v>1382</v>
      </c>
      <c r="S1383">
        <v>12</v>
      </c>
    </row>
    <row r="1384" spans="18:19">
      <c r="R1384">
        <v>1383</v>
      </c>
      <c r="S1384">
        <v>13</v>
      </c>
    </row>
    <row r="1385" spans="18:19">
      <c r="R1385">
        <v>1384</v>
      </c>
      <c r="S1385">
        <v>11</v>
      </c>
    </row>
    <row r="1386" spans="18:19">
      <c r="R1386">
        <v>1385</v>
      </c>
      <c r="S1386">
        <v>10</v>
      </c>
    </row>
    <row r="1387" spans="18:19">
      <c r="R1387">
        <v>1386</v>
      </c>
      <c r="S1387">
        <v>11</v>
      </c>
    </row>
    <row r="1388" spans="18:19">
      <c r="R1388">
        <v>1387</v>
      </c>
      <c r="S1388">
        <v>11</v>
      </c>
    </row>
    <row r="1389" spans="18:19">
      <c r="R1389">
        <v>1388</v>
      </c>
      <c r="S1389">
        <v>13</v>
      </c>
    </row>
    <row r="1390" spans="18:19">
      <c r="R1390">
        <v>1389</v>
      </c>
      <c r="S1390">
        <v>15</v>
      </c>
    </row>
    <row r="1391" spans="18:19">
      <c r="R1391">
        <v>1390</v>
      </c>
      <c r="S1391">
        <v>10</v>
      </c>
    </row>
    <row r="1392" spans="18:19">
      <c r="R1392">
        <v>1391</v>
      </c>
      <c r="S1392">
        <v>12</v>
      </c>
    </row>
    <row r="1393" spans="18:19">
      <c r="R1393">
        <v>1392</v>
      </c>
      <c r="S1393">
        <v>11</v>
      </c>
    </row>
    <row r="1394" spans="18:19">
      <c r="R1394">
        <v>1393</v>
      </c>
      <c r="S1394">
        <v>10</v>
      </c>
    </row>
    <row r="1395" spans="18:19">
      <c r="R1395">
        <v>1394</v>
      </c>
      <c r="S1395">
        <v>14</v>
      </c>
    </row>
    <row r="1396" spans="18:19">
      <c r="R1396">
        <v>1395</v>
      </c>
      <c r="S1396">
        <v>11</v>
      </c>
    </row>
    <row r="1397" spans="18:19">
      <c r="R1397">
        <v>1396</v>
      </c>
      <c r="S1397">
        <v>11</v>
      </c>
    </row>
    <row r="1398" spans="18:19">
      <c r="R1398">
        <v>1397</v>
      </c>
      <c r="S1398">
        <v>10</v>
      </c>
    </row>
    <row r="1399" spans="18:19">
      <c r="R1399">
        <v>1398</v>
      </c>
      <c r="S1399">
        <v>13</v>
      </c>
    </row>
    <row r="1400" spans="18:19">
      <c r="R1400">
        <v>1399</v>
      </c>
      <c r="S1400">
        <v>12</v>
      </c>
    </row>
    <row r="1401" spans="18:19">
      <c r="R1401">
        <v>1400</v>
      </c>
      <c r="S1401">
        <v>11</v>
      </c>
    </row>
    <row r="1402" spans="18:19">
      <c r="R1402">
        <v>1401</v>
      </c>
      <c r="S1402">
        <v>12</v>
      </c>
    </row>
    <row r="1403" spans="18:19">
      <c r="R1403">
        <v>1402</v>
      </c>
      <c r="S1403">
        <v>12</v>
      </c>
    </row>
    <row r="1404" spans="18:19">
      <c r="R1404">
        <v>1403</v>
      </c>
      <c r="S1404">
        <v>12</v>
      </c>
    </row>
    <row r="1405" spans="18:19">
      <c r="R1405">
        <v>1404</v>
      </c>
      <c r="S1405">
        <v>12</v>
      </c>
    </row>
    <row r="1406" spans="18:19">
      <c r="R1406">
        <v>1405</v>
      </c>
      <c r="S1406">
        <v>11</v>
      </c>
    </row>
    <row r="1407" spans="18:19">
      <c r="R1407">
        <v>1406</v>
      </c>
      <c r="S1407">
        <v>10</v>
      </c>
    </row>
    <row r="1408" spans="18:19">
      <c r="R1408">
        <v>1407</v>
      </c>
      <c r="S1408">
        <v>10</v>
      </c>
    </row>
    <row r="1409" spans="18:19">
      <c r="R1409">
        <v>1408</v>
      </c>
      <c r="S1409">
        <v>13</v>
      </c>
    </row>
    <row r="1410" spans="18:19">
      <c r="R1410">
        <v>1409</v>
      </c>
      <c r="S1410">
        <v>14</v>
      </c>
    </row>
    <row r="1411" spans="18:19">
      <c r="R1411">
        <v>1410</v>
      </c>
      <c r="S1411">
        <v>12</v>
      </c>
    </row>
    <row r="1412" spans="18:19">
      <c r="R1412">
        <v>1411</v>
      </c>
      <c r="S1412">
        <v>11</v>
      </c>
    </row>
    <row r="1413" spans="18:19">
      <c r="R1413">
        <v>1412</v>
      </c>
      <c r="S1413">
        <v>11</v>
      </c>
    </row>
    <row r="1414" spans="18:19">
      <c r="R1414">
        <v>1413</v>
      </c>
      <c r="S1414">
        <v>13</v>
      </c>
    </row>
    <row r="1415" spans="18:19">
      <c r="R1415">
        <v>1414</v>
      </c>
      <c r="S1415">
        <v>12</v>
      </c>
    </row>
    <row r="1416" spans="18:19">
      <c r="R1416">
        <v>1415</v>
      </c>
      <c r="S1416">
        <v>11</v>
      </c>
    </row>
    <row r="1417" spans="18:19">
      <c r="R1417">
        <v>1416</v>
      </c>
      <c r="S1417">
        <v>13</v>
      </c>
    </row>
    <row r="1418" spans="18:19">
      <c r="R1418">
        <v>1417</v>
      </c>
      <c r="S1418">
        <v>11</v>
      </c>
    </row>
    <row r="1419" spans="18:19">
      <c r="R1419">
        <v>1418</v>
      </c>
      <c r="S1419">
        <v>13</v>
      </c>
    </row>
    <row r="1420" spans="18:19">
      <c r="R1420">
        <v>1419</v>
      </c>
      <c r="S1420">
        <v>11</v>
      </c>
    </row>
    <row r="1421" spans="18:19">
      <c r="R1421">
        <v>1420</v>
      </c>
      <c r="S1421">
        <v>12</v>
      </c>
    </row>
    <row r="1422" spans="18:19">
      <c r="R1422">
        <v>1421</v>
      </c>
      <c r="S1422">
        <v>12</v>
      </c>
    </row>
    <row r="1423" spans="18:19">
      <c r="R1423">
        <v>1422</v>
      </c>
      <c r="S1423">
        <v>12</v>
      </c>
    </row>
    <row r="1424" spans="18:19">
      <c r="R1424">
        <v>1423</v>
      </c>
      <c r="S1424">
        <v>12</v>
      </c>
    </row>
    <row r="1425" spans="18:19">
      <c r="R1425">
        <v>1424</v>
      </c>
      <c r="S1425">
        <v>11</v>
      </c>
    </row>
    <row r="1426" spans="18:19">
      <c r="R1426">
        <v>1425</v>
      </c>
      <c r="S1426">
        <v>15</v>
      </c>
    </row>
    <row r="1427" spans="18:19">
      <c r="R1427">
        <v>1426</v>
      </c>
      <c r="S1427">
        <v>12</v>
      </c>
    </row>
    <row r="1428" spans="18:19">
      <c r="R1428">
        <v>1427</v>
      </c>
      <c r="S1428">
        <v>11</v>
      </c>
    </row>
    <row r="1429" spans="18:19">
      <c r="R1429">
        <v>1428</v>
      </c>
      <c r="S1429">
        <v>12</v>
      </c>
    </row>
    <row r="1430" spans="18:19">
      <c r="R1430">
        <v>1429</v>
      </c>
      <c r="S1430">
        <v>10</v>
      </c>
    </row>
    <row r="1431" spans="18:19">
      <c r="R1431">
        <v>1430</v>
      </c>
      <c r="S1431">
        <v>12</v>
      </c>
    </row>
    <row r="1432" spans="18:19">
      <c r="R1432">
        <v>1431</v>
      </c>
      <c r="S1432">
        <v>11</v>
      </c>
    </row>
    <row r="1433" spans="18:19">
      <c r="R1433">
        <v>1432</v>
      </c>
      <c r="S1433">
        <v>16</v>
      </c>
    </row>
    <row r="1434" spans="18:19">
      <c r="R1434">
        <v>1433</v>
      </c>
      <c r="S1434">
        <v>13</v>
      </c>
    </row>
    <row r="1435" spans="18:19">
      <c r="R1435">
        <v>1434</v>
      </c>
      <c r="S1435">
        <v>11</v>
      </c>
    </row>
    <row r="1436" spans="18:19">
      <c r="R1436">
        <v>1435</v>
      </c>
      <c r="S1436">
        <v>10</v>
      </c>
    </row>
    <row r="1437" spans="18:19">
      <c r="R1437">
        <v>1436</v>
      </c>
      <c r="S1437">
        <v>11</v>
      </c>
    </row>
    <row r="1438" spans="18:19">
      <c r="R1438">
        <v>1437</v>
      </c>
      <c r="S1438">
        <v>12</v>
      </c>
    </row>
    <row r="1439" spans="18:19">
      <c r="R1439">
        <v>1438</v>
      </c>
      <c r="S1439">
        <v>12</v>
      </c>
    </row>
    <row r="1440" spans="18:19">
      <c r="R1440">
        <v>1439</v>
      </c>
      <c r="S1440">
        <v>12</v>
      </c>
    </row>
    <row r="1441" spans="18:19">
      <c r="R1441">
        <v>1440</v>
      </c>
      <c r="S1441">
        <v>15</v>
      </c>
    </row>
    <row r="1442" spans="18:19">
      <c r="R1442">
        <v>1441</v>
      </c>
      <c r="S1442">
        <v>11</v>
      </c>
    </row>
    <row r="1443" spans="18:19">
      <c r="R1443">
        <v>1442</v>
      </c>
      <c r="S1443">
        <v>13</v>
      </c>
    </row>
    <row r="1444" spans="18:19">
      <c r="R1444">
        <v>1443</v>
      </c>
      <c r="S1444">
        <v>12</v>
      </c>
    </row>
    <row r="1445" spans="18:19">
      <c r="R1445">
        <v>1444</v>
      </c>
      <c r="S1445">
        <v>11</v>
      </c>
    </row>
    <row r="1446" spans="18:19">
      <c r="R1446">
        <v>1445</v>
      </c>
      <c r="S1446">
        <v>11</v>
      </c>
    </row>
    <row r="1447" spans="18:19">
      <c r="R1447">
        <v>1446</v>
      </c>
      <c r="S1447">
        <v>11</v>
      </c>
    </row>
    <row r="1448" spans="18:19">
      <c r="R1448">
        <v>1447</v>
      </c>
      <c r="S1448">
        <v>12</v>
      </c>
    </row>
    <row r="1449" spans="18:19">
      <c r="R1449">
        <v>1448</v>
      </c>
      <c r="S1449">
        <v>11</v>
      </c>
    </row>
    <row r="1450" spans="18:19">
      <c r="R1450">
        <v>1449</v>
      </c>
      <c r="S1450">
        <v>12</v>
      </c>
    </row>
    <row r="1451" spans="18:19">
      <c r="R1451">
        <v>1450</v>
      </c>
      <c r="S1451">
        <v>13</v>
      </c>
    </row>
    <row r="1452" spans="18:19">
      <c r="R1452">
        <v>1451</v>
      </c>
      <c r="S1452">
        <v>12</v>
      </c>
    </row>
    <row r="1453" spans="18:19">
      <c r="R1453">
        <v>1452</v>
      </c>
      <c r="S1453">
        <v>13</v>
      </c>
    </row>
    <row r="1454" spans="18:19">
      <c r="R1454">
        <v>1453</v>
      </c>
      <c r="S1454">
        <v>13</v>
      </c>
    </row>
    <row r="1455" spans="18:19">
      <c r="R1455">
        <v>1454</v>
      </c>
      <c r="S1455">
        <v>15</v>
      </c>
    </row>
    <row r="1456" spans="18:19">
      <c r="R1456">
        <v>1455</v>
      </c>
      <c r="S1456">
        <v>12</v>
      </c>
    </row>
    <row r="1457" spans="18:19">
      <c r="R1457">
        <v>1456</v>
      </c>
      <c r="S1457">
        <v>12</v>
      </c>
    </row>
    <row r="1458" spans="18:19">
      <c r="R1458">
        <v>1457</v>
      </c>
      <c r="S1458">
        <v>13</v>
      </c>
    </row>
    <row r="1459" spans="18:19">
      <c r="R1459">
        <v>1458</v>
      </c>
      <c r="S1459">
        <v>13</v>
      </c>
    </row>
    <row r="1460" spans="18:19">
      <c r="R1460">
        <v>1459</v>
      </c>
      <c r="S1460">
        <v>13</v>
      </c>
    </row>
    <row r="1461" spans="18:19">
      <c r="R1461">
        <v>1460</v>
      </c>
      <c r="S1461">
        <v>13</v>
      </c>
    </row>
    <row r="1462" spans="18:19">
      <c r="R1462">
        <v>1461</v>
      </c>
      <c r="S1462">
        <v>13</v>
      </c>
    </row>
    <row r="1463" spans="18:19">
      <c r="R1463">
        <v>1462</v>
      </c>
      <c r="S1463">
        <v>11</v>
      </c>
    </row>
    <row r="1464" spans="18:19">
      <c r="R1464">
        <v>1463</v>
      </c>
      <c r="S1464">
        <v>11</v>
      </c>
    </row>
    <row r="1465" spans="18:19">
      <c r="R1465">
        <v>1464</v>
      </c>
      <c r="S1465">
        <v>12</v>
      </c>
    </row>
    <row r="1466" spans="18:19">
      <c r="R1466">
        <v>1465</v>
      </c>
      <c r="S1466">
        <v>12</v>
      </c>
    </row>
    <row r="1467" spans="18:19">
      <c r="R1467">
        <v>1466</v>
      </c>
      <c r="S1467">
        <v>11</v>
      </c>
    </row>
    <row r="1468" spans="18:19">
      <c r="R1468">
        <v>1467</v>
      </c>
      <c r="S1468">
        <v>13</v>
      </c>
    </row>
    <row r="1469" spans="18:19">
      <c r="R1469">
        <v>1468</v>
      </c>
      <c r="S1469">
        <v>12</v>
      </c>
    </row>
    <row r="1470" spans="18:19">
      <c r="R1470">
        <v>1469</v>
      </c>
      <c r="S1470">
        <v>13</v>
      </c>
    </row>
    <row r="1471" spans="18:19">
      <c r="R1471">
        <v>1470</v>
      </c>
      <c r="S1471">
        <v>12</v>
      </c>
    </row>
    <row r="1472" spans="18:19">
      <c r="R1472">
        <v>1471</v>
      </c>
      <c r="S1472">
        <v>14</v>
      </c>
    </row>
    <row r="1473" spans="18:19">
      <c r="R1473">
        <v>1472</v>
      </c>
      <c r="S1473">
        <v>11</v>
      </c>
    </row>
    <row r="1474" spans="18:19">
      <c r="R1474">
        <v>1473</v>
      </c>
      <c r="S1474">
        <v>12</v>
      </c>
    </row>
    <row r="1475" spans="18:19">
      <c r="R1475">
        <v>1474</v>
      </c>
      <c r="S1475">
        <v>11</v>
      </c>
    </row>
    <row r="1476" spans="18:19">
      <c r="R1476">
        <v>1475</v>
      </c>
      <c r="S1476">
        <v>14</v>
      </c>
    </row>
    <row r="1477" spans="18:19">
      <c r="R1477">
        <v>1476</v>
      </c>
      <c r="S1477">
        <v>12</v>
      </c>
    </row>
    <row r="1478" spans="18:19">
      <c r="R1478">
        <v>1477</v>
      </c>
      <c r="S1478">
        <v>13</v>
      </c>
    </row>
    <row r="1479" spans="18:19">
      <c r="R1479">
        <v>1478</v>
      </c>
      <c r="S1479">
        <v>16</v>
      </c>
    </row>
    <row r="1480" spans="18:19">
      <c r="R1480">
        <v>1479</v>
      </c>
      <c r="S1480">
        <v>10</v>
      </c>
    </row>
    <row r="1481" spans="18:19">
      <c r="R1481">
        <v>1480</v>
      </c>
      <c r="S1481">
        <v>11</v>
      </c>
    </row>
    <row r="1482" spans="18:19">
      <c r="R1482">
        <v>1481</v>
      </c>
      <c r="S1482">
        <v>12</v>
      </c>
    </row>
    <row r="1483" spans="18:19">
      <c r="R1483">
        <v>1482</v>
      </c>
      <c r="S1483">
        <v>10</v>
      </c>
    </row>
    <row r="1484" spans="18:19">
      <c r="R1484">
        <v>1483</v>
      </c>
      <c r="S1484">
        <v>11</v>
      </c>
    </row>
    <row r="1485" spans="18:19">
      <c r="R1485">
        <v>1484</v>
      </c>
      <c r="S1485">
        <v>12</v>
      </c>
    </row>
    <row r="1486" spans="18:19">
      <c r="R1486">
        <v>1485</v>
      </c>
      <c r="S1486">
        <v>14</v>
      </c>
    </row>
    <row r="1487" spans="18:19">
      <c r="R1487">
        <v>1486</v>
      </c>
      <c r="S1487">
        <v>12</v>
      </c>
    </row>
    <row r="1488" spans="18:19">
      <c r="R1488">
        <v>1487</v>
      </c>
      <c r="S1488">
        <v>11</v>
      </c>
    </row>
    <row r="1489" spans="18:19">
      <c r="R1489">
        <v>1488</v>
      </c>
      <c r="S1489">
        <v>11</v>
      </c>
    </row>
    <row r="1490" spans="18:19">
      <c r="R1490">
        <v>1489</v>
      </c>
      <c r="S1490">
        <v>13</v>
      </c>
    </row>
    <row r="1491" spans="18:19">
      <c r="R1491">
        <v>1490</v>
      </c>
      <c r="S1491">
        <v>12</v>
      </c>
    </row>
    <row r="1492" spans="18:19">
      <c r="R1492">
        <v>1491</v>
      </c>
      <c r="S1492">
        <v>11</v>
      </c>
    </row>
    <row r="1493" spans="18:19">
      <c r="R1493">
        <v>1492</v>
      </c>
      <c r="S1493">
        <v>10</v>
      </c>
    </row>
    <row r="1494" spans="18:19">
      <c r="R1494">
        <v>1493</v>
      </c>
      <c r="S1494">
        <v>11</v>
      </c>
    </row>
    <row r="1495" spans="18:19">
      <c r="R1495">
        <v>1494</v>
      </c>
      <c r="S1495">
        <v>12</v>
      </c>
    </row>
    <row r="1496" spans="18:19">
      <c r="R1496">
        <v>1495</v>
      </c>
      <c r="S1496">
        <v>12</v>
      </c>
    </row>
    <row r="1497" spans="18:19">
      <c r="R1497">
        <v>1496</v>
      </c>
      <c r="S1497">
        <v>11</v>
      </c>
    </row>
    <row r="1498" spans="18:19">
      <c r="R1498">
        <v>1497</v>
      </c>
      <c r="S1498">
        <v>11</v>
      </c>
    </row>
    <row r="1499" spans="18:19">
      <c r="R1499">
        <v>1498</v>
      </c>
      <c r="S1499">
        <v>10</v>
      </c>
    </row>
    <row r="1500" spans="18:19">
      <c r="R1500">
        <v>1499</v>
      </c>
      <c r="S1500">
        <v>12</v>
      </c>
    </row>
    <row r="1501" spans="18:19">
      <c r="R1501">
        <v>1500</v>
      </c>
      <c r="S1501">
        <v>12</v>
      </c>
    </row>
    <row r="1502" spans="18:19">
      <c r="R1502">
        <v>1501</v>
      </c>
      <c r="S1502">
        <v>11</v>
      </c>
    </row>
    <row r="1503" spans="18:19">
      <c r="R1503">
        <v>1502</v>
      </c>
      <c r="S1503">
        <v>12</v>
      </c>
    </row>
    <row r="1504" spans="18:19">
      <c r="R1504">
        <v>1503</v>
      </c>
      <c r="S1504">
        <v>11</v>
      </c>
    </row>
    <row r="1505" spans="18:19">
      <c r="R1505">
        <v>1504</v>
      </c>
      <c r="S1505">
        <v>11</v>
      </c>
    </row>
    <row r="1506" spans="18:19">
      <c r="R1506">
        <v>1505</v>
      </c>
      <c r="S1506">
        <v>11</v>
      </c>
    </row>
    <row r="1507" spans="18:19">
      <c r="R1507">
        <v>1506</v>
      </c>
      <c r="S1507">
        <v>11</v>
      </c>
    </row>
    <row r="1508" spans="18:19">
      <c r="R1508">
        <v>1507</v>
      </c>
      <c r="S1508">
        <v>12</v>
      </c>
    </row>
    <row r="1509" spans="18:19">
      <c r="R1509">
        <v>1508</v>
      </c>
      <c r="S1509">
        <v>11</v>
      </c>
    </row>
    <row r="1510" spans="18:19">
      <c r="R1510">
        <v>1509</v>
      </c>
      <c r="S1510">
        <v>12</v>
      </c>
    </row>
    <row r="1511" spans="18:19">
      <c r="R1511">
        <v>1510</v>
      </c>
      <c r="S1511">
        <v>12</v>
      </c>
    </row>
    <row r="1512" spans="18:19">
      <c r="R1512">
        <v>1511</v>
      </c>
      <c r="S1512">
        <v>10</v>
      </c>
    </row>
    <row r="1513" spans="18:19">
      <c r="R1513">
        <v>1512</v>
      </c>
      <c r="S1513">
        <v>12</v>
      </c>
    </row>
    <row r="1514" spans="18:19">
      <c r="R1514">
        <v>1513</v>
      </c>
      <c r="S1514">
        <v>13</v>
      </c>
    </row>
    <row r="1515" spans="18:19">
      <c r="R1515">
        <v>1514</v>
      </c>
      <c r="S1515">
        <v>12</v>
      </c>
    </row>
    <row r="1516" spans="18:19">
      <c r="R1516">
        <v>1515</v>
      </c>
      <c r="S1516">
        <v>12</v>
      </c>
    </row>
    <row r="1517" spans="18:19">
      <c r="R1517">
        <v>1516</v>
      </c>
      <c r="S1517">
        <v>13</v>
      </c>
    </row>
    <row r="1518" spans="18:19">
      <c r="R1518">
        <v>1517</v>
      </c>
      <c r="S1518">
        <v>12</v>
      </c>
    </row>
    <row r="1519" spans="18:19">
      <c r="R1519">
        <v>1518</v>
      </c>
      <c r="S1519">
        <v>11</v>
      </c>
    </row>
    <row r="1520" spans="18:19">
      <c r="R1520">
        <v>1519</v>
      </c>
      <c r="S1520">
        <v>12</v>
      </c>
    </row>
    <row r="1521" spans="18:19">
      <c r="R1521">
        <v>1520</v>
      </c>
      <c r="S1521">
        <v>14</v>
      </c>
    </row>
    <row r="1522" spans="18:19">
      <c r="R1522">
        <v>1521</v>
      </c>
      <c r="S1522">
        <v>14</v>
      </c>
    </row>
    <row r="1523" spans="18:19">
      <c r="R1523">
        <v>1522</v>
      </c>
      <c r="S1523">
        <v>11</v>
      </c>
    </row>
    <row r="1524" spans="18:19">
      <c r="R1524">
        <v>1523</v>
      </c>
      <c r="S1524">
        <v>11</v>
      </c>
    </row>
    <row r="1525" spans="18:19">
      <c r="R1525">
        <v>1524</v>
      </c>
      <c r="S1525">
        <v>12</v>
      </c>
    </row>
    <row r="1526" spans="18:19">
      <c r="R1526">
        <v>1525</v>
      </c>
      <c r="S1526">
        <v>15</v>
      </c>
    </row>
    <row r="1527" spans="18:19">
      <c r="R1527">
        <v>1526</v>
      </c>
      <c r="S1527">
        <v>11</v>
      </c>
    </row>
    <row r="1528" spans="18:19">
      <c r="R1528">
        <v>1527</v>
      </c>
      <c r="S1528">
        <v>12</v>
      </c>
    </row>
    <row r="1529" spans="18:19">
      <c r="R1529">
        <v>1528</v>
      </c>
      <c r="S1529">
        <v>11</v>
      </c>
    </row>
    <row r="1530" spans="18:19">
      <c r="R1530">
        <v>1529</v>
      </c>
      <c r="S1530">
        <v>12</v>
      </c>
    </row>
    <row r="1531" spans="18:19">
      <c r="R1531">
        <v>1530</v>
      </c>
      <c r="S1531">
        <v>11</v>
      </c>
    </row>
    <row r="1532" spans="18:19">
      <c r="R1532">
        <v>1531</v>
      </c>
      <c r="S1532">
        <v>11</v>
      </c>
    </row>
    <row r="1533" spans="18:19">
      <c r="R1533">
        <v>1532</v>
      </c>
      <c r="S1533">
        <v>12</v>
      </c>
    </row>
    <row r="1534" spans="18:19">
      <c r="R1534">
        <v>1533</v>
      </c>
      <c r="S1534">
        <v>14</v>
      </c>
    </row>
    <row r="1535" spans="18:19">
      <c r="R1535">
        <v>1534</v>
      </c>
      <c r="S1535">
        <v>10</v>
      </c>
    </row>
    <row r="1536" spans="18:19">
      <c r="R1536">
        <v>1535</v>
      </c>
      <c r="S1536">
        <v>13</v>
      </c>
    </row>
    <row r="1537" spans="18:19">
      <c r="R1537">
        <v>1536</v>
      </c>
      <c r="S1537">
        <v>11</v>
      </c>
    </row>
    <row r="1538" spans="18:19">
      <c r="R1538">
        <v>1537</v>
      </c>
      <c r="S1538">
        <v>11</v>
      </c>
    </row>
    <row r="1539" spans="18:19">
      <c r="R1539">
        <v>1538</v>
      </c>
      <c r="S1539">
        <v>12</v>
      </c>
    </row>
    <row r="1540" spans="18:19">
      <c r="R1540">
        <v>1539</v>
      </c>
      <c r="S1540">
        <v>11</v>
      </c>
    </row>
    <row r="1541" spans="18:19">
      <c r="R1541">
        <v>1540</v>
      </c>
      <c r="S1541">
        <v>12</v>
      </c>
    </row>
    <row r="1542" spans="18:19">
      <c r="R1542">
        <v>1541</v>
      </c>
      <c r="S1542">
        <v>11</v>
      </c>
    </row>
    <row r="1543" spans="18:19">
      <c r="R1543">
        <v>1542</v>
      </c>
      <c r="S1543">
        <v>11</v>
      </c>
    </row>
    <row r="1544" spans="18:19">
      <c r="R1544">
        <v>1543</v>
      </c>
      <c r="S1544">
        <v>12</v>
      </c>
    </row>
    <row r="1545" spans="18:19">
      <c r="R1545">
        <v>1544</v>
      </c>
      <c r="S1545">
        <v>11</v>
      </c>
    </row>
    <row r="1546" spans="18:19">
      <c r="R1546">
        <v>1545</v>
      </c>
      <c r="S1546">
        <v>11</v>
      </c>
    </row>
    <row r="1547" spans="18:19">
      <c r="R1547">
        <v>1546</v>
      </c>
      <c r="S1547">
        <v>13</v>
      </c>
    </row>
    <row r="1548" spans="18:19">
      <c r="R1548">
        <v>1547</v>
      </c>
      <c r="S1548">
        <v>10</v>
      </c>
    </row>
    <row r="1549" spans="18:19">
      <c r="R1549">
        <v>1548</v>
      </c>
      <c r="S1549">
        <v>11</v>
      </c>
    </row>
    <row r="1550" spans="18:19">
      <c r="R1550">
        <v>1549</v>
      </c>
      <c r="S1550">
        <v>12</v>
      </c>
    </row>
    <row r="1551" spans="18:19">
      <c r="R1551">
        <v>1550</v>
      </c>
      <c r="S1551">
        <v>11</v>
      </c>
    </row>
    <row r="1552" spans="18:19">
      <c r="R1552">
        <v>1551</v>
      </c>
      <c r="S1552">
        <v>13</v>
      </c>
    </row>
    <row r="1553" spans="18:19">
      <c r="R1553">
        <v>1552</v>
      </c>
      <c r="S1553">
        <v>10</v>
      </c>
    </row>
    <row r="1554" spans="18:19">
      <c r="R1554">
        <v>1553</v>
      </c>
      <c r="S1554">
        <v>10</v>
      </c>
    </row>
    <row r="1555" spans="18:19">
      <c r="R1555">
        <v>1554</v>
      </c>
      <c r="S1555">
        <v>10</v>
      </c>
    </row>
    <row r="1556" spans="18:19">
      <c r="R1556">
        <v>1555</v>
      </c>
      <c r="S1556">
        <v>13</v>
      </c>
    </row>
    <row r="1557" spans="18:19">
      <c r="R1557">
        <v>1556</v>
      </c>
      <c r="S1557">
        <v>14</v>
      </c>
    </row>
    <row r="1558" spans="18:19">
      <c r="R1558">
        <v>1557</v>
      </c>
      <c r="S1558">
        <v>12</v>
      </c>
    </row>
    <row r="1559" spans="18:19">
      <c r="R1559">
        <v>1558</v>
      </c>
      <c r="S1559">
        <v>13</v>
      </c>
    </row>
    <row r="1560" spans="18:19">
      <c r="R1560">
        <v>1559</v>
      </c>
      <c r="S1560">
        <v>12</v>
      </c>
    </row>
    <row r="1561" spans="18:19">
      <c r="R1561">
        <v>1560</v>
      </c>
      <c r="S1561">
        <v>12</v>
      </c>
    </row>
    <row r="1562" spans="18:19">
      <c r="R1562">
        <v>1561</v>
      </c>
      <c r="S1562">
        <v>14</v>
      </c>
    </row>
    <row r="1563" spans="18:19">
      <c r="R1563">
        <v>1562</v>
      </c>
      <c r="S1563">
        <v>12</v>
      </c>
    </row>
    <row r="1564" spans="18:19">
      <c r="R1564">
        <v>1563</v>
      </c>
      <c r="S1564">
        <v>12</v>
      </c>
    </row>
    <row r="1565" spans="18:19">
      <c r="R1565">
        <v>1564</v>
      </c>
      <c r="S1565">
        <v>12</v>
      </c>
    </row>
    <row r="1566" spans="18:19">
      <c r="R1566">
        <v>1565</v>
      </c>
      <c r="S1566">
        <v>13</v>
      </c>
    </row>
    <row r="1567" spans="18:19">
      <c r="R1567">
        <v>1566</v>
      </c>
      <c r="S1567">
        <v>11</v>
      </c>
    </row>
    <row r="1568" spans="18:19">
      <c r="R1568">
        <v>1567</v>
      </c>
      <c r="S1568">
        <v>12</v>
      </c>
    </row>
    <row r="1569" spans="18:19">
      <c r="R1569">
        <v>1568</v>
      </c>
      <c r="S1569">
        <v>11</v>
      </c>
    </row>
    <row r="1570" spans="18:19">
      <c r="R1570">
        <v>1569</v>
      </c>
      <c r="S1570">
        <v>12</v>
      </c>
    </row>
    <row r="1571" spans="18:19">
      <c r="R1571">
        <v>1570</v>
      </c>
      <c r="S1571">
        <v>10</v>
      </c>
    </row>
    <row r="1572" spans="18:19">
      <c r="R1572">
        <v>1571</v>
      </c>
      <c r="S1572">
        <v>11</v>
      </c>
    </row>
    <row r="1573" spans="18:19">
      <c r="R1573">
        <v>1572</v>
      </c>
      <c r="S1573">
        <v>11</v>
      </c>
    </row>
    <row r="1574" spans="18:19">
      <c r="R1574">
        <v>1573</v>
      </c>
      <c r="S1574">
        <v>10</v>
      </c>
    </row>
    <row r="1575" spans="18:19">
      <c r="R1575">
        <v>1574</v>
      </c>
      <c r="S1575">
        <v>11</v>
      </c>
    </row>
    <row r="1576" spans="18:19">
      <c r="R1576">
        <v>1575</v>
      </c>
      <c r="S1576">
        <v>10</v>
      </c>
    </row>
    <row r="1577" spans="18:19">
      <c r="R1577">
        <v>1576</v>
      </c>
      <c r="S1577">
        <v>11</v>
      </c>
    </row>
    <row r="1578" spans="18:19">
      <c r="R1578">
        <v>1577</v>
      </c>
      <c r="S1578">
        <v>13</v>
      </c>
    </row>
    <row r="1579" spans="18:19">
      <c r="R1579">
        <v>1578</v>
      </c>
      <c r="S1579">
        <v>13</v>
      </c>
    </row>
    <row r="1580" spans="18:19">
      <c r="R1580">
        <v>1579</v>
      </c>
      <c r="S1580">
        <v>11</v>
      </c>
    </row>
    <row r="1581" spans="18:19">
      <c r="R1581">
        <v>1580</v>
      </c>
      <c r="S1581">
        <v>12</v>
      </c>
    </row>
    <row r="1582" spans="18:19">
      <c r="R1582">
        <v>1581</v>
      </c>
      <c r="S1582">
        <v>10</v>
      </c>
    </row>
    <row r="1583" spans="18:19">
      <c r="R1583">
        <v>1582</v>
      </c>
      <c r="S1583">
        <v>10</v>
      </c>
    </row>
    <row r="1584" spans="18:19">
      <c r="R1584">
        <v>1583</v>
      </c>
      <c r="S1584">
        <v>10</v>
      </c>
    </row>
    <row r="1585" spans="18:19">
      <c r="R1585">
        <v>1584</v>
      </c>
      <c r="S1585">
        <v>13</v>
      </c>
    </row>
    <row r="1586" spans="18:19">
      <c r="R1586">
        <v>1585</v>
      </c>
      <c r="S1586">
        <v>11</v>
      </c>
    </row>
    <row r="1587" spans="18:19">
      <c r="R1587">
        <v>1586</v>
      </c>
      <c r="S1587">
        <v>12</v>
      </c>
    </row>
    <row r="1588" spans="18:19">
      <c r="R1588">
        <v>1587</v>
      </c>
      <c r="S1588">
        <v>16</v>
      </c>
    </row>
    <row r="1589" spans="18:19">
      <c r="R1589">
        <v>1588</v>
      </c>
      <c r="S1589">
        <v>12</v>
      </c>
    </row>
    <row r="1590" spans="18:19">
      <c r="R1590">
        <v>1589</v>
      </c>
      <c r="S1590">
        <v>12</v>
      </c>
    </row>
    <row r="1591" spans="18:19">
      <c r="R1591">
        <v>1590</v>
      </c>
      <c r="S1591">
        <v>12</v>
      </c>
    </row>
    <row r="1592" spans="18:19">
      <c r="R1592">
        <v>1591</v>
      </c>
      <c r="S1592">
        <v>11</v>
      </c>
    </row>
    <row r="1593" spans="18:19">
      <c r="R1593">
        <v>1592</v>
      </c>
      <c r="S1593">
        <v>14</v>
      </c>
    </row>
    <row r="1594" spans="18:19">
      <c r="R1594">
        <v>1593</v>
      </c>
      <c r="S1594">
        <v>12</v>
      </c>
    </row>
    <row r="1595" spans="18:19">
      <c r="R1595">
        <v>1594</v>
      </c>
      <c r="S1595">
        <v>11</v>
      </c>
    </row>
    <row r="1596" spans="18:19">
      <c r="R1596">
        <v>1595</v>
      </c>
      <c r="S1596">
        <v>10</v>
      </c>
    </row>
    <row r="1597" spans="18:19">
      <c r="R1597">
        <v>1596</v>
      </c>
      <c r="S1597">
        <v>11</v>
      </c>
    </row>
    <row r="1598" spans="18:19">
      <c r="R1598">
        <v>1597</v>
      </c>
      <c r="S1598">
        <v>13</v>
      </c>
    </row>
    <row r="1599" spans="18:19">
      <c r="R1599">
        <v>1598</v>
      </c>
      <c r="S1599">
        <v>11</v>
      </c>
    </row>
    <row r="1600" spans="18:19">
      <c r="R1600">
        <v>1599</v>
      </c>
      <c r="S1600">
        <v>10</v>
      </c>
    </row>
    <row r="1601" spans="18:19">
      <c r="R1601">
        <v>1600</v>
      </c>
      <c r="S1601">
        <v>11</v>
      </c>
    </row>
    <row r="1602" spans="18:19">
      <c r="R1602">
        <v>1601</v>
      </c>
      <c r="S1602">
        <v>13</v>
      </c>
    </row>
    <row r="1603" spans="18:19">
      <c r="R1603">
        <v>1602</v>
      </c>
      <c r="S1603">
        <v>11</v>
      </c>
    </row>
    <row r="1604" spans="18:19">
      <c r="R1604">
        <v>1603</v>
      </c>
      <c r="S1604">
        <v>12</v>
      </c>
    </row>
    <row r="1605" spans="18:19">
      <c r="R1605">
        <v>1604</v>
      </c>
      <c r="S1605">
        <v>11</v>
      </c>
    </row>
    <row r="1606" spans="18:19">
      <c r="R1606">
        <v>1605</v>
      </c>
      <c r="S1606">
        <v>13</v>
      </c>
    </row>
    <row r="1607" spans="18:19">
      <c r="R1607">
        <v>1606</v>
      </c>
      <c r="S1607">
        <v>12</v>
      </c>
    </row>
    <row r="1608" spans="18:19">
      <c r="R1608">
        <v>1607</v>
      </c>
      <c r="S1608">
        <v>11</v>
      </c>
    </row>
    <row r="1609" spans="18:19">
      <c r="R1609">
        <v>1608</v>
      </c>
      <c r="S1609">
        <v>11</v>
      </c>
    </row>
    <row r="1610" spans="18:19">
      <c r="R1610">
        <v>1609</v>
      </c>
      <c r="S1610">
        <v>10</v>
      </c>
    </row>
    <row r="1611" spans="18:19">
      <c r="R1611">
        <v>1610</v>
      </c>
      <c r="S1611">
        <v>13</v>
      </c>
    </row>
    <row r="1612" spans="18:19">
      <c r="R1612">
        <v>1611</v>
      </c>
      <c r="S1612">
        <v>12</v>
      </c>
    </row>
    <row r="1613" spans="18:19">
      <c r="R1613">
        <v>1612</v>
      </c>
      <c r="S1613">
        <v>10</v>
      </c>
    </row>
    <row r="1614" spans="18:19">
      <c r="R1614">
        <v>1613</v>
      </c>
      <c r="S1614">
        <v>11</v>
      </c>
    </row>
    <row r="1615" spans="18:19">
      <c r="R1615">
        <v>1614</v>
      </c>
      <c r="S1615">
        <v>13</v>
      </c>
    </row>
    <row r="1616" spans="18:19">
      <c r="R1616">
        <v>1615</v>
      </c>
      <c r="S1616">
        <v>14</v>
      </c>
    </row>
    <row r="1617" spans="18:19">
      <c r="R1617">
        <v>1616</v>
      </c>
      <c r="S1617">
        <v>12</v>
      </c>
    </row>
    <row r="1618" spans="18:19">
      <c r="R1618">
        <v>1617</v>
      </c>
      <c r="S1618">
        <v>12</v>
      </c>
    </row>
    <row r="1619" spans="18:19">
      <c r="R1619">
        <v>1618</v>
      </c>
      <c r="S1619">
        <v>14</v>
      </c>
    </row>
    <row r="1620" spans="18:19">
      <c r="R1620">
        <v>1619</v>
      </c>
      <c r="S1620">
        <v>11</v>
      </c>
    </row>
    <row r="1621" spans="18:19">
      <c r="R1621">
        <v>1620</v>
      </c>
      <c r="S1621">
        <v>15</v>
      </c>
    </row>
    <row r="1622" spans="18:19">
      <c r="R1622">
        <v>1621</v>
      </c>
      <c r="S1622">
        <v>11</v>
      </c>
    </row>
    <row r="1623" spans="18:19">
      <c r="R1623">
        <v>1622</v>
      </c>
      <c r="S1623">
        <v>16</v>
      </c>
    </row>
    <row r="1624" spans="18:19">
      <c r="R1624">
        <v>1623</v>
      </c>
      <c r="S1624">
        <v>11</v>
      </c>
    </row>
    <row r="1625" spans="18:19">
      <c r="R1625">
        <v>1624</v>
      </c>
      <c r="S1625">
        <v>11</v>
      </c>
    </row>
    <row r="1626" spans="18:19">
      <c r="R1626">
        <v>1625</v>
      </c>
      <c r="S1626">
        <v>13</v>
      </c>
    </row>
    <row r="1627" spans="18:19">
      <c r="R1627">
        <v>1626</v>
      </c>
      <c r="S1627">
        <v>14</v>
      </c>
    </row>
    <row r="1628" spans="18:19">
      <c r="R1628">
        <v>1627</v>
      </c>
      <c r="S1628">
        <v>15</v>
      </c>
    </row>
    <row r="1629" spans="18:19">
      <c r="R1629">
        <v>1628</v>
      </c>
      <c r="S1629">
        <v>14</v>
      </c>
    </row>
    <row r="1630" spans="18:19">
      <c r="R1630">
        <v>1629</v>
      </c>
      <c r="S1630">
        <v>14</v>
      </c>
    </row>
    <row r="1631" spans="18:19">
      <c r="R1631">
        <v>1630</v>
      </c>
      <c r="S1631">
        <v>11</v>
      </c>
    </row>
    <row r="1632" spans="18:19">
      <c r="R1632">
        <v>1631</v>
      </c>
      <c r="S1632">
        <v>11</v>
      </c>
    </row>
    <row r="1633" spans="18:19">
      <c r="R1633">
        <v>1632</v>
      </c>
      <c r="S1633">
        <v>11</v>
      </c>
    </row>
    <row r="1634" spans="18:19">
      <c r="R1634">
        <v>1633</v>
      </c>
      <c r="S1634">
        <v>12</v>
      </c>
    </row>
    <row r="1635" spans="18:19">
      <c r="R1635">
        <v>1634</v>
      </c>
      <c r="S1635">
        <v>11</v>
      </c>
    </row>
    <row r="1636" spans="18:19">
      <c r="R1636">
        <v>1635</v>
      </c>
      <c r="S1636">
        <v>11</v>
      </c>
    </row>
    <row r="1637" spans="18:19">
      <c r="R1637">
        <v>1636</v>
      </c>
      <c r="S1637">
        <v>11</v>
      </c>
    </row>
    <row r="1638" spans="18:19">
      <c r="R1638">
        <v>1637</v>
      </c>
      <c r="S1638">
        <v>12</v>
      </c>
    </row>
    <row r="1639" spans="18:19">
      <c r="R1639">
        <v>1638</v>
      </c>
      <c r="S1639">
        <v>13</v>
      </c>
    </row>
    <row r="1640" spans="18:19">
      <c r="R1640">
        <v>1639</v>
      </c>
      <c r="S1640">
        <v>11</v>
      </c>
    </row>
    <row r="1641" spans="18:19">
      <c r="R1641">
        <v>1640</v>
      </c>
      <c r="S1641">
        <v>11</v>
      </c>
    </row>
    <row r="1642" spans="18:19">
      <c r="R1642">
        <v>1641</v>
      </c>
      <c r="S1642">
        <v>11</v>
      </c>
    </row>
    <row r="1643" spans="18:19">
      <c r="R1643">
        <v>1642</v>
      </c>
      <c r="S1643">
        <v>14</v>
      </c>
    </row>
    <row r="1644" spans="18:19">
      <c r="R1644">
        <v>1643</v>
      </c>
      <c r="S1644">
        <v>10</v>
      </c>
    </row>
    <row r="1645" spans="18:19">
      <c r="R1645">
        <v>1644</v>
      </c>
      <c r="S1645">
        <v>11</v>
      </c>
    </row>
    <row r="1646" spans="18:19">
      <c r="R1646">
        <v>1645</v>
      </c>
      <c r="S1646">
        <v>11</v>
      </c>
    </row>
    <row r="1647" spans="18:19">
      <c r="R1647">
        <v>1646</v>
      </c>
      <c r="S1647">
        <v>12</v>
      </c>
    </row>
    <row r="1648" spans="18:19">
      <c r="R1648">
        <v>1647</v>
      </c>
      <c r="S1648">
        <v>12</v>
      </c>
    </row>
    <row r="1649" spans="18:19">
      <c r="R1649">
        <v>1648</v>
      </c>
      <c r="S1649">
        <v>12</v>
      </c>
    </row>
    <row r="1650" spans="18:19">
      <c r="R1650">
        <v>1649</v>
      </c>
      <c r="S1650">
        <v>11</v>
      </c>
    </row>
    <row r="1651" spans="18:19">
      <c r="R1651">
        <v>1650</v>
      </c>
      <c r="S1651">
        <v>12</v>
      </c>
    </row>
    <row r="1652" spans="18:19">
      <c r="R1652">
        <v>1651</v>
      </c>
      <c r="S1652">
        <v>13</v>
      </c>
    </row>
    <row r="1653" spans="18:19">
      <c r="R1653">
        <v>1652</v>
      </c>
      <c r="S1653">
        <v>12</v>
      </c>
    </row>
    <row r="1654" spans="18:19">
      <c r="R1654">
        <v>1653</v>
      </c>
      <c r="S1654">
        <v>11</v>
      </c>
    </row>
    <row r="1655" spans="18:19">
      <c r="R1655">
        <v>1654</v>
      </c>
      <c r="S1655">
        <v>12</v>
      </c>
    </row>
    <row r="1656" spans="18:19">
      <c r="R1656">
        <v>1655</v>
      </c>
      <c r="S1656">
        <v>11</v>
      </c>
    </row>
    <row r="1657" spans="18:19">
      <c r="R1657">
        <v>1656</v>
      </c>
      <c r="S1657">
        <v>13</v>
      </c>
    </row>
    <row r="1658" spans="18:19">
      <c r="R1658">
        <v>1657</v>
      </c>
      <c r="S1658">
        <v>11</v>
      </c>
    </row>
    <row r="1659" spans="18:19">
      <c r="R1659">
        <v>1658</v>
      </c>
      <c r="S1659">
        <v>11</v>
      </c>
    </row>
    <row r="1660" spans="18:19">
      <c r="R1660">
        <v>1659</v>
      </c>
      <c r="S1660">
        <v>12</v>
      </c>
    </row>
    <row r="1661" spans="18:19">
      <c r="R1661">
        <v>1660</v>
      </c>
      <c r="S1661">
        <v>13</v>
      </c>
    </row>
    <row r="1662" spans="18:19">
      <c r="R1662">
        <v>1661</v>
      </c>
      <c r="S1662">
        <v>12</v>
      </c>
    </row>
    <row r="1663" spans="18:19">
      <c r="R1663">
        <v>1662</v>
      </c>
      <c r="S1663">
        <v>12</v>
      </c>
    </row>
    <row r="1664" spans="18:19">
      <c r="R1664">
        <v>1663</v>
      </c>
      <c r="S1664">
        <v>13</v>
      </c>
    </row>
    <row r="1665" spans="18:19">
      <c r="R1665">
        <v>1664</v>
      </c>
      <c r="S1665">
        <v>10</v>
      </c>
    </row>
    <row r="1666" spans="18:19">
      <c r="R1666">
        <v>1665</v>
      </c>
      <c r="S1666">
        <v>11</v>
      </c>
    </row>
    <row r="1667" spans="18:19">
      <c r="R1667">
        <v>1666</v>
      </c>
      <c r="S1667">
        <v>10</v>
      </c>
    </row>
    <row r="1668" spans="18:19">
      <c r="R1668">
        <v>1667</v>
      </c>
      <c r="S1668">
        <v>13</v>
      </c>
    </row>
    <row r="1669" spans="18:19">
      <c r="R1669">
        <v>1668</v>
      </c>
      <c r="S1669">
        <v>11</v>
      </c>
    </row>
    <row r="1670" spans="18:19">
      <c r="R1670">
        <v>1669</v>
      </c>
      <c r="S1670">
        <v>11</v>
      </c>
    </row>
    <row r="1671" spans="18:19">
      <c r="R1671">
        <v>1670</v>
      </c>
      <c r="S1671">
        <v>12</v>
      </c>
    </row>
    <row r="1672" spans="18:19">
      <c r="R1672">
        <v>1671</v>
      </c>
      <c r="S1672">
        <v>13</v>
      </c>
    </row>
    <row r="1673" spans="18:19">
      <c r="R1673">
        <v>1672</v>
      </c>
      <c r="S1673">
        <v>11</v>
      </c>
    </row>
    <row r="1674" spans="18:19">
      <c r="R1674">
        <v>1673</v>
      </c>
      <c r="S1674">
        <v>10</v>
      </c>
    </row>
    <row r="1675" spans="18:19">
      <c r="R1675">
        <v>1674</v>
      </c>
      <c r="S1675">
        <v>11</v>
      </c>
    </row>
    <row r="1676" spans="18:19">
      <c r="R1676">
        <v>1675</v>
      </c>
      <c r="S1676">
        <v>11</v>
      </c>
    </row>
    <row r="1677" spans="18:19">
      <c r="R1677">
        <v>1676</v>
      </c>
      <c r="S1677">
        <v>10</v>
      </c>
    </row>
    <row r="1678" spans="18:19">
      <c r="R1678">
        <v>1677</v>
      </c>
      <c r="S1678">
        <v>16</v>
      </c>
    </row>
    <row r="1679" spans="18:19">
      <c r="R1679">
        <v>1678</v>
      </c>
      <c r="S1679">
        <v>10</v>
      </c>
    </row>
    <row r="1680" spans="18:19">
      <c r="R1680">
        <v>1679</v>
      </c>
      <c r="S1680">
        <v>12</v>
      </c>
    </row>
    <row r="1681" spans="18:19">
      <c r="R1681">
        <v>1680</v>
      </c>
      <c r="S1681">
        <v>12</v>
      </c>
    </row>
    <row r="1682" spans="18:19">
      <c r="R1682">
        <v>1681</v>
      </c>
      <c r="S1682">
        <v>11</v>
      </c>
    </row>
    <row r="1683" spans="18:19">
      <c r="R1683">
        <v>1682</v>
      </c>
      <c r="S1683">
        <v>11</v>
      </c>
    </row>
    <row r="1684" spans="18:19">
      <c r="R1684">
        <v>1683</v>
      </c>
      <c r="S1684">
        <v>13</v>
      </c>
    </row>
    <row r="1685" spans="18:19">
      <c r="R1685">
        <v>1684</v>
      </c>
      <c r="S1685">
        <v>12</v>
      </c>
    </row>
    <row r="1686" spans="18:19">
      <c r="R1686">
        <v>1685</v>
      </c>
      <c r="S1686">
        <v>11</v>
      </c>
    </row>
    <row r="1687" spans="18:19">
      <c r="R1687">
        <v>1686</v>
      </c>
      <c r="S1687">
        <v>14</v>
      </c>
    </row>
    <row r="1688" spans="18:19">
      <c r="R1688">
        <v>1687</v>
      </c>
      <c r="S1688">
        <v>13</v>
      </c>
    </row>
    <row r="1689" spans="18:19">
      <c r="R1689">
        <v>1688</v>
      </c>
      <c r="S1689">
        <v>14</v>
      </c>
    </row>
    <row r="1690" spans="18:19">
      <c r="R1690">
        <v>1689</v>
      </c>
      <c r="S1690">
        <v>13</v>
      </c>
    </row>
    <row r="1691" spans="18:19">
      <c r="R1691">
        <v>1690</v>
      </c>
      <c r="S1691">
        <v>12</v>
      </c>
    </row>
    <row r="1692" spans="18:19">
      <c r="R1692">
        <v>1691</v>
      </c>
      <c r="S1692">
        <v>13</v>
      </c>
    </row>
    <row r="1693" spans="18:19">
      <c r="R1693">
        <v>1692</v>
      </c>
      <c r="S1693">
        <v>11</v>
      </c>
    </row>
    <row r="1694" spans="18:19">
      <c r="R1694">
        <v>1693</v>
      </c>
      <c r="S1694">
        <v>10</v>
      </c>
    </row>
    <row r="1695" spans="18:19">
      <c r="R1695">
        <v>1694</v>
      </c>
      <c r="S1695">
        <v>10</v>
      </c>
    </row>
    <row r="1696" spans="18:19">
      <c r="R1696">
        <v>1695</v>
      </c>
      <c r="S1696">
        <v>10</v>
      </c>
    </row>
    <row r="1697" spans="18:19">
      <c r="R1697">
        <v>1696</v>
      </c>
      <c r="S1697">
        <v>14</v>
      </c>
    </row>
    <row r="1698" spans="18:19">
      <c r="R1698">
        <v>1697</v>
      </c>
      <c r="S1698">
        <v>10</v>
      </c>
    </row>
    <row r="1699" spans="18:19">
      <c r="R1699">
        <v>1698</v>
      </c>
      <c r="S1699">
        <v>11</v>
      </c>
    </row>
    <row r="1700" spans="18:19">
      <c r="R1700">
        <v>1699</v>
      </c>
      <c r="S1700">
        <v>11</v>
      </c>
    </row>
    <row r="1701" spans="18:19">
      <c r="R1701">
        <v>1700</v>
      </c>
      <c r="S1701">
        <v>14</v>
      </c>
    </row>
    <row r="1702" spans="18:19">
      <c r="R1702">
        <v>1701</v>
      </c>
      <c r="S1702">
        <v>11</v>
      </c>
    </row>
    <row r="1703" spans="18:19">
      <c r="R1703">
        <v>1702</v>
      </c>
      <c r="S1703">
        <v>14</v>
      </c>
    </row>
    <row r="1704" spans="18:19">
      <c r="R1704">
        <v>1703</v>
      </c>
      <c r="S1704">
        <v>12</v>
      </c>
    </row>
    <row r="1705" spans="18:19">
      <c r="R1705">
        <v>1704</v>
      </c>
      <c r="S1705">
        <v>12</v>
      </c>
    </row>
    <row r="1706" spans="18:19">
      <c r="R1706">
        <v>1705</v>
      </c>
      <c r="S1706">
        <v>11</v>
      </c>
    </row>
    <row r="1707" spans="18:19">
      <c r="R1707">
        <v>1706</v>
      </c>
      <c r="S1707">
        <v>11</v>
      </c>
    </row>
    <row r="1708" spans="18:19">
      <c r="R1708">
        <v>1707</v>
      </c>
      <c r="S1708">
        <v>14</v>
      </c>
    </row>
    <row r="1709" spans="18:19">
      <c r="R1709">
        <v>1708</v>
      </c>
      <c r="S1709">
        <v>11</v>
      </c>
    </row>
    <row r="1710" spans="18:19">
      <c r="R1710">
        <v>1709</v>
      </c>
      <c r="S1710">
        <v>11</v>
      </c>
    </row>
    <row r="1711" spans="18:19">
      <c r="R1711">
        <v>1710</v>
      </c>
      <c r="S1711">
        <v>11</v>
      </c>
    </row>
    <row r="1712" spans="18:19">
      <c r="R1712">
        <v>1711</v>
      </c>
      <c r="S1712">
        <v>11</v>
      </c>
    </row>
    <row r="1713" spans="18:19">
      <c r="R1713">
        <v>1712</v>
      </c>
      <c r="S1713">
        <v>12</v>
      </c>
    </row>
    <row r="1714" spans="18:19">
      <c r="R1714">
        <v>1713</v>
      </c>
      <c r="S1714">
        <v>14</v>
      </c>
    </row>
    <row r="1715" spans="18:19">
      <c r="R1715">
        <v>1714</v>
      </c>
      <c r="S1715">
        <v>11</v>
      </c>
    </row>
    <row r="1716" spans="18:19">
      <c r="R1716">
        <v>1715</v>
      </c>
      <c r="S1716">
        <v>15</v>
      </c>
    </row>
    <row r="1717" spans="18:19">
      <c r="R1717">
        <v>1716</v>
      </c>
      <c r="S1717">
        <v>12</v>
      </c>
    </row>
    <row r="1718" spans="18:19">
      <c r="R1718">
        <v>1717</v>
      </c>
      <c r="S1718">
        <v>11</v>
      </c>
    </row>
    <row r="1719" spans="18:19">
      <c r="R1719">
        <v>1718</v>
      </c>
      <c r="S1719">
        <v>11</v>
      </c>
    </row>
    <row r="1720" spans="18:19">
      <c r="R1720">
        <v>1719</v>
      </c>
      <c r="S1720">
        <v>14</v>
      </c>
    </row>
    <row r="1721" spans="18:19">
      <c r="R1721">
        <v>1720</v>
      </c>
      <c r="S1721">
        <v>15</v>
      </c>
    </row>
    <row r="1722" spans="18:19">
      <c r="R1722">
        <v>1721</v>
      </c>
      <c r="S1722">
        <v>10</v>
      </c>
    </row>
    <row r="1723" spans="18:19">
      <c r="R1723">
        <v>1722</v>
      </c>
      <c r="S1723">
        <v>12</v>
      </c>
    </row>
    <row r="1724" spans="18:19">
      <c r="R1724">
        <v>1723</v>
      </c>
      <c r="S1724">
        <v>12</v>
      </c>
    </row>
    <row r="1725" spans="18:19">
      <c r="R1725">
        <v>1724</v>
      </c>
      <c r="S1725">
        <v>11</v>
      </c>
    </row>
    <row r="1726" spans="18:19">
      <c r="R1726">
        <v>1725</v>
      </c>
      <c r="S1726">
        <v>10</v>
      </c>
    </row>
    <row r="1727" spans="18:19">
      <c r="R1727">
        <v>1726</v>
      </c>
      <c r="S1727">
        <v>12</v>
      </c>
    </row>
    <row r="1728" spans="18:19">
      <c r="R1728">
        <v>1727</v>
      </c>
      <c r="S1728">
        <v>13</v>
      </c>
    </row>
    <row r="1729" spans="18:19">
      <c r="R1729">
        <v>1728</v>
      </c>
      <c r="S1729">
        <v>12</v>
      </c>
    </row>
    <row r="1730" spans="18:19">
      <c r="R1730">
        <v>1729</v>
      </c>
      <c r="S1730">
        <v>11</v>
      </c>
    </row>
    <row r="1731" spans="18:19">
      <c r="R1731">
        <v>1730</v>
      </c>
      <c r="S1731">
        <v>13</v>
      </c>
    </row>
    <row r="1732" spans="18:19">
      <c r="R1732">
        <v>1731</v>
      </c>
      <c r="S1732">
        <v>12</v>
      </c>
    </row>
    <row r="1733" spans="18:19">
      <c r="R1733">
        <v>1732</v>
      </c>
      <c r="S1733">
        <v>11</v>
      </c>
    </row>
    <row r="1734" spans="18:19">
      <c r="R1734">
        <v>1733</v>
      </c>
      <c r="S1734">
        <v>13</v>
      </c>
    </row>
    <row r="1735" spans="18:19">
      <c r="R1735">
        <v>1734</v>
      </c>
      <c r="S1735">
        <v>11</v>
      </c>
    </row>
    <row r="1736" spans="18:19">
      <c r="R1736">
        <v>1735</v>
      </c>
      <c r="S1736">
        <v>11</v>
      </c>
    </row>
    <row r="1737" spans="18:19">
      <c r="R1737">
        <v>1736</v>
      </c>
      <c r="S1737">
        <v>14</v>
      </c>
    </row>
    <row r="1738" spans="18:19">
      <c r="R1738">
        <v>1737</v>
      </c>
      <c r="S1738">
        <v>12</v>
      </c>
    </row>
    <row r="1739" spans="18:19">
      <c r="R1739">
        <v>1738</v>
      </c>
      <c r="S1739">
        <v>11</v>
      </c>
    </row>
    <row r="1740" spans="18:19">
      <c r="R1740">
        <v>1739</v>
      </c>
      <c r="S1740">
        <v>12</v>
      </c>
    </row>
    <row r="1741" spans="18:19">
      <c r="R1741">
        <v>1740</v>
      </c>
      <c r="S1741">
        <v>12</v>
      </c>
    </row>
    <row r="1742" spans="18:19">
      <c r="R1742">
        <v>1741</v>
      </c>
      <c r="S1742">
        <v>11</v>
      </c>
    </row>
    <row r="1743" spans="18:19">
      <c r="R1743">
        <v>1742</v>
      </c>
      <c r="S1743">
        <v>11</v>
      </c>
    </row>
    <row r="1744" spans="18:19">
      <c r="R1744">
        <v>1743</v>
      </c>
      <c r="S1744">
        <v>11</v>
      </c>
    </row>
    <row r="1745" spans="18:19">
      <c r="R1745">
        <v>1744</v>
      </c>
      <c r="S1745">
        <v>12</v>
      </c>
    </row>
    <row r="1746" spans="18:19">
      <c r="R1746">
        <v>1745</v>
      </c>
      <c r="S1746">
        <v>13</v>
      </c>
    </row>
    <row r="1747" spans="18:19">
      <c r="R1747">
        <v>1746</v>
      </c>
      <c r="S1747">
        <v>12</v>
      </c>
    </row>
    <row r="1748" spans="18:19">
      <c r="R1748">
        <v>1747</v>
      </c>
      <c r="S1748">
        <v>13</v>
      </c>
    </row>
    <row r="1749" spans="18:19">
      <c r="R1749">
        <v>1748</v>
      </c>
      <c r="S1749">
        <v>13</v>
      </c>
    </row>
    <row r="1750" spans="18:19">
      <c r="R1750">
        <v>1749</v>
      </c>
      <c r="S1750">
        <v>10</v>
      </c>
    </row>
    <row r="1751" spans="18:19">
      <c r="R1751">
        <v>1750</v>
      </c>
      <c r="S1751">
        <v>11</v>
      </c>
    </row>
    <row r="1752" spans="18:19">
      <c r="R1752">
        <v>1751</v>
      </c>
      <c r="S1752">
        <v>12</v>
      </c>
    </row>
    <row r="1753" spans="18:19">
      <c r="R1753">
        <v>1752</v>
      </c>
      <c r="S1753">
        <v>10</v>
      </c>
    </row>
    <row r="1754" spans="18:19">
      <c r="R1754">
        <v>1753</v>
      </c>
      <c r="S1754">
        <v>12</v>
      </c>
    </row>
    <row r="1755" spans="18:19">
      <c r="R1755">
        <v>1754</v>
      </c>
      <c r="S1755">
        <v>12</v>
      </c>
    </row>
    <row r="1756" spans="18:19">
      <c r="R1756">
        <v>1755</v>
      </c>
      <c r="S1756">
        <v>11</v>
      </c>
    </row>
    <row r="1757" spans="18:19">
      <c r="R1757">
        <v>1756</v>
      </c>
      <c r="S1757">
        <v>12</v>
      </c>
    </row>
    <row r="1758" spans="18:19">
      <c r="R1758">
        <v>1757</v>
      </c>
      <c r="S1758">
        <v>12</v>
      </c>
    </row>
    <row r="1759" spans="18:19">
      <c r="R1759">
        <v>1758</v>
      </c>
      <c r="S1759">
        <v>11</v>
      </c>
    </row>
    <row r="1760" spans="18:19">
      <c r="R1760">
        <v>1759</v>
      </c>
      <c r="S1760">
        <v>11</v>
      </c>
    </row>
    <row r="1761" spans="18:19">
      <c r="R1761">
        <v>1760</v>
      </c>
      <c r="S1761">
        <v>13</v>
      </c>
    </row>
    <row r="1762" spans="18:19">
      <c r="R1762">
        <v>1761</v>
      </c>
      <c r="S1762">
        <v>11</v>
      </c>
    </row>
    <row r="1763" spans="18:19">
      <c r="R1763">
        <v>1762</v>
      </c>
      <c r="S1763">
        <v>10</v>
      </c>
    </row>
    <row r="1764" spans="18:19">
      <c r="R1764">
        <v>1763</v>
      </c>
      <c r="S1764">
        <v>12</v>
      </c>
    </row>
    <row r="1765" spans="18:19">
      <c r="R1765">
        <v>1764</v>
      </c>
      <c r="S1765">
        <v>15</v>
      </c>
    </row>
    <row r="1766" spans="18:19">
      <c r="R1766">
        <v>1765</v>
      </c>
      <c r="S1766">
        <v>10</v>
      </c>
    </row>
    <row r="1767" spans="18:19">
      <c r="R1767">
        <v>1766</v>
      </c>
      <c r="S1767">
        <v>11</v>
      </c>
    </row>
    <row r="1768" spans="18:19">
      <c r="R1768">
        <v>1767</v>
      </c>
      <c r="S1768">
        <v>10</v>
      </c>
    </row>
    <row r="1769" spans="18:19">
      <c r="R1769">
        <v>1768</v>
      </c>
      <c r="S1769">
        <v>10</v>
      </c>
    </row>
    <row r="1770" spans="18:19">
      <c r="R1770">
        <v>1769</v>
      </c>
      <c r="S1770">
        <v>11</v>
      </c>
    </row>
    <row r="1771" spans="18:19">
      <c r="R1771">
        <v>1770</v>
      </c>
      <c r="S1771">
        <v>12</v>
      </c>
    </row>
    <row r="1772" spans="18:19">
      <c r="R1772">
        <v>1771</v>
      </c>
      <c r="S1772">
        <v>12</v>
      </c>
    </row>
    <row r="1773" spans="18:19">
      <c r="R1773">
        <v>1772</v>
      </c>
      <c r="S1773">
        <v>11</v>
      </c>
    </row>
    <row r="1774" spans="18:19">
      <c r="R1774">
        <v>1773</v>
      </c>
      <c r="S1774">
        <v>10</v>
      </c>
    </row>
    <row r="1775" spans="18:19">
      <c r="R1775">
        <v>1774</v>
      </c>
      <c r="S1775">
        <v>12</v>
      </c>
    </row>
    <row r="1776" spans="18:19">
      <c r="R1776">
        <v>1775</v>
      </c>
      <c r="S1776">
        <v>12</v>
      </c>
    </row>
    <row r="1777" spans="18:19">
      <c r="R1777">
        <v>1776</v>
      </c>
      <c r="S1777">
        <v>13</v>
      </c>
    </row>
    <row r="1778" spans="18:19">
      <c r="R1778">
        <v>1777</v>
      </c>
      <c r="S1778">
        <v>11</v>
      </c>
    </row>
    <row r="1779" spans="18:19">
      <c r="R1779">
        <v>1778</v>
      </c>
      <c r="S1779">
        <v>12</v>
      </c>
    </row>
    <row r="1780" spans="18:19">
      <c r="R1780">
        <v>1779</v>
      </c>
      <c r="S1780">
        <v>12</v>
      </c>
    </row>
    <row r="1781" spans="18:19">
      <c r="R1781">
        <v>1780</v>
      </c>
      <c r="S1781">
        <v>11</v>
      </c>
    </row>
    <row r="1782" spans="18:19">
      <c r="R1782">
        <v>1781</v>
      </c>
      <c r="S1782">
        <v>11</v>
      </c>
    </row>
    <row r="1783" spans="18:19">
      <c r="R1783">
        <v>1782</v>
      </c>
      <c r="S1783">
        <v>10</v>
      </c>
    </row>
    <row r="1784" spans="18:19">
      <c r="R1784">
        <v>1783</v>
      </c>
      <c r="S1784">
        <v>11</v>
      </c>
    </row>
    <row r="1785" spans="18:19">
      <c r="R1785">
        <v>1784</v>
      </c>
      <c r="S1785">
        <v>11</v>
      </c>
    </row>
    <row r="1786" spans="18:19">
      <c r="R1786">
        <v>1785</v>
      </c>
      <c r="S1786">
        <v>12</v>
      </c>
    </row>
    <row r="1787" spans="18:19">
      <c r="R1787">
        <v>1786</v>
      </c>
      <c r="S1787">
        <v>11</v>
      </c>
    </row>
    <row r="1788" spans="18:19">
      <c r="R1788">
        <v>1787</v>
      </c>
      <c r="S1788">
        <v>11</v>
      </c>
    </row>
    <row r="1789" spans="18:19">
      <c r="R1789">
        <v>1788</v>
      </c>
      <c r="S1789">
        <v>13</v>
      </c>
    </row>
    <row r="1790" spans="18:19">
      <c r="R1790">
        <v>1789</v>
      </c>
      <c r="S1790">
        <v>11</v>
      </c>
    </row>
    <row r="1791" spans="18:19">
      <c r="R1791">
        <v>1790</v>
      </c>
      <c r="S1791">
        <v>12</v>
      </c>
    </row>
    <row r="1792" spans="18:19">
      <c r="R1792">
        <v>1791</v>
      </c>
      <c r="S1792">
        <v>11</v>
      </c>
    </row>
    <row r="1793" spans="18:19">
      <c r="R1793">
        <v>1792</v>
      </c>
      <c r="S1793">
        <v>12</v>
      </c>
    </row>
    <row r="1794" spans="18:19">
      <c r="R1794">
        <v>1793</v>
      </c>
      <c r="S1794">
        <v>10</v>
      </c>
    </row>
    <row r="1795" spans="18:19">
      <c r="R1795">
        <v>1794</v>
      </c>
      <c r="S1795">
        <v>11</v>
      </c>
    </row>
    <row r="1796" spans="18:19">
      <c r="R1796">
        <v>1795</v>
      </c>
      <c r="S1796">
        <v>11</v>
      </c>
    </row>
    <row r="1797" spans="18:19">
      <c r="R1797">
        <v>1796</v>
      </c>
      <c r="S1797">
        <v>11</v>
      </c>
    </row>
    <row r="1798" spans="18:19">
      <c r="R1798">
        <v>1797</v>
      </c>
      <c r="S1798">
        <v>15</v>
      </c>
    </row>
    <row r="1799" spans="18:19">
      <c r="R1799">
        <v>1798</v>
      </c>
      <c r="S1799">
        <v>13</v>
      </c>
    </row>
    <row r="1800" spans="18:19">
      <c r="R1800">
        <v>1799</v>
      </c>
      <c r="S1800">
        <v>13</v>
      </c>
    </row>
    <row r="1801" spans="18:19">
      <c r="R1801">
        <v>1800</v>
      </c>
      <c r="S1801">
        <v>12</v>
      </c>
    </row>
    <row r="1802" spans="18:19">
      <c r="R1802">
        <v>1801</v>
      </c>
      <c r="S1802">
        <v>11</v>
      </c>
    </row>
    <row r="1803" spans="18:19">
      <c r="R1803">
        <v>1802</v>
      </c>
      <c r="S1803">
        <v>12</v>
      </c>
    </row>
    <row r="1804" spans="18:19">
      <c r="R1804">
        <v>1803</v>
      </c>
      <c r="S1804">
        <v>15</v>
      </c>
    </row>
    <row r="1805" spans="18:19">
      <c r="R1805">
        <v>1804</v>
      </c>
      <c r="S1805">
        <v>13</v>
      </c>
    </row>
    <row r="1806" spans="18:19">
      <c r="R1806">
        <v>1805</v>
      </c>
      <c r="S1806">
        <v>12</v>
      </c>
    </row>
    <row r="1807" spans="18:19">
      <c r="R1807">
        <v>1806</v>
      </c>
      <c r="S1807">
        <v>9</v>
      </c>
    </row>
    <row r="1808" spans="18:19">
      <c r="R1808">
        <v>1807</v>
      </c>
      <c r="S1808">
        <v>13</v>
      </c>
    </row>
    <row r="1809" spans="18:19">
      <c r="R1809">
        <v>1808</v>
      </c>
      <c r="S1809">
        <v>12</v>
      </c>
    </row>
    <row r="1810" spans="18:19">
      <c r="R1810">
        <v>1809</v>
      </c>
      <c r="S1810">
        <v>13</v>
      </c>
    </row>
    <row r="1811" spans="18:19">
      <c r="R1811">
        <v>1810</v>
      </c>
      <c r="S1811">
        <v>12</v>
      </c>
    </row>
    <row r="1812" spans="18:19">
      <c r="R1812">
        <v>1811</v>
      </c>
      <c r="S1812">
        <v>12</v>
      </c>
    </row>
    <row r="1813" spans="18:19">
      <c r="R1813">
        <v>1812</v>
      </c>
      <c r="S1813">
        <v>13</v>
      </c>
    </row>
    <row r="1814" spans="18:19">
      <c r="R1814">
        <v>1813</v>
      </c>
      <c r="S1814">
        <v>10</v>
      </c>
    </row>
    <row r="1815" spans="18:19">
      <c r="R1815">
        <v>1814</v>
      </c>
      <c r="S1815">
        <v>12</v>
      </c>
    </row>
    <row r="1816" spans="18:19">
      <c r="R1816">
        <v>1815</v>
      </c>
      <c r="S1816">
        <v>11</v>
      </c>
    </row>
    <row r="1817" spans="18:19">
      <c r="R1817">
        <v>1816</v>
      </c>
      <c r="S1817">
        <v>12</v>
      </c>
    </row>
    <row r="1818" spans="18:19">
      <c r="R1818">
        <v>1817</v>
      </c>
      <c r="S1818">
        <v>11</v>
      </c>
    </row>
    <row r="1819" spans="18:19">
      <c r="R1819">
        <v>1818</v>
      </c>
      <c r="S1819">
        <v>13</v>
      </c>
    </row>
    <row r="1820" spans="18:19">
      <c r="R1820">
        <v>1819</v>
      </c>
      <c r="S1820">
        <v>13</v>
      </c>
    </row>
    <row r="1821" spans="18:19">
      <c r="R1821">
        <v>1820</v>
      </c>
      <c r="S1821">
        <v>12</v>
      </c>
    </row>
    <row r="1822" spans="18:19">
      <c r="R1822">
        <v>1821</v>
      </c>
      <c r="S1822">
        <v>11</v>
      </c>
    </row>
    <row r="1823" spans="18:19">
      <c r="R1823">
        <v>1822</v>
      </c>
      <c r="S1823">
        <v>11</v>
      </c>
    </row>
    <row r="1824" spans="18:19">
      <c r="R1824">
        <v>1823</v>
      </c>
      <c r="S1824">
        <v>12</v>
      </c>
    </row>
    <row r="1825" spans="18:19">
      <c r="R1825">
        <v>1824</v>
      </c>
      <c r="S1825">
        <v>11</v>
      </c>
    </row>
    <row r="1826" spans="18:19">
      <c r="R1826">
        <v>1825</v>
      </c>
      <c r="S1826">
        <v>11</v>
      </c>
    </row>
    <row r="1827" spans="18:19">
      <c r="R1827">
        <v>1826</v>
      </c>
      <c r="S1827">
        <v>11</v>
      </c>
    </row>
    <row r="1828" spans="18:19">
      <c r="R1828">
        <v>1827</v>
      </c>
      <c r="S1828">
        <v>11</v>
      </c>
    </row>
    <row r="1829" spans="18:19">
      <c r="R1829">
        <v>1828</v>
      </c>
      <c r="S1829">
        <v>11</v>
      </c>
    </row>
    <row r="1830" spans="18:19">
      <c r="R1830">
        <v>1829</v>
      </c>
      <c r="S1830">
        <v>11</v>
      </c>
    </row>
    <row r="1831" spans="18:19">
      <c r="R1831">
        <v>1830</v>
      </c>
      <c r="S1831">
        <v>11</v>
      </c>
    </row>
    <row r="1832" spans="18:19">
      <c r="R1832">
        <v>1831</v>
      </c>
      <c r="S1832">
        <v>12</v>
      </c>
    </row>
    <row r="1833" spans="18:19">
      <c r="R1833">
        <v>1832</v>
      </c>
      <c r="S1833">
        <v>11</v>
      </c>
    </row>
    <row r="1834" spans="18:19">
      <c r="R1834">
        <v>1833</v>
      </c>
      <c r="S1834">
        <v>12</v>
      </c>
    </row>
    <row r="1835" spans="18:19">
      <c r="R1835">
        <v>1834</v>
      </c>
      <c r="S1835">
        <v>14</v>
      </c>
    </row>
    <row r="1836" spans="18:19">
      <c r="R1836">
        <v>1835</v>
      </c>
      <c r="S1836">
        <v>12</v>
      </c>
    </row>
    <row r="1837" spans="18:19">
      <c r="R1837">
        <v>1836</v>
      </c>
      <c r="S1837">
        <v>13</v>
      </c>
    </row>
    <row r="1838" spans="18:19">
      <c r="R1838">
        <v>1837</v>
      </c>
      <c r="S1838">
        <v>18</v>
      </c>
    </row>
    <row r="1839" spans="18:19">
      <c r="R1839">
        <v>1838</v>
      </c>
      <c r="S1839">
        <v>12</v>
      </c>
    </row>
    <row r="1840" spans="18:19">
      <c r="R1840">
        <v>1839</v>
      </c>
      <c r="S1840">
        <v>11</v>
      </c>
    </row>
    <row r="1841" spans="18:19">
      <c r="R1841">
        <v>1840</v>
      </c>
      <c r="S1841">
        <v>13</v>
      </c>
    </row>
    <row r="1842" spans="18:19">
      <c r="R1842">
        <v>1841</v>
      </c>
      <c r="S1842">
        <v>17</v>
      </c>
    </row>
    <row r="1843" spans="18:19">
      <c r="R1843">
        <v>1842</v>
      </c>
      <c r="S1843">
        <v>12</v>
      </c>
    </row>
    <row r="1844" spans="18:19">
      <c r="R1844">
        <v>1843</v>
      </c>
      <c r="S1844">
        <v>12</v>
      </c>
    </row>
    <row r="1845" spans="18:19">
      <c r="R1845">
        <v>1844</v>
      </c>
      <c r="S1845">
        <v>10</v>
      </c>
    </row>
    <row r="1846" spans="18:19">
      <c r="R1846">
        <v>1845</v>
      </c>
      <c r="S1846">
        <v>12</v>
      </c>
    </row>
    <row r="1847" spans="18:19">
      <c r="R1847">
        <v>1846</v>
      </c>
      <c r="S1847">
        <v>12</v>
      </c>
    </row>
    <row r="1848" spans="18:19">
      <c r="R1848">
        <v>1847</v>
      </c>
      <c r="S1848">
        <v>11</v>
      </c>
    </row>
    <row r="1849" spans="18:19">
      <c r="R1849">
        <v>1848</v>
      </c>
      <c r="S1849">
        <v>13</v>
      </c>
    </row>
    <row r="1850" spans="18:19">
      <c r="R1850">
        <v>1849</v>
      </c>
      <c r="S1850">
        <v>10</v>
      </c>
    </row>
    <row r="1851" spans="18:19">
      <c r="R1851">
        <v>1850</v>
      </c>
      <c r="S1851">
        <v>12</v>
      </c>
    </row>
    <row r="1852" spans="18:19">
      <c r="R1852">
        <v>1851</v>
      </c>
      <c r="S1852">
        <v>14</v>
      </c>
    </row>
    <row r="1853" spans="18:19">
      <c r="R1853">
        <v>1852</v>
      </c>
      <c r="S1853">
        <v>10</v>
      </c>
    </row>
    <row r="1854" spans="18:19">
      <c r="R1854">
        <v>1853</v>
      </c>
      <c r="S1854">
        <v>11</v>
      </c>
    </row>
    <row r="1855" spans="18:19">
      <c r="R1855">
        <v>1854</v>
      </c>
      <c r="S1855">
        <v>12</v>
      </c>
    </row>
    <row r="1856" spans="18:19">
      <c r="R1856">
        <v>1855</v>
      </c>
      <c r="S1856">
        <v>12</v>
      </c>
    </row>
    <row r="1857" spans="18:19">
      <c r="R1857">
        <v>1856</v>
      </c>
      <c r="S1857">
        <v>13</v>
      </c>
    </row>
    <row r="1858" spans="18:19">
      <c r="R1858">
        <v>1857</v>
      </c>
      <c r="S1858">
        <v>11</v>
      </c>
    </row>
    <row r="1859" spans="18:19">
      <c r="R1859">
        <v>1858</v>
      </c>
      <c r="S1859">
        <v>12</v>
      </c>
    </row>
    <row r="1860" spans="18:19">
      <c r="R1860">
        <v>1859</v>
      </c>
      <c r="S1860">
        <v>13</v>
      </c>
    </row>
    <row r="1861" spans="18:19">
      <c r="R1861">
        <v>1860</v>
      </c>
      <c r="S1861">
        <v>10</v>
      </c>
    </row>
    <row r="1862" spans="18:19">
      <c r="R1862">
        <v>1861</v>
      </c>
      <c r="S1862">
        <v>13</v>
      </c>
    </row>
    <row r="1863" spans="18:19">
      <c r="R1863">
        <v>1862</v>
      </c>
      <c r="S1863">
        <v>10</v>
      </c>
    </row>
    <row r="1864" spans="18:19">
      <c r="R1864">
        <v>1863</v>
      </c>
      <c r="S1864">
        <v>13</v>
      </c>
    </row>
    <row r="1865" spans="18:19">
      <c r="R1865">
        <v>1864</v>
      </c>
      <c r="S1865">
        <v>11</v>
      </c>
    </row>
    <row r="1866" spans="18:19">
      <c r="R1866">
        <v>1865</v>
      </c>
      <c r="S1866">
        <v>11</v>
      </c>
    </row>
    <row r="1867" spans="18:19">
      <c r="R1867">
        <v>1866</v>
      </c>
      <c r="S1867">
        <v>10</v>
      </c>
    </row>
    <row r="1868" spans="18:19">
      <c r="R1868">
        <v>1867</v>
      </c>
      <c r="S1868">
        <v>11</v>
      </c>
    </row>
    <row r="1869" spans="18:19">
      <c r="R1869">
        <v>1868</v>
      </c>
      <c r="S1869">
        <v>12</v>
      </c>
    </row>
    <row r="1870" spans="18:19">
      <c r="R1870">
        <v>1869</v>
      </c>
      <c r="S1870">
        <v>10</v>
      </c>
    </row>
    <row r="1871" spans="18:19">
      <c r="R1871">
        <v>1870</v>
      </c>
      <c r="S1871">
        <v>14</v>
      </c>
    </row>
    <row r="1872" spans="18:19">
      <c r="R1872">
        <v>1871</v>
      </c>
      <c r="S1872">
        <v>13</v>
      </c>
    </row>
    <row r="1873" spans="18:19">
      <c r="R1873">
        <v>1872</v>
      </c>
      <c r="S1873">
        <v>13</v>
      </c>
    </row>
    <row r="1874" spans="18:19">
      <c r="R1874">
        <v>1873</v>
      </c>
      <c r="S1874">
        <v>15</v>
      </c>
    </row>
    <row r="1875" spans="18:19">
      <c r="R1875">
        <v>1874</v>
      </c>
      <c r="S1875">
        <v>11</v>
      </c>
    </row>
    <row r="1876" spans="18:19">
      <c r="R1876">
        <v>1875</v>
      </c>
      <c r="S1876">
        <v>12</v>
      </c>
    </row>
    <row r="1877" spans="18:19">
      <c r="R1877">
        <v>1876</v>
      </c>
      <c r="S1877">
        <v>10</v>
      </c>
    </row>
    <row r="1878" spans="18:19">
      <c r="R1878">
        <v>1877</v>
      </c>
      <c r="S1878">
        <v>13</v>
      </c>
    </row>
    <row r="1879" spans="18:19">
      <c r="R1879">
        <v>1878</v>
      </c>
      <c r="S1879">
        <v>12</v>
      </c>
    </row>
    <row r="1880" spans="18:19">
      <c r="R1880">
        <v>1879</v>
      </c>
      <c r="S1880">
        <v>14</v>
      </c>
    </row>
    <row r="1881" spans="18:19">
      <c r="R1881">
        <v>1880</v>
      </c>
      <c r="S1881">
        <v>13</v>
      </c>
    </row>
    <row r="1882" spans="18:19">
      <c r="R1882">
        <v>1881</v>
      </c>
      <c r="S1882">
        <v>12</v>
      </c>
    </row>
    <row r="1883" spans="18:19">
      <c r="R1883">
        <v>1882</v>
      </c>
      <c r="S1883">
        <v>12</v>
      </c>
    </row>
    <row r="1884" spans="18:19">
      <c r="R1884">
        <v>1883</v>
      </c>
      <c r="S1884">
        <v>10</v>
      </c>
    </row>
    <row r="1885" spans="18:19">
      <c r="R1885">
        <v>1884</v>
      </c>
      <c r="S1885">
        <v>11</v>
      </c>
    </row>
    <row r="1886" spans="18:19">
      <c r="R1886">
        <v>1885</v>
      </c>
      <c r="S1886">
        <v>17</v>
      </c>
    </row>
    <row r="1887" spans="18:19">
      <c r="R1887">
        <v>1886</v>
      </c>
      <c r="S1887">
        <v>12</v>
      </c>
    </row>
    <row r="1888" spans="18:19">
      <c r="R1888">
        <v>1887</v>
      </c>
      <c r="S1888">
        <v>15</v>
      </c>
    </row>
    <row r="1889" spans="18:19">
      <c r="R1889">
        <v>1888</v>
      </c>
      <c r="S1889">
        <v>12</v>
      </c>
    </row>
    <row r="1890" spans="18:19">
      <c r="R1890">
        <v>1889</v>
      </c>
      <c r="S1890">
        <v>12</v>
      </c>
    </row>
    <row r="1891" spans="18:19">
      <c r="R1891">
        <v>1890</v>
      </c>
      <c r="S1891">
        <v>13</v>
      </c>
    </row>
    <row r="1892" spans="18:19">
      <c r="R1892">
        <v>1891</v>
      </c>
      <c r="S1892">
        <v>10</v>
      </c>
    </row>
    <row r="1893" spans="18:19">
      <c r="R1893">
        <v>1892</v>
      </c>
      <c r="S1893">
        <v>12</v>
      </c>
    </row>
    <row r="1894" spans="18:19">
      <c r="R1894">
        <v>1893</v>
      </c>
      <c r="S1894">
        <v>15</v>
      </c>
    </row>
    <row r="1895" spans="18:19">
      <c r="R1895">
        <v>1894</v>
      </c>
      <c r="S1895">
        <v>13</v>
      </c>
    </row>
    <row r="1896" spans="18:19">
      <c r="R1896">
        <v>1895</v>
      </c>
      <c r="S1896">
        <v>13</v>
      </c>
    </row>
    <row r="1897" spans="18:19">
      <c r="R1897">
        <v>1896</v>
      </c>
      <c r="S1897">
        <v>18</v>
      </c>
    </row>
    <row r="1898" spans="18:19">
      <c r="R1898">
        <v>1897</v>
      </c>
      <c r="S1898">
        <v>13</v>
      </c>
    </row>
    <row r="1899" spans="18:19">
      <c r="R1899">
        <v>1898</v>
      </c>
      <c r="S1899">
        <v>11</v>
      </c>
    </row>
    <row r="1900" spans="18:19">
      <c r="R1900">
        <v>1899</v>
      </c>
      <c r="S1900">
        <v>12</v>
      </c>
    </row>
    <row r="1901" spans="18:19">
      <c r="R1901">
        <v>1900</v>
      </c>
      <c r="S1901">
        <v>12</v>
      </c>
    </row>
    <row r="1902" spans="18:19">
      <c r="R1902">
        <v>1901</v>
      </c>
      <c r="S1902">
        <v>12</v>
      </c>
    </row>
    <row r="1903" spans="18:19">
      <c r="R1903">
        <v>1902</v>
      </c>
      <c r="S1903">
        <v>11</v>
      </c>
    </row>
    <row r="1904" spans="18:19">
      <c r="R1904">
        <v>1903</v>
      </c>
      <c r="S1904">
        <v>13</v>
      </c>
    </row>
    <row r="1905" spans="18:19">
      <c r="R1905">
        <v>1904</v>
      </c>
      <c r="S1905">
        <v>16</v>
      </c>
    </row>
    <row r="1906" spans="18:19">
      <c r="R1906">
        <v>1905</v>
      </c>
      <c r="S1906">
        <v>11</v>
      </c>
    </row>
    <row r="1907" spans="18:19">
      <c r="R1907">
        <v>1906</v>
      </c>
      <c r="S1907">
        <v>11</v>
      </c>
    </row>
    <row r="1908" spans="18:19">
      <c r="R1908">
        <v>1907</v>
      </c>
      <c r="S1908">
        <v>11</v>
      </c>
    </row>
    <row r="1909" spans="18:19">
      <c r="R1909">
        <v>1908</v>
      </c>
      <c r="S1909">
        <v>11</v>
      </c>
    </row>
    <row r="1910" spans="18:19">
      <c r="R1910">
        <v>1909</v>
      </c>
      <c r="S1910">
        <v>11</v>
      </c>
    </row>
    <row r="1911" spans="18:19">
      <c r="R1911">
        <v>1910</v>
      </c>
      <c r="S1911">
        <v>12</v>
      </c>
    </row>
    <row r="1912" spans="18:19">
      <c r="R1912">
        <v>1911</v>
      </c>
      <c r="S1912">
        <v>12</v>
      </c>
    </row>
    <row r="1913" spans="18:19">
      <c r="R1913">
        <v>1912</v>
      </c>
      <c r="S1913">
        <v>15</v>
      </c>
    </row>
    <row r="1914" spans="18:19">
      <c r="R1914">
        <v>1913</v>
      </c>
      <c r="S1914">
        <v>10</v>
      </c>
    </row>
    <row r="1915" spans="18:19">
      <c r="R1915">
        <v>1914</v>
      </c>
      <c r="S1915">
        <v>11</v>
      </c>
    </row>
    <row r="1916" spans="18:19">
      <c r="R1916">
        <v>1915</v>
      </c>
      <c r="S1916">
        <v>12</v>
      </c>
    </row>
    <row r="1917" spans="18:19">
      <c r="R1917">
        <v>1916</v>
      </c>
      <c r="S1917">
        <v>12</v>
      </c>
    </row>
    <row r="1918" spans="18:19">
      <c r="R1918">
        <v>1917</v>
      </c>
      <c r="S1918">
        <v>12</v>
      </c>
    </row>
    <row r="1919" spans="18:19">
      <c r="R1919">
        <v>1918</v>
      </c>
      <c r="S1919">
        <v>11</v>
      </c>
    </row>
    <row r="1920" spans="18:19">
      <c r="R1920">
        <v>1919</v>
      </c>
      <c r="S1920">
        <v>11</v>
      </c>
    </row>
    <row r="1921" spans="18:19">
      <c r="R1921">
        <v>1920</v>
      </c>
      <c r="S1921">
        <v>10</v>
      </c>
    </row>
    <row r="1922" spans="18:19">
      <c r="R1922">
        <v>1921</v>
      </c>
      <c r="S1922">
        <v>18</v>
      </c>
    </row>
    <row r="1923" spans="18:19">
      <c r="R1923">
        <v>1922</v>
      </c>
      <c r="S1923">
        <v>13</v>
      </c>
    </row>
    <row r="1924" spans="18:19">
      <c r="R1924">
        <v>1923</v>
      </c>
      <c r="S1924">
        <v>12</v>
      </c>
    </row>
    <row r="1925" spans="18:19">
      <c r="R1925">
        <v>1924</v>
      </c>
      <c r="S1925">
        <v>11</v>
      </c>
    </row>
    <row r="1926" spans="18:19">
      <c r="R1926">
        <v>1925</v>
      </c>
      <c r="S1926">
        <v>16</v>
      </c>
    </row>
    <row r="1927" spans="18:19">
      <c r="R1927">
        <v>1926</v>
      </c>
      <c r="S1927">
        <v>13</v>
      </c>
    </row>
    <row r="1928" spans="18:19">
      <c r="R1928">
        <v>1927</v>
      </c>
      <c r="S1928">
        <v>14</v>
      </c>
    </row>
    <row r="1929" spans="18:19">
      <c r="R1929">
        <v>1928</v>
      </c>
      <c r="S1929">
        <v>14</v>
      </c>
    </row>
    <row r="1930" spans="18:19">
      <c r="R1930">
        <v>1929</v>
      </c>
      <c r="S1930">
        <v>13</v>
      </c>
    </row>
    <row r="1931" spans="18:19">
      <c r="R1931">
        <v>1930</v>
      </c>
      <c r="S1931">
        <v>13</v>
      </c>
    </row>
    <row r="1932" spans="18:19">
      <c r="R1932">
        <v>1931</v>
      </c>
      <c r="S1932">
        <v>12</v>
      </c>
    </row>
    <row r="1933" spans="18:19">
      <c r="R1933">
        <v>1932</v>
      </c>
      <c r="S1933">
        <v>11</v>
      </c>
    </row>
    <row r="1934" spans="18:19">
      <c r="R1934">
        <v>1933</v>
      </c>
      <c r="S1934">
        <v>11</v>
      </c>
    </row>
    <row r="1935" spans="18:19">
      <c r="R1935">
        <v>1934</v>
      </c>
      <c r="S1935">
        <v>10</v>
      </c>
    </row>
    <row r="1936" spans="18:19">
      <c r="R1936">
        <v>1935</v>
      </c>
      <c r="S1936">
        <v>15</v>
      </c>
    </row>
    <row r="1937" spans="18:19">
      <c r="R1937">
        <v>1936</v>
      </c>
      <c r="S1937">
        <v>11</v>
      </c>
    </row>
    <row r="1938" spans="18:19">
      <c r="R1938">
        <v>1937</v>
      </c>
      <c r="S1938">
        <v>12</v>
      </c>
    </row>
    <row r="1939" spans="18:19">
      <c r="R1939">
        <v>1938</v>
      </c>
      <c r="S1939">
        <v>11</v>
      </c>
    </row>
    <row r="1940" spans="18:19">
      <c r="R1940">
        <v>1939</v>
      </c>
      <c r="S1940">
        <v>11</v>
      </c>
    </row>
    <row r="1941" spans="18:19">
      <c r="R1941">
        <v>1940</v>
      </c>
      <c r="S1941">
        <v>12</v>
      </c>
    </row>
    <row r="1942" spans="18:19">
      <c r="R1942">
        <v>1941</v>
      </c>
      <c r="S1942">
        <v>11</v>
      </c>
    </row>
    <row r="1943" spans="18:19">
      <c r="R1943">
        <v>1942</v>
      </c>
      <c r="S1943">
        <v>11</v>
      </c>
    </row>
    <row r="1944" spans="18:19">
      <c r="R1944">
        <v>1943</v>
      </c>
      <c r="S1944">
        <v>12</v>
      </c>
    </row>
    <row r="1945" spans="18:19">
      <c r="R1945">
        <v>1944</v>
      </c>
      <c r="S1945">
        <v>11</v>
      </c>
    </row>
    <row r="1946" spans="18:19">
      <c r="R1946">
        <v>1945</v>
      </c>
      <c r="S1946">
        <v>11</v>
      </c>
    </row>
    <row r="1947" spans="18:19">
      <c r="R1947">
        <v>1946</v>
      </c>
      <c r="S1947">
        <v>10</v>
      </c>
    </row>
    <row r="1948" spans="18:19">
      <c r="R1948">
        <v>1947</v>
      </c>
      <c r="S1948">
        <v>12</v>
      </c>
    </row>
    <row r="1949" spans="18:19">
      <c r="R1949">
        <v>1948</v>
      </c>
      <c r="S1949">
        <v>11</v>
      </c>
    </row>
    <row r="1950" spans="18:19">
      <c r="R1950">
        <v>1949</v>
      </c>
      <c r="S1950">
        <v>12</v>
      </c>
    </row>
    <row r="1951" spans="18:19">
      <c r="R1951">
        <v>1950</v>
      </c>
      <c r="S1951">
        <v>12</v>
      </c>
    </row>
    <row r="1952" spans="18:19">
      <c r="R1952">
        <v>1951</v>
      </c>
      <c r="S1952">
        <v>11</v>
      </c>
    </row>
    <row r="1953" spans="18:19">
      <c r="R1953">
        <v>1952</v>
      </c>
      <c r="S1953">
        <v>15</v>
      </c>
    </row>
    <row r="1954" spans="18:19">
      <c r="R1954">
        <v>1953</v>
      </c>
      <c r="S1954">
        <v>14</v>
      </c>
    </row>
    <row r="1955" spans="18:19">
      <c r="R1955">
        <v>1954</v>
      </c>
      <c r="S1955">
        <v>11</v>
      </c>
    </row>
    <row r="1956" spans="18:19">
      <c r="R1956">
        <v>1955</v>
      </c>
      <c r="S1956">
        <v>13</v>
      </c>
    </row>
    <row r="1957" spans="18:19">
      <c r="R1957">
        <v>1956</v>
      </c>
      <c r="S1957">
        <v>11</v>
      </c>
    </row>
    <row r="1958" spans="18:19">
      <c r="R1958">
        <v>1957</v>
      </c>
      <c r="S1958">
        <v>13</v>
      </c>
    </row>
    <row r="1959" spans="18:19">
      <c r="R1959">
        <v>1958</v>
      </c>
      <c r="S1959">
        <v>13</v>
      </c>
    </row>
    <row r="1960" spans="18:19">
      <c r="R1960">
        <v>1959</v>
      </c>
      <c r="S1960">
        <v>11</v>
      </c>
    </row>
    <row r="1961" spans="18:19">
      <c r="R1961">
        <v>1960</v>
      </c>
      <c r="S1961">
        <v>14</v>
      </c>
    </row>
    <row r="1962" spans="18:19">
      <c r="R1962">
        <v>1961</v>
      </c>
      <c r="S1962">
        <v>12</v>
      </c>
    </row>
    <row r="1963" spans="18:19">
      <c r="R1963">
        <v>1962</v>
      </c>
      <c r="S1963">
        <v>11</v>
      </c>
    </row>
    <row r="1964" spans="18:19">
      <c r="R1964">
        <v>1963</v>
      </c>
      <c r="S1964">
        <v>13</v>
      </c>
    </row>
    <row r="1965" spans="18:19">
      <c r="R1965">
        <v>1964</v>
      </c>
      <c r="S1965">
        <v>13</v>
      </c>
    </row>
    <row r="1966" spans="18:19">
      <c r="R1966">
        <v>1965</v>
      </c>
      <c r="S1966">
        <v>12</v>
      </c>
    </row>
    <row r="1967" spans="18:19">
      <c r="R1967">
        <v>1966</v>
      </c>
      <c r="S1967">
        <v>12</v>
      </c>
    </row>
    <row r="1968" spans="18:19">
      <c r="R1968">
        <v>1967</v>
      </c>
      <c r="S1968">
        <v>15</v>
      </c>
    </row>
    <row r="1969" spans="18:19">
      <c r="R1969">
        <v>1968</v>
      </c>
      <c r="S1969">
        <v>13</v>
      </c>
    </row>
    <row r="1970" spans="18:19">
      <c r="R1970">
        <v>1969</v>
      </c>
      <c r="S1970">
        <v>12</v>
      </c>
    </row>
    <row r="1971" spans="18:19">
      <c r="R1971">
        <v>1970</v>
      </c>
      <c r="S1971">
        <v>10</v>
      </c>
    </row>
    <row r="1972" spans="18:19">
      <c r="R1972">
        <v>1971</v>
      </c>
      <c r="S1972">
        <v>14</v>
      </c>
    </row>
    <row r="1973" spans="18:19">
      <c r="R1973">
        <v>1972</v>
      </c>
      <c r="S1973">
        <v>11</v>
      </c>
    </row>
    <row r="1974" spans="18:19">
      <c r="R1974">
        <v>1973</v>
      </c>
      <c r="S1974">
        <v>13</v>
      </c>
    </row>
    <row r="1975" spans="18:19">
      <c r="R1975">
        <v>1974</v>
      </c>
      <c r="S1975">
        <v>13</v>
      </c>
    </row>
    <row r="1976" spans="18:19">
      <c r="R1976">
        <v>1975</v>
      </c>
      <c r="S1976">
        <v>12</v>
      </c>
    </row>
    <row r="1977" spans="18:19">
      <c r="R1977">
        <v>1976</v>
      </c>
      <c r="S1977">
        <v>12</v>
      </c>
    </row>
    <row r="1978" spans="18:19">
      <c r="R1978">
        <v>1977</v>
      </c>
      <c r="S1978">
        <v>11</v>
      </c>
    </row>
    <row r="1979" spans="18:19">
      <c r="R1979">
        <v>1978</v>
      </c>
      <c r="S1979">
        <v>15</v>
      </c>
    </row>
    <row r="1980" spans="18:19">
      <c r="R1980">
        <v>1979</v>
      </c>
      <c r="S1980">
        <v>16</v>
      </c>
    </row>
    <row r="1981" spans="18:19">
      <c r="R1981">
        <v>1980</v>
      </c>
      <c r="S1981">
        <v>11</v>
      </c>
    </row>
    <row r="1982" spans="18:19">
      <c r="R1982">
        <v>1981</v>
      </c>
      <c r="S1982">
        <v>11</v>
      </c>
    </row>
    <row r="1983" spans="18:19">
      <c r="R1983">
        <v>1982</v>
      </c>
      <c r="S1983">
        <v>12</v>
      </c>
    </row>
    <row r="1984" spans="18:19">
      <c r="R1984">
        <v>1983</v>
      </c>
      <c r="S1984">
        <v>12</v>
      </c>
    </row>
    <row r="1985" spans="18:19">
      <c r="R1985">
        <v>1984</v>
      </c>
      <c r="S1985">
        <v>12</v>
      </c>
    </row>
    <row r="1986" spans="18:19">
      <c r="R1986">
        <v>1985</v>
      </c>
      <c r="S1986">
        <v>12</v>
      </c>
    </row>
    <row r="1987" spans="18:19">
      <c r="R1987">
        <v>1986</v>
      </c>
      <c r="S1987">
        <v>12</v>
      </c>
    </row>
    <row r="1988" spans="18:19">
      <c r="R1988">
        <v>1987</v>
      </c>
      <c r="S1988">
        <v>13</v>
      </c>
    </row>
    <row r="1989" spans="18:19">
      <c r="R1989">
        <v>1988</v>
      </c>
      <c r="S1989">
        <v>12</v>
      </c>
    </row>
    <row r="1990" spans="18:19">
      <c r="R1990">
        <v>1989</v>
      </c>
      <c r="S1990">
        <v>11</v>
      </c>
    </row>
    <row r="1991" spans="18:19">
      <c r="R1991">
        <v>1990</v>
      </c>
      <c r="S1991">
        <v>12</v>
      </c>
    </row>
    <row r="1992" spans="18:19">
      <c r="R1992">
        <v>1991</v>
      </c>
      <c r="S1992">
        <v>17</v>
      </c>
    </row>
    <row r="1993" spans="18:19">
      <c r="R1993">
        <v>1992</v>
      </c>
      <c r="S1993">
        <v>14</v>
      </c>
    </row>
    <row r="1994" spans="18:19">
      <c r="R1994">
        <v>1993</v>
      </c>
      <c r="S1994">
        <v>13</v>
      </c>
    </row>
    <row r="1995" spans="18:19">
      <c r="R1995">
        <v>1994</v>
      </c>
      <c r="S1995">
        <v>11</v>
      </c>
    </row>
    <row r="1996" spans="18:19">
      <c r="R1996">
        <v>1995</v>
      </c>
      <c r="S1996">
        <v>12</v>
      </c>
    </row>
    <row r="1997" spans="18:19">
      <c r="R1997">
        <v>1996</v>
      </c>
      <c r="S1997">
        <v>10</v>
      </c>
    </row>
    <row r="1998" spans="18:19">
      <c r="R1998">
        <v>1997</v>
      </c>
      <c r="S1998">
        <v>13</v>
      </c>
    </row>
    <row r="1999" spans="18:19">
      <c r="R1999">
        <v>1998</v>
      </c>
      <c r="S1999">
        <v>11</v>
      </c>
    </row>
    <row r="2000" spans="18:19">
      <c r="R2000">
        <v>1999</v>
      </c>
      <c r="S2000">
        <v>11</v>
      </c>
    </row>
    <row r="2001" spans="18:19">
      <c r="R2001">
        <v>2000</v>
      </c>
      <c r="S2001">
        <v>11</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1"/>
  <sheetViews>
    <sheetView workbookViewId="0">
      <selection activeCell="A1" sqref="A1"/>
    </sheetView>
  </sheetViews>
  <sheetFormatPr defaultColWidth="11" defaultRowHeight="17.6"/>
  <cols>
    <col min="8" max="8" width="12.6470588235294"/>
  </cols>
  <sheetData>
    <row r="1" spans="1:25">
      <c r="A1" t="s">
        <v>91</v>
      </c>
      <c r="B1" t="s">
        <v>118</v>
      </c>
      <c r="C1">
        <v>500</v>
      </c>
      <c r="E1" t="s">
        <v>92</v>
      </c>
      <c r="F1" t="s">
        <v>93</v>
      </c>
      <c r="G1" t="s">
        <v>119</v>
      </c>
      <c r="H1" t="s">
        <v>120</v>
      </c>
      <c r="I1" t="s">
        <v>121</v>
      </c>
      <c r="J1" t="s">
        <v>122</v>
      </c>
      <c r="L1" t="s">
        <v>99</v>
      </c>
      <c r="M1" t="s">
        <v>123</v>
      </c>
      <c r="N1">
        <f ca="1">SUM(alive_2)</f>
        <v>13</v>
      </c>
      <c r="P1" t="s">
        <v>101</v>
      </c>
      <c r="Q1" t="s">
        <v>102</v>
      </c>
      <c r="R1" t="s">
        <v>124</v>
      </c>
      <c r="T1" t="s">
        <v>104</v>
      </c>
      <c r="U1" t="s">
        <v>105</v>
      </c>
      <c r="V1">
        <f ca="1">MAX(STS2_)</f>
        <v>30</v>
      </c>
      <c r="X1" t="s">
        <v>125</v>
      </c>
      <c r="Y1">
        <f ca="1">AVERAGE(STS2_)</f>
        <v>12.5695</v>
      </c>
    </row>
    <row r="2" spans="2:25">
      <c r="B2" t="s">
        <v>126</v>
      </c>
      <c r="C2">
        <v>500</v>
      </c>
      <c r="F2">
        <f t="array" ref="F2:F51">_xlfn.SEQUENCE(50)</f>
        <v>1</v>
      </c>
      <c r="G2">
        <f>B0_2</f>
        <v>500</v>
      </c>
      <c r="H2">
        <f>S0_2</f>
        <v>500</v>
      </c>
      <c r="I2">
        <f>(120-G2)*(120&gt;G2)</f>
        <v>0</v>
      </c>
      <c r="J2">
        <f>IF(G2+H2&gt;0,1,0)</f>
        <v>1</v>
      </c>
      <c r="Q2">
        <f t="array" ref="Q2:Q2001">_xlfn.SEQUENCE(2000)</f>
        <v>1</v>
      </c>
      <c r="R2">
        <f ca="1">ST_2</f>
        <v>13</v>
      </c>
      <c r="U2" t="s">
        <v>107</v>
      </c>
      <c r="V2">
        <f ca="1">MIN(STS2_)</f>
        <v>8</v>
      </c>
      <c r="X2" t="s">
        <v>108</v>
      </c>
      <c r="Y2">
        <f ca="1">E_ST2-1.96*STDEV(STS2_)/SQRT(N_2)</f>
        <v>12.4686807582078</v>
      </c>
    </row>
    <row r="3" spans="2:25">
      <c r="B3" t="s">
        <v>127</v>
      </c>
      <c r="C3">
        <v>0.08</v>
      </c>
      <c r="F3">
        <v>2</v>
      </c>
      <c r="G3">
        <f t="shared" ref="G3:G34" si="0">1*(G2&gt;=120)*(G2-120)*(1+rs_2)</f>
        <v>399</v>
      </c>
      <c r="H3">
        <f ca="1">1*(H2&gt;=120)*(H2-I2)*EXP((mu_2-sigma_2^2/2)*Dt_2+sigma_2*SQRT(Dt_2)*_xlfn.NORM.INV(RAND(),0,1))</f>
        <v>601.043943591211</v>
      </c>
      <c r="I3">
        <f t="shared" ref="I3:I51" si="1">(120-G3)*(120&gt;G3)</f>
        <v>0</v>
      </c>
      <c r="J3">
        <f ca="1" t="shared" ref="J3:J51" si="2">IF(G3+H3&gt;0,1,0)</f>
        <v>1</v>
      </c>
      <c r="Q3">
        <v>2</v>
      </c>
      <c r="R3">
        <v>10</v>
      </c>
      <c r="X3" t="s">
        <v>110</v>
      </c>
      <c r="Y3">
        <f ca="1">E_ST2+1.96*STDEV(STS2_)/SQRT(N_2)</f>
        <v>12.6703192417922</v>
      </c>
    </row>
    <row r="4" spans="2:22">
      <c r="B4" t="s">
        <v>128</v>
      </c>
      <c r="C4">
        <v>0.12</v>
      </c>
      <c r="F4">
        <v>3</v>
      </c>
      <c r="G4">
        <f t="shared" si="0"/>
        <v>292.95</v>
      </c>
      <c r="H4">
        <f ca="1">1*(H3&gt;=120)*(H3-I3)*EXP((mu_2-sigma_2^2/2)*Dt_2+sigma_2*SQRT(Dt_2)*_xlfn.NORM.INV(RAND(),0,1))</f>
        <v>559.828642754284</v>
      </c>
      <c r="I4">
        <f t="shared" si="1"/>
        <v>0</v>
      </c>
      <c r="J4">
        <f ca="1" t="shared" si="2"/>
        <v>1</v>
      </c>
      <c r="Q4">
        <v>3</v>
      </c>
      <c r="R4">
        <v>12</v>
      </c>
      <c r="U4" t="s">
        <v>129</v>
      </c>
      <c r="V4" t="s">
        <v>130</v>
      </c>
    </row>
    <row r="5" spans="2:22">
      <c r="B5" t="s">
        <v>131</v>
      </c>
      <c r="C5">
        <v>1</v>
      </c>
      <c r="F5">
        <v>4</v>
      </c>
      <c r="G5">
        <f t="shared" si="0"/>
        <v>181.5975</v>
      </c>
      <c r="H5">
        <f ca="1">1*(H4&gt;=120)*(H4-I4)*EXP((mu_2-sigma_2^2/2)*Dt_2+sigma_2*SQRT(Dt_2)*_xlfn.NORM.INV(RAND(),0,1))</f>
        <v>605.358815494907</v>
      </c>
      <c r="I5">
        <f t="shared" si="1"/>
        <v>0</v>
      </c>
      <c r="J5">
        <f ca="1" t="shared" si="2"/>
        <v>1</v>
      </c>
      <c r="Q5">
        <v>4</v>
      </c>
      <c r="R5">
        <v>11</v>
      </c>
      <c r="U5">
        <v>8</v>
      </c>
      <c r="V5">
        <f ca="1" t="array" ref="V5:V27">FREQUENCY(STS2_,bin2_)/N_2</f>
        <v>0.0005</v>
      </c>
    </row>
    <row r="6" spans="2:22">
      <c r="B6" t="s">
        <v>132</v>
      </c>
      <c r="C6">
        <v>1</v>
      </c>
      <c r="F6">
        <v>5</v>
      </c>
      <c r="G6">
        <f t="shared" si="0"/>
        <v>64.677375</v>
      </c>
      <c r="H6">
        <f ca="1">1*(H5&gt;=120)*(H5-I5)*EXP((mu_2-sigma_2^2/2)*Dt_2+sigma_2*SQRT(Dt_2)*_xlfn.NORM.INV(RAND(),0,1))</f>
        <v>754.055575310407</v>
      </c>
      <c r="I6">
        <f t="shared" si="1"/>
        <v>55.322625</v>
      </c>
      <c r="J6">
        <f ca="1" t="shared" si="2"/>
        <v>1</v>
      </c>
      <c r="Q6">
        <v>5</v>
      </c>
      <c r="R6">
        <v>10</v>
      </c>
      <c r="U6">
        <v>10</v>
      </c>
      <c r="V6">
        <v>0.1385</v>
      </c>
    </row>
    <row r="7" spans="2:22">
      <c r="B7" t="s">
        <v>133</v>
      </c>
      <c r="C7">
        <v>0.05</v>
      </c>
      <c r="F7">
        <v>6</v>
      </c>
      <c r="G7">
        <f t="shared" si="0"/>
        <v>0</v>
      </c>
      <c r="H7">
        <f ca="1">1*(H6&gt;=120)*(H6-I6)*EXP((mu_2-sigma_2^2/2)*Dt_2+sigma_2*SQRT(Dt_2)*_xlfn.NORM.INV(RAND(),0,1))</f>
        <v>831.676594217349</v>
      </c>
      <c r="I7">
        <f t="shared" si="1"/>
        <v>120</v>
      </c>
      <c r="J7">
        <f ca="1" t="shared" si="2"/>
        <v>1</v>
      </c>
      <c r="Q7">
        <v>6</v>
      </c>
      <c r="R7">
        <v>9</v>
      </c>
      <c r="U7">
        <v>12</v>
      </c>
      <c r="V7">
        <v>0.4425</v>
      </c>
    </row>
    <row r="8" spans="2:22">
      <c r="B8" t="s">
        <v>134</v>
      </c>
      <c r="C8">
        <v>2000</v>
      </c>
      <c r="F8">
        <v>7</v>
      </c>
      <c r="G8">
        <f t="shared" si="0"/>
        <v>0</v>
      </c>
      <c r="H8">
        <f ca="1">1*(H7&gt;=120)*(H7-I7)*EXP((mu_2-sigma_2^2/2)*Dt_2+sigma_2*SQRT(Dt_2)*_xlfn.NORM.INV(RAND(),0,1))</f>
        <v>719.521839376857</v>
      </c>
      <c r="I8">
        <f t="shared" si="1"/>
        <v>120</v>
      </c>
      <c r="J8">
        <f ca="1" t="shared" si="2"/>
        <v>1</v>
      </c>
      <c r="Q8">
        <v>7</v>
      </c>
      <c r="R8">
        <v>15</v>
      </c>
      <c r="U8">
        <v>14</v>
      </c>
      <c r="V8">
        <v>0.2665</v>
      </c>
    </row>
    <row r="9" spans="2:22">
      <c r="B9" t="s">
        <v>135</v>
      </c>
      <c r="C9">
        <v>1</v>
      </c>
      <c r="F9">
        <v>8</v>
      </c>
      <c r="G9">
        <f t="shared" si="0"/>
        <v>0</v>
      </c>
      <c r="H9">
        <f ca="1">1*(H8&gt;=120)*(H8-I8)*EXP((mu_2-sigma_2^2/2)*Dt_2+sigma_2*SQRT(Dt_2)*_xlfn.NORM.INV(RAND(),0,1))</f>
        <v>686.455135866956</v>
      </c>
      <c r="I9">
        <f t="shared" si="1"/>
        <v>120</v>
      </c>
      <c r="J9">
        <f ca="1" t="shared" si="2"/>
        <v>1</v>
      </c>
      <c r="Q9">
        <v>8</v>
      </c>
      <c r="R9">
        <v>12</v>
      </c>
      <c r="U9">
        <v>16</v>
      </c>
      <c r="V9">
        <v>0.094</v>
      </c>
    </row>
    <row r="10" spans="6:22">
      <c r="F10">
        <v>9</v>
      </c>
      <c r="G10">
        <f t="shared" si="0"/>
        <v>0</v>
      </c>
      <c r="H10">
        <f ca="1">1*(H9&gt;=120)*(H9-I9)*EXP((mu_2-sigma_2^2/2)*Dt_2+sigma_2*SQRT(Dt_2)*_xlfn.NORM.INV(RAND(),0,1))</f>
        <v>542.986193333019</v>
      </c>
      <c r="I10">
        <f t="shared" si="1"/>
        <v>120</v>
      </c>
      <c r="J10">
        <f ca="1" t="shared" si="2"/>
        <v>1</v>
      </c>
      <c r="Q10">
        <v>9</v>
      </c>
      <c r="R10">
        <v>11</v>
      </c>
      <c r="U10">
        <v>18</v>
      </c>
      <c r="V10">
        <v>0.035</v>
      </c>
    </row>
    <row r="11" spans="6:22">
      <c r="F11">
        <v>10</v>
      </c>
      <c r="G11">
        <f t="shared" si="0"/>
        <v>0</v>
      </c>
      <c r="H11">
        <f ca="1">1*(H10&gt;=120)*(H10-I10)*EXP((mu_2-sigma_2^2/2)*Dt_2+sigma_2*SQRT(Dt_2)*_xlfn.NORM.INV(RAND(),0,1))</f>
        <v>461.412682365837</v>
      </c>
      <c r="I11">
        <f t="shared" si="1"/>
        <v>120</v>
      </c>
      <c r="J11">
        <f ca="1" t="shared" si="2"/>
        <v>1</v>
      </c>
      <c r="Q11">
        <v>10</v>
      </c>
      <c r="R11">
        <v>10</v>
      </c>
      <c r="U11">
        <v>20</v>
      </c>
      <c r="V11">
        <v>0.015</v>
      </c>
    </row>
    <row r="12" spans="6:22">
      <c r="F12">
        <v>11</v>
      </c>
      <c r="G12">
        <f t="shared" si="0"/>
        <v>0</v>
      </c>
      <c r="H12">
        <f ca="1">1*(H11&gt;=120)*(H11-I11)*EXP((mu_2-sigma_2^2/2)*Dt_2+sigma_2*SQRT(Dt_2)*_xlfn.NORM.INV(RAND(),0,1))</f>
        <v>350.359023200621</v>
      </c>
      <c r="I12">
        <f t="shared" si="1"/>
        <v>120</v>
      </c>
      <c r="J12">
        <f ca="1" t="shared" si="2"/>
        <v>1</v>
      </c>
      <c r="Q12">
        <v>11</v>
      </c>
      <c r="R12">
        <v>12</v>
      </c>
      <c r="U12">
        <v>22</v>
      </c>
      <c r="V12">
        <v>0.003</v>
      </c>
    </row>
    <row r="13" spans="6:22">
      <c r="F13">
        <v>12</v>
      </c>
      <c r="G13">
        <f t="shared" si="0"/>
        <v>0</v>
      </c>
      <c r="H13">
        <f ca="1">1*(H12&gt;=120)*(H12-I12)*EXP((mu_2-sigma_2^2/2)*Dt_2+sigma_2*SQRT(Dt_2)*_xlfn.NORM.INV(RAND(),0,1))</f>
        <v>192.2967636035</v>
      </c>
      <c r="I13">
        <f t="shared" si="1"/>
        <v>120</v>
      </c>
      <c r="J13">
        <f ca="1" t="shared" si="2"/>
        <v>1</v>
      </c>
      <c r="Q13">
        <v>12</v>
      </c>
      <c r="R13">
        <v>10</v>
      </c>
      <c r="U13">
        <v>24</v>
      </c>
      <c r="V13">
        <v>0.0025</v>
      </c>
    </row>
    <row r="14" spans="6:22">
      <c r="F14">
        <v>13</v>
      </c>
      <c r="G14">
        <f t="shared" si="0"/>
        <v>0</v>
      </c>
      <c r="H14">
        <f ca="1">1*(H13&gt;=120)*(H13-I13)*EXP((mu_2-sigma_2^2/2)*Dt_2+sigma_2*SQRT(Dt_2)*_xlfn.NORM.INV(RAND(),0,1))</f>
        <v>72.792002525991</v>
      </c>
      <c r="I14">
        <f t="shared" si="1"/>
        <v>120</v>
      </c>
      <c r="J14">
        <f ca="1" t="shared" si="2"/>
        <v>1</v>
      </c>
      <c r="Q14">
        <v>13</v>
      </c>
      <c r="R14">
        <v>12</v>
      </c>
      <c r="U14">
        <v>26</v>
      </c>
      <c r="V14">
        <v>0.001</v>
      </c>
    </row>
    <row r="15" spans="6:22">
      <c r="F15">
        <v>14</v>
      </c>
      <c r="G15">
        <f t="shared" si="0"/>
        <v>0</v>
      </c>
      <c r="H15">
        <f ca="1">1*(H14&gt;=120)*(H14-I14)*EXP((mu_2-sigma_2^2/2)*Dt_2+sigma_2*SQRT(Dt_2)*_xlfn.NORM.INV(RAND(),0,1))</f>
        <v>0</v>
      </c>
      <c r="I15">
        <f t="shared" si="1"/>
        <v>120</v>
      </c>
      <c r="J15">
        <f ca="1" t="shared" si="2"/>
        <v>0</v>
      </c>
      <c r="Q15">
        <v>14</v>
      </c>
      <c r="R15">
        <v>11</v>
      </c>
      <c r="U15">
        <v>28</v>
      </c>
      <c r="V15">
        <v>0.001</v>
      </c>
    </row>
    <row r="16" spans="6:22">
      <c r="F16">
        <v>15</v>
      </c>
      <c r="G16">
        <f t="shared" si="0"/>
        <v>0</v>
      </c>
      <c r="H16">
        <f ca="1">1*(H15&gt;=120)*(H15-I15)*EXP((mu_2-sigma_2^2/2)*Dt_2+sigma_2*SQRT(Dt_2)*_xlfn.NORM.INV(RAND(),0,1))</f>
        <v>0</v>
      </c>
      <c r="I16">
        <f t="shared" si="1"/>
        <v>120</v>
      </c>
      <c r="J16">
        <f ca="1" t="shared" si="2"/>
        <v>0</v>
      </c>
      <c r="Q16">
        <v>15</v>
      </c>
      <c r="R16">
        <v>10</v>
      </c>
      <c r="U16">
        <v>30</v>
      </c>
      <c r="V16">
        <v>0.0005</v>
      </c>
    </row>
    <row r="17" spans="6:22">
      <c r="F17">
        <v>16</v>
      </c>
      <c r="G17">
        <f t="shared" si="0"/>
        <v>0</v>
      </c>
      <c r="H17">
        <f ca="1">1*(H16&gt;=120)*(H16-I16)*EXP((mu_2-sigma_2^2/2)*Dt_2+sigma_2*SQRT(Dt_2)*_xlfn.NORM.INV(RAND(),0,1))</f>
        <v>0</v>
      </c>
      <c r="I17">
        <f t="shared" si="1"/>
        <v>120</v>
      </c>
      <c r="J17">
        <f ca="1" t="shared" si="2"/>
        <v>0</v>
      </c>
      <c r="Q17">
        <v>16</v>
      </c>
      <c r="R17">
        <v>15</v>
      </c>
      <c r="U17">
        <v>32</v>
      </c>
      <c r="V17">
        <v>0</v>
      </c>
    </row>
    <row r="18" spans="6:22">
      <c r="F18">
        <v>17</v>
      </c>
      <c r="G18">
        <f t="shared" si="0"/>
        <v>0</v>
      </c>
      <c r="H18">
        <f ca="1">1*(H17&gt;=120)*(H17-I17)*EXP((mu_2-sigma_2^2/2)*Dt_2+sigma_2*SQRT(Dt_2)*_xlfn.NORM.INV(RAND(),0,1))</f>
        <v>0</v>
      </c>
      <c r="I18">
        <f t="shared" si="1"/>
        <v>120</v>
      </c>
      <c r="J18">
        <f ca="1" t="shared" si="2"/>
        <v>0</v>
      </c>
      <c r="Q18">
        <v>17</v>
      </c>
      <c r="R18">
        <v>11</v>
      </c>
      <c r="U18">
        <v>34</v>
      </c>
      <c r="V18">
        <v>0</v>
      </c>
    </row>
    <row r="19" spans="6:22">
      <c r="F19">
        <v>18</v>
      </c>
      <c r="G19">
        <f t="shared" si="0"/>
        <v>0</v>
      </c>
      <c r="H19">
        <f ca="1">1*(H18&gt;=120)*(H18-I18)*EXP((mu_2-sigma_2^2/2)*Dt_2+sigma_2*SQRT(Dt_2)*_xlfn.NORM.INV(RAND(),0,1))</f>
        <v>0</v>
      </c>
      <c r="I19">
        <f t="shared" si="1"/>
        <v>120</v>
      </c>
      <c r="J19">
        <f ca="1" t="shared" si="2"/>
        <v>0</v>
      </c>
      <c r="Q19">
        <v>18</v>
      </c>
      <c r="R19">
        <v>23</v>
      </c>
      <c r="U19">
        <v>36</v>
      </c>
      <c r="V19">
        <v>0</v>
      </c>
    </row>
    <row r="20" spans="6:22">
      <c r="F20">
        <v>19</v>
      </c>
      <c r="G20">
        <f t="shared" si="0"/>
        <v>0</v>
      </c>
      <c r="H20">
        <f ca="1">1*(H19&gt;=120)*(H19-I19)*EXP((mu_2-sigma_2^2/2)*Dt_2+sigma_2*SQRT(Dt_2)*_xlfn.NORM.INV(RAND(),0,1))</f>
        <v>0</v>
      </c>
      <c r="I20">
        <f t="shared" si="1"/>
        <v>120</v>
      </c>
      <c r="J20">
        <f ca="1" t="shared" si="2"/>
        <v>0</v>
      </c>
      <c r="Q20">
        <v>19</v>
      </c>
      <c r="R20">
        <v>10</v>
      </c>
      <c r="U20">
        <v>38</v>
      </c>
      <c r="V20">
        <v>0</v>
      </c>
    </row>
    <row r="21" spans="6:22">
      <c r="F21">
        <v>20</v>
      </c>
      <c r="G21">
        <f t="shared" si="0"/>
        <v>0</v>
      </c>
      <c r="H21">
        <f ca="1">1*(H20&gt;=120)*(H20-I20)*EXP((mu_2-sigma_2^2/2)*Dt_2+sigma_2*SQRT(Dt_2)*_xlfn.NORM.INV(RAND(),0,1))</f>
        <v>0</v>
      </c>
      <c r="I21">
        <f t="shared" si="1"/>
        <v>120</v>
      </c>
      <c r="J21">
        <f ca="1" t="shared" si="2"/>
        <v>0</v>
      </c>
      <c r="Q21">
        <v>20</v>
      </c>
      <c r="R21">
        <v>12</v>
      </c>
      <c r="U21">
        <v>40</v>
      </c>
      <c r="V21">
        <v>0</v>
      </c>
    </row>
    <row r="22" spans="6:22">
      <c r="F22">
        <v>21</v>
      </c>
      <c r="G22">
        <f t="shared" si="0"/>
        <v>0</v>
      </c>
      <c r="H22">
        <f ca="1">1*(H21&gt;=120)*(H21-I21)*EXP((mu_2-sigma_2^2/2)*Dt_2+sigma_2*SQRT(Dt_2)*_xlfn.NORM.INV(RAND(),0,1))</f>
        <v>0</v>
      </c>
      <c r="I22">
        <f t="shared" si="1"/>
        <v>120</v>
      </c>
      <c r="J22">
        <f ca="1" t="shared" si="2"/>
        <v>0</v>
      </c>
      <c r="Q22">
        <v>21</v>
      </c>
      <c r="R22">
        <v>12</v>
      </c>
      <c r="U22">
        <v>42</v>
      </c>
      <c r="V22">
        <v>0</v>
      </c>
    </row>
    <row r="23" spans="6:22">
      <c r="F23">
        <v>22</v>
      </c>
      <c r="G23">
        <f t="shared" si="0"/>
        <v>0</v>
      </c>
      <c r="H23">
        <f ca="1">1*(H22&gt;=120)*(H22-I22)*EXP((mu_2-sigma_2^2/2)*Dt_2+sigma_2*SQRT(Dt_2)*_xlfn.NORM.INV(RAND(),0,1))</f>
        <v>0</v>
      </c>
      <c r="I23">
        <f t="shared" si="1"/>
        <v>120</v>
      </c>
      <c r="J23">
        <f ca="1" t="shared" si="2"/>
        <v>0</v>
      </c>
      <c r="Q23">
        <v>22</v>
      </c>
      <c r="R23">
        <v>9</v>
      </c>
      <c r="U23">
        <v>44</v>
      </c>
      <c r="V23">
        <v>0</v>
      </c>
    </row>
    <row r="24" spans="6:22">
      <c r="F24">
        <v>23</v>
      </c>
      <c r="G24">
        <f t="shared" si="0"/>
        <v>0</v>
      </c>
      <c r="H24">
        <f ca="1">1*(H23&gt;=120)*(H23-I23)*EXP((mu_2-sigma_2^2/2)*Dt_2+sigma_2*SQRT(Dt_2)*_xlfn.NORM.INV(RAND(),0,1))</f>
        <v>0</v>
      </c>
      <c r="I24">
        <f t="shared" si="1"/>
        <v>120</v>
      </c>
      <c r="J24">
        <f ca="1" t="shared" si="2"/>
        <v>0</v>
      </c>
      <c r="Q24">
        <v>23</v>
      </c>
      <c r="R24">
        <v>14</v>
      </c>
      <c r="U24">
        <v>46</v>
      </c>
      <c r="V24">
        <v>0</v>
      </c>
    </row>
    <row r="25" spans="6:22">
      <c r="F25">
        <v>24</v>
      </c>
      <c r="G25">
        <f t="shared" si="0"/>
        <v>0</v>
      </c>
      <c r="H25">
        <f ca="1">1*(H24&gt;=120)*(H24-I24)*EXP((mu_2-sigma_2^2/2)*Dt_2+sigma_2*SQRT(Dt_2)*_xlfn.NORM.INV(RAND(),0,1))</f>
        <v>0</v>
      </c>
      <c r="I25">
        <f t="shared" si="1"/>
        <v>120</v>
      </c>
      <c r="J25">
        <f ca="1" t="shared" si="2"/>
        <v>0</v>
      </c>
      <c r="Q25">
        <v>24</v>
      </c>
      <c r="R25">
        <v>11</v>
      </c>
      <c r="U25">
        <v>48</v>
      </c>
      <c r="V25">
        <v>0</v>
      </c>
    </row>
    <row r="26" spans="6:22">
      <c r="F26">
        <v>25</v>
      </c>
      <c r="G26">
        <f t="shared" si="0"/>
        <v>0</v>
      </c>
      <c r="H26">
        <f ca="1">1*(H25&gt;=120)*(H25-I25)*EXP((mu_2-sigma_2^2/2)*Dt_2+sigma_2*SQRT(Dt_2)*_xlfn.NORM.INV(RAND(),0,1))</f>
        <v>0</v>
      </c>
      <c r="I26">
        <f t="shared" si="1"/>
        <v>120</v>
      </c>
      <c r="J26">
        <f ca="1" t="shared" si="2"/>
        <v>0</v>
      </c>
      <c r="Q26">
        <v>25</v>
      </c>
      <c r="R26">
        <v>14</v>
      </c>
      <c r="U26">
        <v>50</v>
      </c>
      <c r="V26">
        <v>0</v>
      </c>
    </row>
    <row r="27" spans="6:22">
      <c r="F27">
        <v>26</v>
      </c>
      <c r="G27">
        <f t="shared" si="0"/>
        <v>0</v>
      </c>
      <c r="H27">
        <f ca="1">1*(H26&gt;=120)*(H26-I26)*EXP((mu_2-sigma_2^2/2)*Dt_2+sigma_2*SQRT(Dt_2)*_xlfn.NORM.INV(RAND(),0,1))</f>
        <v>0</v>
      </c>
      <c r="I27">
        <f t="shared" si="1"/>
        <v>120</v>
      </c>
      <c r="J27">
        <f ca="1" t="shared" si="2"/>
        <v>0</v>
      </c>
      <c r="Q27">
        <v>26</v>
      </c>
      <c r="R27">
        <v>11</v>
      </c>
      <c r="V27">
        <v>0</v>
      </c>
    </row>
    <row r="28" spans="6:18">
      <c r="F28">
        <v>27</v>
      </c>
      <c r="G28">
        <f t="shared" si="0"/>
        <v>0</v>
      </c>
      <c r="H28">
        <f ca="1">1*(H27&gt;=120)*(H27-I27)*EXP((mu_2-sigma_2^2/2)*Dt_2+sigma_2*SQRT(Dt_2)*_xlfn.NORM.INV(RAND(),0,1))</f>
        <v>0</v>
      </c>
      <c r="I28">
        <f t="shared" si="1"/>
        <v>120</v>
      </c>
      <c r="J28">
        <f ca="1" t="shared" si="2"/>
        <v>0</v>
      </c>
      <c r="Q28">
        <v>27</v>
      </c>
      <c r="R28">
        <v>12</v>
      </c>
    </row>
    <row r="29" spans="6:18">
      <c r="F29">
        <v>28</v>
      </c>
      <c r="G29">
        <f t="shared" si="0"/>
        <v>0</v>
      </c>
      <c r="H29">
        <f ca="1">1*(H28&gt;=120)*(H28-I28)*EXP((mu_2-sigma_2^2/2)*Dt_2+sigma_2*SQRT(Dt_2)*_xlfn.NORM.INV(RAND(),0,1))</f>
        <v>0</v>
      </c>
      <c r="I29">
        <f t="shared" si="1"/>
        <v>120</v>
      </c>
      <c r="J29">
        <f ca="1" t="shared" si="2"/>
        <v>0</v>
      </c>
      <c r="Q29">
        <v>28</v>
      </c>
      <c r="R29">
        <v>11</v>
      </c>
    </row>
    <row r="30" spans="6:18">
      <c r="F30">
        <v>29</v>
      </c>
      <c r="G30">
        <f t="shared" si="0"/>
        <v>0</v>
      </c>
      <c r="H30">
        <f ca="1">1*(H29&gt;=120)*(H29-I29)*EXP((mu_2-sigma_2^2/2)*Dt_2+sigma_2*SQRT(Dt_2)*_xlfn.NORM.INV(RAND(),0,1))</f>
        <v>0</v>
      </c>
      <c r="I30">
        <f t="shared" si="1"/>
        <v>120</v>
      </c>
      <c r="J30">
        <f ca="1" t="shared" si="2"/>
        <v>0</v>
      </c>
      <c r="Q30">
        <v>29</v>
      </c>
      <c r="R30">
        <v>11</v>
      </c>
    </row>
    <row r="31" spans="6:18">
      <c r="F31">
        <v>30</v>
      </c>
      <c r="G31">
        <f t="shared" si="0"/>
        <v>0</v>
      </c>
      <c r="H31">
        <f ca="1">1*(H30&gt;=120)*(H30-I30)*EXP((mu_2-sigma_2^2/2)*Dt_2+sigma_2*SQRT(Dt_2)*_xlfn.NORM.INV(RAND(),0,1))</f>
        <v>0</v>
      </c>
      <c r="I31">
        <f t="shared" si="1"/>
        <v>120</v>
      </c>
      <c r="J31">
        <f ca="1" t="shared" si="2"/>
        <v>0</v>
      </c>
      <c r="Q31">
        <v>30</v>
      </c>
      <c r="R31">
        <v>13</v>
      </c>
    </row>
    <row r="32" spans="6:18">
      <c r="F32">
        <v>31</v>
      </c>
      <c r="G32">
        <f t="shared" si="0"/>
        <v>0</v>
      </c>
      <c r="H32">
        <f ca="1">1*(H31&gt;=120)*(H31-I31)*EXP((mu_2-sigma_2^2/2)*Dt_2+sigma_2*SQRT(Dt_2)*_xlfn.NORM.INV(RAND(),0,1))</f>
        <v>0</v>
      </c>
      <c r="I32">
        <f t="shared" si="1"/>
        <v>120</v>
      </c>
      <c r="J32">
        <f ca="1" t="shared" si="2"/>
        <v>0</v>
      </c>
      <c r="Q32">
        <v>31</v>
      </c>
      <c r="R32">
        <v>10</v>
      </c>
    </row>
    <row r="33" spans="6:18">
      <c r="F33">
        <v>32</v>
      </c>
      <c r="G33">
        <f t="shared" si="0"/>
        <v>0</v>
      </c>
      <c r="H33">
        <f ca="1">1*(H32&gt;=120)*(H32-I32)*EXP((mu_2-sigma_2^2/2)*Dt_2+sigma_2*SQRT(Dt_2)*_xlfn.NORM.INV(RAND(),0,1))</f>
        <v>0</v>
      </c>
      <c r="I33">
        <f t="shared" si="1"/>
        <v>120</v>
      </c>
      <c r="J33">
        <f ca="1" t="shared" si="2"/>
        <v>0</v>
      </c>
      <c r="Q33">
        <v>32</v>
      </c>
      <c r="R33">
        <v>12</v>
      </c>
    </row>
    <row r="34" spans="6:18">
      <c r="F34">
        <v>33</v>
      </c>
      <c r="G34">
        <f t="shared" si="0"/>
        <v>0</v>
      </c>
      <c r="H34">
        <f ca="1">1*(H33&gt;=120)*(H33-I33)*EXP((mu_2-sigma_2^2/2)*Dt_2+sigma_2*SQRT(Dt_2)*_xlfn.NORM.INV(RAND(),0,1))</f>
        <v>0</v>
      </c>
      <c r="I34">
        <f t="shared" si="1"/>
        <v>120</v>
      </c>
      <c r="J34">
        <f ca="1" t="shared" si="2"/>
        <v>0</v>
      </c>
      <c r="Q34">
        <v>33</v>
      </c>
      <c r="R34">
        <v>15</v>
      </c>
    </row>
    <row r="35" spans="6:18">
      <c r="F35">
        <v>34</v>
      </c>
      <c r="G35">
        <f t="shared" ref="G35:G51" si="3">1*(G34&gt;=120)*(G34-120)*(1+rs_2)</f>
        <v>0</v>
      </c>
      <c r="H35">
        <f ca="1">1*(H34&gt;=120)*(H34-I34)*EXP((mu_2-sigma_2^2/2)*Dt_2+sigma_2*SQRT(Dt_2)*_xlfn.NORM.INV(RAND(),0,1))</f>
        <v>0</v>
      </c>
      <c r="I35">
        <f t="shared" si="1"/>
        <v>120</v>
      </c>
      <c r="J35">
        <f ca="1" t="shared" si="2"/>
        <v>0</v>
      </c>
      <c r="Q35">
        <v>34</v>
      </c>
      <c r="R35">
        <v>11</v>
      </c>
    </row>
    <row r="36" spans="6:18">
      <c r="F36">
        <v>35</v>
      </c>
      <c r="G36">
        <f t="shared" si="3"/>
        <v>0</v>
      </c>
      <c r="H36">
        <f ca="1">1*(H35&gt;=120)*(H35-I35)*EXP((mu_2-sigma_2^2/2)*Dt_2+sigma_2*SQRT(Dt_2)*_xlfn.NORM.INV(RAND(),0,1))</f>
        <v>0</v>
      </c>
      <c r="I36">
        <f t="shared" si="1"/>
        <v>120</v>
      </c>
      <c r="J36">
        <f ca="1" t="shared" si="2"/>
        <v>0</v>
      </c>
      <c r="Q36">
        <v>35</v>
      </c>
      <c r="R36">
        <v>13</v>
      </c>
    </row>
    <row r="37" spans="6:18">
      <c r="F37">
        <v>36</v>
      </c>
      <c r="G37">
        <f t="shared" si="3"/>
        <v>0</v>
      </c>
      <c r="H37">
        <f ca="1">1*(H36&gt;=120)*(H36-I36)*EXP((mu_2-sigma_2^2/2)*Dt_2+sigma_2*SQRT(Dt_2)*_xlfn.NORM.INV(RAND(),0,1))</f>
        <v>0</v>
      </c>
      <c r="I37">
        <f t="shared" si="1"/>
        <v>120</v>
      </c>
      <c r="J37">
        <f ca="1" t="shared" si="2"/>
        <v>0</v>
      </c>
      <c r="Q37">
        <v>36</v>
      </c>
      <c r="R37">
        <v>11</v>
      </c>
    </row>
    <row r="38" spans="6:18">
      <c r="F38">
        <v>37</v>
      </c>
      <c r="G38">
        <f t="shared" si="3"/>
        <v>0</v>
      </c>
      <c r="H38">
        <f ca="1">1*(H37&gt;=120)*(H37-I37)*EXP((mu_2-sigma_2^2/2)*Dt_2+sigma_2*SQRT(Dt_2)*_xlfn.NORM.INV(RAND(),0,1))</f>
        <v>0</v>
      </c>
      <c r="I38">
        <f t="shared" si="1"/>
        <v>120</v>
      </c>
      <c r="J38">
        <f ca="1" t="shared" si="2"/>
        <v>0</v>
      </c>
      <c r="Q38">
        <v>37</v>
      </c>
      <c r="R38">
        <v>13</v>
      </c>
    </row>
    <row r="39" spans="6:18">
      <c r="F39">
        <v>38</v>
      </c>
      <c r="G39">
        <f t="shared" si="3"/>
        <v>0</v>
      </c>
      <c r="H39">
        <f ca="1">1*(H38&gt;=120)*(H38-I38)*EXP((mu_2-sigma_2^2/2)*Dt_2+sigma_2*SQRT(Dt_2)*_xlfn.NORM.INV(RAND(),0,1))</f>
        <v>0</v>
      </c>
      <c r="I39">
        <f t="shared" si="1"/>
        <v>120</v>
      </c>
      <c r="J39">
        <f ca="1" t="shared" si="2"/>
        <v>0</v>
      </c>
      <c r="Q39">
        <v>38</v>
      </c>
      <c r="R39">
        <v>10</v>
      </c>
    </row>
    <row r="40" spans="6:18">
      <c r="F40">
        <v>39</v>
      </c>
      <c r="G40">
        <f t="shared" si="3"/>
        <v>0</v>
      </c>
      <c r="H40">
        <f ca="1">1*(H39&gt;=120)*(H39-I39)*EXP((mu_2-sigma_2^2/2)*Dt_2+sigma_2*SQRT(Dt_2)*_xlfn.NORM.INV(RAND(),0,1))</f>
        <v>0</v>
      </c>
      <c r="I40">
        <f t="shared" si="1"/>
        <v>120</v>
      </c>
      <c r="J40">
        <f ca="1" t="shared" si="2"/>
        <v>0</v>
      </c>
      <c r="Q40">
        <v>39</v>
      </c>
      <c r="R40">
        <v>11</v>
      </c>
    </row>
    <row r="41" spans="6:18">
      <c r="F41">
        <v>40</v>
      </c>
      <c r="G41">
        <f t="shared" si="3"/>
        <v>0</v>
      </c>
      <c r="H41">
        <f ca="1">1*(H40&gt;=120)*(H40-I40)*EXP((mu_2-sigma_2^2/2)*Dt_2+sigma_2*SQRT(Dt_2)*_xlfn.NORM.INV(RAND(),0,1))</f>
        <v>0</v>
      </c>
      <c r="I41">
        <f t="shared" si="1"/>
        <v>120</v>
      </c>
      <c r="J41">
        <f ca="1" t="shared" si="2"/>
        <v>0</v>
      </c>
      <c r="Q41">
        <v>40</v>
      </c>
      <c r="R41">
        <v>14</v>
      </c>
    </row>
    <row r="42" spans="6:18">
      <c r="F42">
        <v>41</v>
      </c>
      <c r="G42">
        <f t="shared" si="3"/>
        <v>0</v>
      </c>
      <c r="H42">
        <f ca="1">1*(H41&gt;=120)*(H41-I41)*EXP((mu_2-sigma_2^2/2)*Dt_2+sigma_2*SQRT(Dt_2)*_xlfn.NORM.INV(RAND(),0,1))</f>
        <v>0</v>
      </c>
      <c r="I42">
        <f t="shared" si="1"/>
        <v>120</v>
      </c>
      <c r="J42">
        <f ca="1" t="shared" si="2"/>
        <v>0</v>
      </c>
      <c r="Q42">
        <v>41</v>
      </c>
      <c r="R42">
        <v>10</v>
      </c>
    </row>
    <row r="43" spans="6:18">
      <c r="F43">
        <v>42</v>
      </c>
      <c r="G43">
        <f t="shared" si="3"/>
        <v>0</v>
      </c>
      <c r="H43">
        <f ca="1">1*(H42&gt;=120)*(H42-I42)*EXP((mu_2-sigma_2^2/2)*Dt_2+sigma_2*SQRT(Dt_2)*_xlfn.NORM.INV(RAND(),0,1))</f>
        <v>0</v>
      </c>
      <c r="I43">
        <f t="shared" si="1"/>
        <v>120</v>
      </c>
      <c r="J43">
        <f ca="1" t="shared" si="2"/>
        <v>0</v>
      </c>
      <c r="Q43">
        <v>42</v>
      </c>
      <c r="R43">
        <v>12</v>
      </c>
    </row>
    <row r="44" spans="6:18">
      <c r="F44">
        <v>43</v>
      </c>
      <c r="G44">
        <f t="shared" si="3"/>
        <v>0</v>
      </c>
      <c r="H44">
        <f ca="1">1*(H43&gt;=120)*(H43-I43)*EXP((mu_2-sigma_2^2/2)*Dt_2+sigma_2*SQRT(Dt_2)*_xlfn.NORM.INV(RAND(),0,1))</f>
        <v>0</v>
      </c>
      <c r="I44">
        <f t="shared" si="1"/>
        <v>120</v>
      </c>
      <c r="J44">
        <f ca="1" t="shared" si="2"/>
        <v>0</v>
      </c>
      <c r="Q44">
        <v>43</v>
      </c>
      <c r="R44">
        <v>12</v>
      </c>
    </row>
    <row r="45" spans="6:18">
      <c r="F45">
        <v>44</v>
      </c>
      <c r="G45">
        <f t="shared" si="3"/>
        <v>0</v>
      </c>
      <c r="H45">
        <f ca="1">1*(H44&gt;=120)*(H44-I44)*EXP((mu_2-sigma_2^2/2)*Dt_2+sigma_2*SQRT(Dt_2)*_xlfn.NORM.INV(RAND(),0,1))</f>
        <v>0</v>
      </c>
      <c r="I45">
        <f t="shared" si="1"/>
        <v>120</v>
      </c>
      <c r="J45">
        <f ca="1" t="shared" si="2"/>
        <v>0</v>
      </c>
      <c r="Q45">
        <v>44</v>
      </c>
      <c r="R45">
        <v>11</v>
      </c>
    </row>
    <row r="46" spans="6:18">
      <c r="F46">
        <v>45</v>
      </c>
      <c r="G46">
        <f t="shared" si="3"/>
        <v>0</v>
      </c>
      <c r="H46">
        <f ca="1">1*(H45&gt;=120)*(H45-I45)*EXP((mu_2-sigma_2^2/2)*Dt_2+sigma_2*SQRT(Dt_2)*_xlfn.NORM.INV(RAND(),0,1))</f>
        <v>0</v>
      </c>
      <c r="I46">
        <f t="shared" si="1"/>
        <v>120</v>
      </c>
      <c r="J46">
        <f ca="1" t="shared" si="2"/>
        <v>0</v>
      </c>
      <c r="Q46">
        <v>45</v>
      </c>
      <c r="R46">
        <v>10</v>
      </c>
    </row>
    <row r="47" spans="6:18">
      <c r="F47">
        <v>46</v>
      </c>
      <c r="G47">
        <f t="shared" si="3"/>
        <v>0</v>
      </c>
      <c r="H47">
        <f ca="1">1*(H46&gt;=120)*(H46-I46)*EXP((mu_2-sigma_2^2/2)*Dt_2+sigma_2*SQRT(Dt_2)*_xlfn.NORM.INV(RAND(),0,1))</f>
        <v>0</v>
      </c>
      <c r="I47">
        <f t="shared" si="1"/>
        <v>120</v>
      </c>
      <c r="J47">
        <f ca="1" t="shared" si="2"/>
        <v>0</v>
      </c>
      <c r="Q47">
        <v>46</v>
      </c>
      <c r="R47">
        <v>13</v>
      </c>
    </row>
    <row r="48" spans="6:18">
      <c r="F48">
        <v>47</v>
      </c>
      <c r="G48">
        <f t="shared" si="3"/>
        <v>0</v>
      </c>
      <c r="H48">
        <f ca="1">1*(H47&gt;=120)*(H47-I47)*EXP((mu_2-sigma_2^2/2)*Dt_2+sigma_2*SQRT(Dt_2)*_xlfn.NORM.INV(RAND(),0,1))</f>
        <v>0</v>
      </c>
      <c r="I48">
        <f t="shared" si="1"/>
        <v>120</v>
      </c>
      <c r="J48">
        <f ca="1" t="shared" si="2"/>
        <v>0</v>
      </c>
      <c r="Q48">
        <v>47</v>
      </c>
      <c r="R48">
        <v>14</v>
      </c>
    </row>
    <row r="49" spans="6:18">
      <c r="F49">
        <v>48</v>
      </c>
      <c r="G49">
        <f t="shared" si="3"/>
        <v>0</v>
      </c>
      <c r="H49">
        <f ca="1">1*(H48&gt;=120)*(H48-I48)*EXP((mu_2-sigma_2^2/2)*Dt_2+sigma_2*SQRT(Dt_2)*_xlfn.NORM.INV(RAND(),0,1))</f>
        <v>0</v>
      </c>
      <c r="I49">
        <f t="shared" si="1"/>
        <v>120</v>
      </c>
      <c r="J49">
        <f ca="1" t="shared" si="2"/>
        <v>0</v>
      </c>
      <c r="Q49">
        <v>48</v>
      </c>
      <c r="R49">
        <v>14</v>
      </c>
    </row>
    <row r="50" spans="6:18">
      <c r="F50">
        <v>49</v>
      </c>
      <c r="G50">
        <f t="shared" si="3"/>
        <v>0</v>
      </c>
      <c r="H50">
        <f ca="1">1*(H49&gt;=120)*(H49-I49)*EXP((mu_2-sigma_2^2/2)*Dt_2+sigma_2*SQRT(Dt_2)*_xlfn.NORM.INV(RAND(),0,1))</f>
        <v>0</v>
      </c>
      <c r="I50">
        <f t="shared" si="1"/>
        <v>120</v>
      </c>
      <c r="J50">
        <f ca="1" t="shared" si="2"/>
        <v>0</v>
      </c>
      <c r="Q50">
        <v>49</v>
      </c>
      <c r="R50">
        <v>10</v>
      </c>
    </row>
    <row r="51" spans="6:18">
      <c r="F51">
        <v>50</v>
      </c>
      <c r="G51">
        <f t="shared" si="3"/>
        <v>0</v>
      </c>
      <c r="H51">
        <f ca="1">1*(H50&gt;=120)*(H50-I50)*EXP((mu_2-sigma_2^2/2)*Dt_2+sigma_2*SQRT(Dt_2)*_xlfn.NORM.INV(RAND(),0,1))</f>
        <v>0</v>
      </c>
      <c r="I51">
        <f t="shared" si="1"/>
        <v>120</v>
      </c>
      <c r="J51">
        <f ca="1" t="shared" si="2"/>
        <v>0</v>
      </c>
      <c r="Q51">
        <v>50</v>
      </c>
      <c r="R51">
        <v>10</v>
      </c>
    </row>
    <row r="52" spans="17:18">
      <c r="Q52">
        <v>51</v>
      </c>
      <c r="R52">
        <v>11</v>
      </c>
    </row>
    <row r="53" spans="17:18">
      <c r="Q53">
        <v>52</v>
      </c>
      <c r="R53">
        <v>12</v>
      </c>
    </row>
    <row r="54" spans="17:18">
      <c r="Q54">
        <v>53</v>
      </c>
      <c r="R54">
        <v>12</v>
      </c>
    </row>
    <row r="55" spans="17:18">
      <c r="Q55">
        <v>54</v>
      </c>
      <c r="R55">
        <v>16</v>
      </c>
    </row>
    <row r="56" spans="17:18">
      <c r="Q56">
        <v>55</v>
      </c>
      <c r="R56">
        <v>13</v>
      </c>
    </row>
    <row r="57" spans="17:18">
      <c r="Q57">
        <v>56</v>
      </c>
      <c r="R57">
        <v>14</v>
      </c>
    </row>
    <row r="58" spans="17:18">
      <c r="Q58">
        <v>57</v>
      </c>
      <c r="R58">
        <v>13</v>
      </c>
    </row>
    <row r="59" spans="17:18">
      <c r="Q59">
        <v>58</v>
      </c>
      <c r="R59">
        <v>14</v>
      </c>
    </row>
    <row r="60" spans="17:18">
      <c r="Q60">
        <v>59</v>
      </c>
      <c r="R60">
        <v>13</v>
      </c>
    </row>
    <row r="61" spans="17:18">
      <c r="Q61">
        <v>60</v>
      </c>
      <c r="R61">
        <v>14</v>
      </c>
    </row>
    <row r="62" spans="17:18">
      <c r="Q62">
        <v>61</v>
      </c>
      <c r="R62">
        <v>12</v>
      </c>
    </row>
    <row r="63" spans="17:18">
      <c r="Q63">
        <v>62</v>
      </c>
      <c r="R63">
        <v>10</v>
      </c>
    </row>
    <row r="64" spans="17:18">
      <c r="Q64">
        <v>63</v>
      </c>
      <c r="R64">
        <v>10</v>
      </c>
    </row>
    <row r="65" spans="17:18">
      <c r="Q65">
        <v>64</v>
      </c>
      <c r="R65">
        <v>13</v>
      </c>
    </row>
    <row r="66" spans="17:18">
      <c r="Q66">
        <v>65</v>
      </c>
      <c r="R66">
        <v>11</v>
      </c>
    </row>
    <row r="67" spans="17:18">
      <c r="Q67">
        <v>66</v>
      </c>
      <c r="R67">
        <v>14</v>
      </c>
    </row>
    <row r="68" spans="17:18">
      <c r="Q68">
        <v>67</v>
      </c>
      <c r="R68">
        <v>12</v>
      </c>
    </row>
    <row r="69" spans="17:18">
      <c r="Q69">
        <v>68</v>
      </c>
      <c r="R69">
        <v>16</v>
      </c>
    </row>
    <row r="70" spans="17:18">
      <c r="Q70">
        <v>69</v>
      </c>
      <c r="R70">
        <v>13</v>
      </c>
    </row>
    <row r="71" spans="17:18">
      <c r="Q71">
        <v>70</v>
      </c>
      <c r="R71">
        <v>10</v>
      </c>
    </row>
    <row r="72" spans="17:18">
      <c r="Q72">
        <v>71</v>
      </c>
      <c r="R72">
        <v>17</v>
      </c>
    </row>
    <row r="73" spans="17:18">
      <c r="Q73">
        <v>72</v>
      </c>
      <c r="R73">
        <v>12</v>
      </c>
    </row>
    <row r="74" spans="17:18">
      <c r="Q74">
        <v>73</v>
      </c>
      <c r="R74">
        <v>12</v>
      </c>
    </row>
    <row r="75" spans="17:18">
      <c r="Q75">
        <v>74</v>
      </c>
      <c r="R75">
        <v>13</v>
      </c>
    </row>
    <row r="76" spans="17:18">
      <c r="Q76">
        <v>75</v>
      </c>
      <c r="R76">
        <v>11</v>
      </c>
    </row>
    <row r="77" spans="17:18">
      <c r="Q77">
        <v>76</v>
      </c>
      <c r="R77">
        <v>14</v>
      </c>
    </row>
    <row r="78" spans="17:18">
      <c r="Q78">
        <v>77</v>
      </c>
      <c r="R78">
        <v>14</v>
      </c>
    </row>
    <row r="79" spans="17:18">
      <c r="Q79">
        <v>78</v>
      </c>
      <c r="R79">
        <v>11</v>
      </c>
    </row>
    <row r="80" spans="17:18">
      <c r="Q80">
        <v>79</v>
      </c>
      <c r="R80">
        <v>12</v>
      </c>
    </row>
    <row r="81" spans="17:18">
      <c r="Q81">
        <v>80</v>
      </c>
      <c r="R81">
        <v>14</v>
      </c>
    </row>
    <row r="82" spans="17:18">
      <c r="Q82">
        <v>81</v>
      </c>
      <c r="R82">
        <v>12</v>
      </c>
    </row>
    <row r="83" spans="17:18">
      <c r="Q83">
        <v>82</v>
      </c>
      <c r="R83">
        <v>13</v>
      </c>
    </row>
    <row r="84" spans="17:18">
      <c r="Q84">
        <v>83</v>
      </c>
      <c r="R84">
        <v>14</v>
      </c>
    </row>
    <row r="85" spans="17:18">
      <c r="Q85">
        <v>84</v>
      </c>
      <c r="R85">
        <v>10</v>
      </c>
    </row>
    <row r="86" spans="17:18">
      <c r="Q86">
        <v>85</v>
      </c>
      <c r="R86">
        <v>13</v>
      </c>
    </row>
    <row r="87" spans="17:18">
      <c r="Q87">
        <v>86</v>
      </c>
      <c r="R87">
        <v>12</v>
      </c>
    </row>
    <row r="88" spans="17:18">
      <c r="Q88">
        <v>87</v>
      </c>
      <c r="R88">
        <v>12</v>
      </c>
    </row>
    <row r="89" spans="17:18">
      <c r="Q89">
        <v>88</v>
      </c>
      <c r="R89">
        <v>10</v>
      </c>
    </row>
    <row r="90" spans="17:18">
      <c r="Q90">
        <v>89</v>
      </c>
      <c r="R90">
        <v>11</v>
      </c>
    </row>
    <row r="91" spans="17:18">
      <c r="Q91">
        <v>90</v>
      </c>
      <c r="R91">
        <v>10</v>
      </c>
    </row>
    <row r="92" spans="17:18">
      <c r="Q92">
        <v>91</v>
      </c>
      <c r="R92">
        <v>14</v>
      </c>
    </row>
    <row r="93" spans="17:18">
      <c r="Q93">
        <v>92</v>
      </c>
      <c r="R93">
        <v>13</v>
      </c>
    </row>
    <row r="94" spans="17:18">
      <c r="Q94">
        <v>93</v>
      </c>
      <c r="R94">
        <v>10</v>
      </c>
    </row>
    <row r="95" spans="17:18">
      <c r="Q95">
        <v>94</v>
      </c>
      <c r="R95">
        <v>14</v>
      </c>
    </row>
    <row r="96" spans="17:18">
      <c r="Q96">
        <v>95</v>
      </c>
      <c r="R96">
        <v>11</v>
      </c>
    </row>
    <row r="97" spans="17:18">
      <c r="Q97">
        <v>96</v>
      </c>
      <c r="R97">
        <v>12</v>
      </c>
    </row>
    <row r="98" spans="17:18">
      <c r="Q98">
        <v>97</v>
      </c>
      <c r="R98">
        <v>11</v>
      </c>
    </row>
    <row r="99" spans="17:18">
      <c r="Q99">
        <v>98</v>
      </c>
      <c r="R99">
        <v>11</v>
      </c>
    </row>
    <row r="100" spans="17:18">
      <c r="Q100">
        <v>99</v>
      </c>
      <c r="R100">
        <v>12</v>
      </c>
    </row>
    <row r="101" spans="17:18">
      <c r="Q101">
        <v>100</v>
      </c>
      <c r="R101">
        <v>11</v>
      </c>
    </row>
    <row r="102" spans="17:18">
      <c r="Q102">
        <v>101</v>
      </c>
      <c r="R102">
        <v>12</v>
      </c>
    </row>
    <row r="103" spans="17:18">
      <c r="Q103">
        <v>102</v>
      </c>
      <c r="R103">
        <v>12</v>
      </c>
    </row>
    <row r="104" spans="17:18">
      <c r="Q104">
        <v>103</v>
      </c>
      <c r="R104">
        <v>12</v>
      </c>
    </row>
    <row r="105" spans="17:18">
      <c r="Q105">
        <v>104</v>
      </c>
      <c r="R105">
        <v>10</v>
      </c>
    </row>
    <row r="106" spans="17:18">
      <c r="Q106">
        <v>105</v>
      </c>
      <c r="R106">
        <v>12</v>
      </c>
    </row>
    <row r="107" spans="17:18">
      <c r="Q107">
        <v>106</v>
      </c>
      <c r="R107">
        <v>12</v>
      </c>
    </row>
    <row r="108" spans="17:18">
      <c r="Q108">
        <v>107</v>
      </c>
      <c r="R108">
        <v>12</v>
      </c>
    </row>
    <row r="109" spans="17:18">
      <c r="Q109">
        <v>108</v>
      </c>
      <c r="R109">
        <v>11</v>
      </c>
    </row>
    <row r="110" spans="17:18">
      <c r="Q110">
        <v>109</v>
      </c>
      <c r="R110">
        <v>12</v>
      </c>
    </row>
    <row r="111" spans="17:18">
      <c r="Q111">
        <v>110</v>
      </c>
      <c r="R111">
        <v>13</v>
      </c>
    </row>
    <row r="112" spans="17:18">
      <c r="Q112">
        <v>111</v>
      </c>
      <c r="R112">
        <v>13</v>
      </c>
    </row>
    <row r="113" spans="17:18">
      <c r="Q113">
        <v>112</v>
      </c>
      <c r="R113">
        <v>9</v>
      </c>
    </row>
    <row r="114" spans="17:18">
      <c r="Q114">
        <v>113</v>
      </c>
      <c r="R114">
        <v>12</v>
      </c>
    </row>
    <row r="115" spans="17:18">
      <c r="Q115">
        <v>114</v>
      </c>
      <c r="R115">
        <v>12</v>
      </c>
    </row>
    <row r="116" spans="17:18">
      <c r="Q116">
        <v>115</v>
      </c>
      <c r="R116">
        <v>15</v>
      </c>
    </row>
    <row r="117" spans="17:18">
      <c r="Q117">
        <v>116</v>
      </c>
      <c r="R117">
        <v>12</v>
      </c>
    </row>
    <row r="118" spans="17:18">
      <c r="Q118">
        <v>117</v>
      </c>
      <c r="R118">
        <v>11</v>
      </c>
    </row>
    <row r="119" spans="17:18">
      <c r="Q119">
        <v>118</v>
      </c>
      <c r="R119">
        <v>14</v>
      </c>
    </row>
    <row r="120" spans="17:18">
      <c r="Q120">
        <v>119</v>
      </c>
      <c r="R120">
        <v>13</v>
      </c>
    </row>
    <row r="121" spans="17:18">
      <c r="Q121">
        <v>120</v>
      </c>
      <c r="R121">
        <v>10</v>
      </c>
    </row>
    <row r="122" spans="17:18">
      <c r="Q122">
        <v>121</v>
      </c>
      <c r="R122">
        <v>12</v>
      </c>
    </row>
    <row r="123" spans="17:18">
      <c r="Q123">
        <v>122</v>
      </c>
      <c r="R123">
        <v>14</v>
      </c>
    </row>
    <row r="124" spans="17:18">
      <c r="Q124">
        <v>123</v>
      </c>
      <c r="R124">
        <v>11</v>
      </c>
    </row>
    <row r="125" spans="17:18">
      <c r="Q125">
        <v>124</v>
      </c>
      <c r="R125">
        <v>10</v>
      </c>
    </row>
    <row r="126" spans="17:18">
      <c r="Q126">
        <v>125</v>
      </c>
      <c r="R126">
        <v>13</v>
      </c>
    </row>
    <row r="127" spans="17:18">
      <c r="Q127">
        <v>126</v>
      </c>
      <c r="R127">
        <v>16</v>
      </c>
    </row>
    <row r="128" spans="17:18">
      <c r="Q128">
        <v>127</v>
      </c>
      <c r="R128">
        <v>11</v>
      </c>
    </row>
    <row r="129" spans="17:18">
      <c r="Q129">
        <v>128</v>
      </c>
      <c r="R129">
        <v>16</v>
      </c>
    </row>
    <row r="130" spans="17:18">
      <c r="Q130">
        <v>129</v>
      </c>
      <c r="R130">
        <v>10</v>
      </c>
    </row>
    <row r="131" spans="17:18">
      <c r="Q131">
        <v>130</v>
      </c>
      <c r="R131">
        <v>11</v>
      </c>
    </row>
    <row r="132" spans="17:18">
      <c r="Q132">
        <v>131</v>
      </c>
      <c r="R132">
        <v>10</v>
      </c>
    </row>
    <row r="133" spans="17:18">
      <c r="Q133">
        <v>132</v>
      </c>
      <c r="R133">
        <v>11</v>
      </c>
    </row>
    <row r="134" spans="17:18">
      <c r="Q134">
        <v>133</v>
      </c>
      <c r="R134">
        <v>15</v>
      </c>
    </row>
    <row r="135" spans="17:18">
      <c r="Q135">
        <v>134</v>
      </c>
      <c r="R135">
        <v>10</v>
      </c>
    </row>
    <row r="136" spans="17:18">
      <c r="Q136">
        <v>135</v>
      </c>
      <c r="R136">
        <v>10</v>
      </c>
    </row>
    <row r="137" spans="17:18">
      <c r="Q137">
        <v>136</v>
      </c>
      <c r="R137">
        <v>15</v>
      </c>
    </row>
    <row r="138" spans="17:18">
      <c r="Q138">
        <v>137</v>
      </c>
      <c r="R138">
        <v>11</v>
      </c>
    </row>
    <row r="139" spans="17:18">
      <c r="Q139">
        <v>138</v>
      </c>
      <c r="R139">
        <v>11</v>
      </c>
    </row>
    <row r="140" spans="17:18">
      <c r="Q140">
        <v>139</v>
      </c>
      <c r="R140">
        <v>10</v>
      </c>
    </row>
    <row r="141" spans="17:18">
      <c r="Q141">
        <v>140</v>
      </c>
      <c r="R141">
        <v>11</v>
      </c>
    </row>
    <row r="142" spans="17:18">
      <c r="Q142">
        <v>141</v>
      </c>
      <c r="R142">
        <v>10</v>
      </c>
    </row>
    <row r="143" spans="17:18">
      <c r="Q143">
        <v>142</v>
      </c>
      <c r="R143">
        <v>11</v>
      </c>
    </row>
    <row r="144" spans="17:18">
      <c r="Q144">
        <v>143</v>
      </c>
      <c r="R144">
        <v>11</v>
      </c>
    </row>
    <row r="145" spans="17:18">
      <c r="Q145">
        <v>144</v>
      </c>
      <c r="R145">
        <v>15</v>
      </c>
    </row>
    <row r="146" spans="17:18">
      <c r="Q146">
        <v>145</v>
      </c>
      <c r="R146">
        <v>15</v>
      </c>
    </row>
    <row r="147" spans="17:18">
      <c r="Q147">
        <v>146</v>
      </c>
      <c r="R147">
        <v>13</v>
      </c>
    </row>
    <row r="148" spans="17:18">
      <c r="Q148">
        <v>147</v>
      </c>
      <c r="R148">
        <v>10</v>
      </c>
    </row>
    <row r="149" spans="17:18">
      <c r="Q149">
        <v>148</v>
      </c>
      <c r="R149">
        <v>13</v>
      </c>
    </row>
    <row r="150" spans="17:18">
      <c r="Q150">
        <v>149</v>
      </c>
      <c r="R150">
        <v>14</v>
      </c>
    </row>
    <row r="151" spans="17:18">
      <c r="Q151">
        <v>150</v>
      </c>
      <c r="R151">
        <v>12</v>
      </c>
    </row>
    <row r="152" spans="17:18">
      <c r="Q152">
        <v>151</v>
      </c>
      <c r="R152">
        <v>11</v>
      </c>
    </row>
    <row r="153" spans="17:18">
      <c r="Q153">
        <v>152</v>
      </c>
      <c r="R153">
        <v>12</v>
      </c>
    </row>
    <row r="154" spans="17:18">
      <c r="Q154">
        <v>153</v>
      </c>
      <c r="R154">
        <v>14</v>
      </c>
    </row>
    <row r="155" spans="17:18">
      <c r="Q155">
        <v>154</v>
      </c>
      <c r="R155">
        <v>11</v>
      </c>
    </row>
    <row r="156" spans="17:18">
      <c r="Q156">
        <v>155</v>
      </c>
      <c r="R156">
        <v>12</v>
      </c>
    </row>
    <row r="157" spans="17:18">
      <c r="Q157">
        <v>156</v>
      </c>
      <c r="R157">
        <v>14</v>
      </c>
    </row>
    <row r="158" spans="17:18">
      <c r="Q158">
        <v>157</v>
      </c>
      <c r="R158">
        <v>18</v>
      </c>
    </row>
    <row r="159" spans="17:18">
      <c r="Q159">
        <v>158</v>
      </c>
      <c r="R159">
        <v>15</v>
      </c>
    </row>
    <row r="160" spans="17:18">
      <c r="Q160">
        <v>159</v>
      </c>
      <c r="R160">
        <v>11</v>
      </c>
    </row>
    <row r="161" spans="17:18">
      <c r="Q161">
        <v>160</v>
      </c>
      <c r="R161">
        <v>10</v>
      </c>
    </row>
    <row r="162" spans="17:18">
      <c r="Q162">
        <v>161</v>
      </c>
      <c r="R162">
        <v>12</v>
      </c>
    </row>
    <row r="163" spans="17:18">
      <c r="Q163">
        <v>162</v>
      </c>
      <c r="R163">
        <v>13</v>
      </c>
    </row>
    <row r="164" spans="17:18">
      <c r="Q164">
        <v>163</v>
      </c>
      <c r="R164">
        <v>12</v>
      </c>
    </row>
    <row r="165" spans="17:18">
      <c r="Q165">
        <v>164</v>
      </c>
      <c r="R165">
        <v>11</v>
      </c>
    </row>
    <row r="166" spans="17:18">
      <c r="Q166">
        <v>165</v>
      </c>
      <c r="R166">
        <v>16</v>
      </c>
    </row>
    <row r="167" spans="17:18">
      <c r="Q167">
        <v>166</v>
      </c>
      <c r="R167">
        <v>15</v>
      </c>
    </row>
    <row r="168" spans="17:18">
      <c r="Q168">
        <v>167</v>
      </c>
      <c r="R168">
        <v>13</v>
      </c>
    </row>
    <row r="169" spans="17:18">
      <c r="Q169">
        <v>168</v>
      </c>
      <c r="R169">
        <v>12</v>
      </c>
    </row>
    <row r="170" spans="17:18">
      <c r="Q170">
        <v>169</v>
      </c>
      <c r="R170">
        <v>12</v>
      </c>
    </row>
    <row r="171" spans="17:18">
      <c r="Q171">
        <v>170</v>
      </c>
      <c r="R171">
        <v>11</v>
      </c>
    </row>
    <row r="172" spans="17:18">
      <c r="Q172">
        <v>171</v>
      </c>
      <c r="R172">
        <v>12</v>
      </c>
    </row>
    <row r="173" spans="17:18">
      <c r="Q173">
        <v>172</v>
      </c>
      <c r="R173">
        <v>11</v>
      </c>
    </row>
    <row r="174" spans="17:18">
      <c r="Q174">
        <v>173</v>
      </c>
      <c r="R174">
        <v>12</v>
      </c>
    </row>
    <row r="175" spans="17:18">
      <c r="Q175">
        <v>174</v>
      </c>
      <c r="R175">
        <v>12</v>
      </c>
    </row>
    <row r="176" spans="17:18">
      <c r="Q176">
        <v>175</v>
      </c>
      <c r="R176">
        <v>13</v>
      </c>
    </row>
    <row r="177" spans="17:18">
      <c r="Q177">
        <v>176</v>
      </c>
      <c r="R177">
        <v>19</v>
      </c>
    </row>
    <row r="178" spans="17:18">
      <c r="Q178">
        <v>177</v>
      </c>
      <c r="R178">
        <v>12</v>
      </c>
    </row>
    <row r="179" spans="17:18">
      <c r="Q179">
        <v>178</v>
      </c>
      <c r="R179">
        <v>11</v>
      </c>
    </row>
    <row r="180" spans="17:18">
      <c r="Q180">
        <v>179</v>
      </c>
      <c r="R180">
        <v>11</v>
      </c>
    </row>
    <row r="181" spans="17:18">
      <c r="Q181">
        <v>180</v>
      </c>
      <c r="R181">
        <v>11</v>
      </c>
    </row>
    <row r="182" spans="17:18">
      <c r="Q182">
        <v>181</v>
      </c>
      <c r="R182">
        <v>12</v>
      </c>
    </row>
    <row r="183" spans="17:18">
      <c r="Q183">
        <v>182</v>
      </c>
      <c r="R183">
        <v>11</v>
      </c>
    </row>
    <row r="184" spans="17:18">
      <c r="Q184">
        <v>183</v>
      </c>
      <c r="R184">
        <v>14</v>
      </c>
    </row>
    <row r="185" spans="17:18">
      <c r="Q185">
        <v>184</v>
      </c>
      <c r="R185">
        <v>13</v>
      </c>
    </row>
    <row r="186" spans="17:18">
      <c r="Q186">
        <v>185</v>
      </c>
      <c r="R186">
        <v>12</v>
      </c>
    </row>
    <row r="187" spans="17:18">
      <c r="Q187">
        <v>186</v>
      </c>
      <c r="R187">
        <v>12</v>
      </c>
    </row>
    <row r="188" spans="17:18">
      <c r="Q188">
        <v>187</v>
      </c>
      <c r="R188">
        <v>17</v>
      </c>
    </row>
    <row r="189" spans="17:18">
      <c r="Q189">
        <v>188</v>
      </c>
      <c r="R189">
        <v>11</v>
      </c>
    </row>
    <row r="190" spans="17:18">
      <c r="Q190">
        <v>189</v>
      </c>
      <c r="R190">
        <v>12</v>
      </c>
    </row>
    <row r="191" spans="17:18">
      <c r="Q191">
        <v>190</v>
      </c>
      <c r="R191">
        <v>12</v>
      </c>
    </row>
    <row r="192" spans="17:18">
      <c r="Q192">
        <v>191</v>
      </c>
      <c r="R192">
        <v>13</v>
      </c>
    </row>
    <row r="193" spans="17:18">
      <c r="Q193">
        <v>192</v>
      </c>
      <c r="R193">
        <v>15</v>
      </c>
    </row>
    <row r="194" spans="17:18">
      <c r="Q194">
        <v>193</v>
      </c>
      <c r="R194">
        <v>12</v>
      </c>
    </row>
    <row r="195" spans="17:18">
      <c r="Q195">
        <v>194</v>
      </c>
      <c r="R195">
        <v>13</v>
      </c>
    </row>
    <row r="196" spans="17:18">
      <c r="Q196">
        <v>195</v>
      </c>
      <c r="R196">
        <v>9</v>
      </c>
    </row>
    <row r="197" spans="17:18">
      <c r="Q197">
        <v>196</v>
      </c>
      <c r="R197">
        <v>13</v>
      </c>
    </row>
    <row r="198" spans="17:18">
      <c r="Q198">
        <v>197</v>
      </c>
      <c r="R198">
        <v>13</v>
      </c>
    </row>
    <row r="199" spans="17:18">
      <c r="Q199">
        <v>198</v>
      </c>
      <c r="R199">
        <v>13</v>
      </c>
    </row>
    <row r="200" spans="17:18">
      <c r="Q200">
        <v>199</v>
      </c>
      <c r="R200">
        <v>12</v>
      </c>
    </row>
    <row r="201" spans="17:18">
      <c r="Q201">
        <v>200</v>
      </c>
      <c r="R201">
        <v>11</v>
      </c>
    </row>
    <row r="202" spans="17:18">
      <c r="Q202">
        <v>201</v>
      </c>
      <c r="R202">
        <v>12</v>
      </c>
    </row>
    <row r="203" spans="17:18">
      <c r="Q203">
        <v>202</v>
      </c>
      <c r="R203">
        <v>12</v>
      </c>
    </row>
    <row r="204" spans="17:18">
      <c r="Q204">
        <v>203</v>
      </c>
      <c r="R204">
        <v>12</v>
      </c>
    </row>
    <row r="205" spans="17:18">
      <c r="Q205">
        <v>204</v>
      </c>
      <c r="R205">
        <v>11</v>
      </c>
    </row>
    <row r="206" spans="17:18">
      <c r="Q206">
        <v>205</v>
      </c>
      <c r="R206">
        <v>13</v>
      </c>
    </row>
    <row r="207" spans="17:18">
      <c r="Q207">
        <v>206</v>
      </c>
      <c r="R207">
        <v>11</v>
      </c>
    </row>
    <row r="208" spans="17:18">
      <c r="Q208">
        <v>207</v>
      </c>
      <c r="R208">
        <v>13</v>
      </c>
    </row>
    <row r="209" spans="17:18">
      <c r="Q209">
        <v>208</v>
      </c>
      <c r="R209">
        <v>15</v>
      </c>
    </row>
    <row r="210" spans="17:18">
      <c r="Q210">
        <v>209</v>
      </c>
      <c r="R210">
        <v>12</v>
      </c>
    </row>
    <row r="211" spans="17:18">
      <c r="Q211">
        <v>210</v>
      </c>
      <c r="R211">
        <v>11</v>
      </c>
    </row>
    <row r="212" spans="17:18">
      <c r="Q212">
        <v>211</v>
      </c>
      <c r="R212">
        <v>13</v>
      </c>
    </row>
    <row r="213" spans="17:18">
      <c r="Q213">
        <v>212</v>
      </c>
      <c r="R213">
        <v>13</v>
      </c>
    </row>
    <row r="214" spans="17:18">
      <c r="Q214">
        <v>213</v>
      </c>
      <c r="R214">
        <v>9</v>
      </c>
    </row>
    <row r="215" spans="17:18">
      <c r="Q215">
        <v>214</v>
      </c>
      <c r="R215">
        <v>11</v>
      </c>
    </row>
    <row r="216" spans="17:18">
      <c r="Q216">
        <v>215</v>
      </c>
      <c r="R216">
        <v>12</v>
      </c>
    </row>
    <row r="217" spans="17:18">
      <c r="Q217">
        <v>216</v>
      </c>
      <c r="R217">
        <v>12</v>
      </c>
    </row>
    <row r="218" spans="17:18">
      <c r="Q218">
        <v>217</v>
      </c>
      <c r="R218">
        <v>10</v>
      </c>
    </row>
    <row r="219" spans="17:18">
      <c r="Q219">
        <v>218</v>
      </c>
      <c r="R219">
        <v>11</v>
      </c>
    </row>
    <row r="220" spans="17:18">
      <c r="Q220">
        <v>219</v>
      </c>
      <c r="R220">
        <v>10</v>
      </c>
    </row>
    <row r="221" spans="17:18">
      <c r="Q221">
        <v>220</v>
      </c>
      <c r="R221">
        <v>16</v>
      </c>
    </row>
    <row r="222" spans="17:18">
      <c r="Q222">
        <v>221</v>
      </c>
      <c r="R222">
        <v>11</v>
      </c>
    </row>
    <row r="223" spans="17:18">
      <c r="Q223">
        <v>222</v>
      </c>
      <c r="R223">
        <v>10</v>
      </c>
    </row>
    <row r="224" spans="17:18">
      <c r="Q224">
        <v>223</v>
      </c>
      <c r="R224">
        <v>10</v>
      </c>
    </row>
    <row r="225" spans="17:18">
      <c r="Q225">
        <v>224</v>
      </c>
      <c r="R225">
        <v>13</v>
      </c>
    </row>
    <row r="226" spans="17:18">
      <c r="Q226">
        <v>225</v>
      </c>
      <c r="R226">
        <v>13</v>
      </c>
    </row>
    <row r="227" spans="17:18">
      <c r="Q227">
        <v>226</v>
      </c>
      <c r="R227">
        <v>12</v>
      </c>
    </row>
    <row r="228" spans="17:18">
      <c r="Q228">
        <v>227</v>
      </c>
      <c r="R228">
        <v>10</v>
      </c>
    </row>
    <row r="229" spans="17:18">
      <c r="Q229">
        <v>228</v>
      </c>
      <c r="R229">
        <v>11</v>
      </c>
    </row>
    <row r="230" spans="17:18">
      <c r="Q230">
        <v>229</v>
      </c>
      <c r="R230">
        <v>16</v>
      </c>
    </row>
    <row r="231" spans="17:18">
      <c r="Q231">
        <v>230</v>
      </c>
      <c r="R231">
        <v>17</v>
      </c>
    </row>
    <row r="232" spans="17:18">
      <c r="Q232">
        <v>231</v>
      </c>
      <c r="R232">
        <v>13</v>
      </c>
    </row>
    <row r="233" spans="17:18">
      <c r="Q233">
        <v>232</v>
      </c>
      <c r="R233">
        <v>11</v>
      </c>
    </row>
    <row r="234" spans="17:18">
      <c r="Q234">
        <v>233</v>
      </c>
      <c r="R234">
        <v>16</v>
      </c>
    </row>
    <row r="235" spans="17:18">
      <c r="Q235">
        <v>234</v>
      </c>
      <c r="R235">
        <v>11</v>
      </c>
    </row>
    <row r="236" spans="17:18">
      <c r="Q236">
        <v>235</v>
      </c>
      <c r="R236">
        <v>9</v>
      </c>
    </row>
    <row r="237" spans="17:18">
      <c r="Q237">
        <v>236</v>
      </c>
      <c r="R237">
        <v>14</v>
      </c>
    </row>
    <row r="238" spans="17:18">
      <c r="Q238">
        <v>237</v>
      </c>
      <c r="R238">
        <v>10</v>
      </c>
    </row>
    <row r="239" spans="17:18">
      <c r="Q239">
        <v>238</v>
      </c>
      <c r="R239">
        <v>12</v>
      </c>
    </row>
    <row r="240" spans="17:18">
      <c r="Q240">
        <v>239</v>
      </c>
      <c r="R240">
        <v>12</v>
      </c>
    </row>
    <row r="241" spans="17:18">
      <c r="Q241">
        <v>240</v>
      </c>
      <c r="R241">
        <v>10</v>
      </c>
    </row>
    <row r="242" spans="17:18">
      <c r="Q242">
        <v>241</v>
      </c>
      <c r="R242">
        <v>11</v>
      </c>
    </row>
    <row r="243" spans="17:18">
      <c r="Q243">
        <v>242</v>
      </c>
      <c r="R243">
        <v>13</v>
      </c>
    </row>
    <row r="244" spans="17:18">
      <c r="Q244">
        <v>243</v>
      </c>
      <c r="R244">
        <v>12</v>
      </c>
    </row>
    <row r="245" spans="17:18">
      <c r="Q245">
        <v>244</v>
      </c>
      <c r="R245">
        <v>17</v>
      </c>
    </row>
    <row r="246" spans="17:18">
      <c r="Q246">
        <v>245</v>
      </c>
      <c r="R246">
        <v>10</v>
      </c>
    </row>
    <row r="247" spans="17:18">
      <c r="Q247">
        <v>246</v>
      </c>
      <c r="R247">
        <v>10</v>
      </c>
    </row>
    <row r="248" spans="17:18">
      <c r="Q248">
        <v>247</v>
      </c>
      <c r="R248">
        <v>11</v>
      </c>
    </row>
    <row r="249" spans="17:18">
      <c r="Q249">
        <v>248</v>
      </c>
      <c r="R249">
        <v>10</v>
      </c>
    </row>
    <row r="250" spans="17:18">
      <c r="Q250">
        <v>249</v>
      </c>
      <c r="R250">
        <v>15</v>
      </c>
    </row>
    <row r="251" spans="17:18">
      <c r="Q251">
        <v>250</v>
      </c>
      <c r="R251">
        <v>13</v>
      </c>
    </row>
    <row r="252" spans="17:18">
      <c r="Q252">
        <v>251</v>
      </c>
      <c r="R252">
        <v>11</v>
      </c>
    </row>
    <row r="253" spans="17:18">
      <c r="Q253">
        <v>252</v>
      </c>
      <c r="R253">
        <v>10</v>
      </c>
    </row>
    <row r="254" spans="17:18">
      <c r="Q254">
        <v>253</v>
      </c>
      <c r="R254">
        <v>10</v>
      </c>
    </row>
    <row r="255" spans="17:18">
      <c r="Q255">
        <v>254</v>
      </c>
      <c r="R255">
        <v>9</v>
      </c>
    </row>
    <row r="256" spans="17:18">
      <c r="Q256">
        <v>255</v>
      </c>
      <c r="R256">
        <v>12</v>
      </c>
    </row>
    <row r="257" spans="17:18">
      <c r="Q257">
        <v>256</v>
      </c>
      <c r="R257">
        <v>15</v>
      </c>
    </row>
    <row r="258" spans="17:18">
      <c r="Q258">
        <v>257</v>
      </c>
      <c r="R258">
        <v>14</v>
      </c>
    </row>
    <row r="259" spans="17:18">
      <c r="Q259">
        <v>258</v>
      </c>
      <c r="R259">
        <v>11</v>
      </c>
    </row>
    <row r="260" spans="17:18">
      <c r="Q260">
        <v>259</v>
      </c>
      <c r="R260">
        <v>12</v>
      </c>
    </row>
    <row r="261" spans="17:18">
      <c r="Q261">
        <v>260</v>
      </c>
      <c r="R261">
        <v>11</v>
      </c>
    </row>
    <row r="262" spans="17:18">
      <c r="Q262">
        <v>261</v>
      </c>
      <c r="R262">
        <v>12</v>
      </c>
    </row>
    <row r="263" spans="17:18">
      <c r="Q263">
        <v>262</v>
      </c>
      <c r="R263">
        <v>15</v>
      </c>
    </row>
    <row r="264" spans="17:18">
      <c r="Q264">
        <v>263</v>
      </c>
      <c r="R264">
        <v>13</v>
      </c>
    </row>
    <row r="265" spans="17:18">
      <c r="Q265">
        <v>264</v>
      </c>
      <c r="R265">
        <v>11</v>
      </c>
    </row>
    <row r="266" spans="17:18">
      <c r="Q266">
        <v>265</v>
      </c>
      <c r="R266">
        <v>14</v>
      </c>
    </row>
    <row r="267" spans="17:18">
      <c r="Q267">
        <v>266</v>
      </c>
      <c r="R267">
        <v>11</v>
      </c>
    </row>
    <row r="268" spans="17:18">
      <c r="Q268">
        <v>267</v>
      </c>
      <c r="R268">
        <v>12</v>
      </c>
    </row>
    <row r="269" spans="17:18">
      <c r="Q269">
        <v>268</v>
      </c>
      <c r="R269">
        <v>10</v>
      </c>
    </row>
    <row r="270" spans="17:18">
      <c r="Q270">
        <v>269</v>
      </c>
      <c r="R270">
        <v>17</v>
      </c>
    </row>
    <row r="271" spans="17:18">
      <c r="Q271">
        <v>270</v>
      </c>
      <c r="R271">
        <v>11</v>
      </c>
    </row>
    <row r="272" spans="17:18">
      <c r="Q272">
        <v>271</v>
      </c>
      <c r="R272">
        <v>11</v>
      </c>
    </row>
    <row r="273" spans="17:18">
      <c r="Q273">
        <v>272</v>
      </c>
      <c r="R273">
        <v>14</v>
      </c>
    </row>
    <row r="274" spans="17:18">
      <c r="Q274">
        <v>273</v>
      </c>
      <c r="R274">
        <v>11</v>
      </c>
    </row>
    <row r="275" spans="17:18">
      <c r="Q275">
        <v>274</v>
      </c>
      <c r="R275">
        <v>13</v>
      </c>
    </row>
    <row r="276" spans="17:18">
      <c r="Q276">
        <v>275</v>
      </c>
      <c r="R276">
        <v>14</v>
      </c>
    </row>
    <row r="277" spans="17:18">
      <c r="Q277">
        <v>276</v>
      </c>
      <c r="R277">
        <v>17</v>
      </c>
    </row>
    <row r="278" spans="17:18">
      <c r="Q278">
        <v>277</v>
      </c>
      <c r="R278">
        <v>12</v>
      </c>
    </row>
    <row r="279" spans="17:18">
      <c r="Q279">
        <v>278</v>
      </c>
      <c r="R279">
        <v>14</v>
      </c>
    </row>
    <row r="280" spans="17:18">
      <c r="Q280">
        <v>279</v>
      </c>
      <c r="R280">
        <v>13</v>
      </c>
    </row>
    <row r="281" spans="17:18">
      <c r="Q281">
        <v>280</v>
      </c>
      <c r="R281">
        <v>12</v>
      </c>
    </row>
    <row r="282" spans="17:18">
      <c r="Q282">
        <v>281</v>
      </c>
      <c r="R282">
        <v>13</v>
      </c>
    </row>
    <row r="283" spans="17:18">
      <c r="Q283">
        <v>282</v>
      </c>
      <c r="R283">
        <v>12</v>
      </c>
    </row>
    <row r="284" spans="17:18">
      <c r="Q284">
        <v>283</v>
      </c>
      <c r="R284">
        <v>14</v>
      </c>
    </row>
    <row r="285" spans="17:18">
      <c r="Q285">
        <v>284</v>
      </c>
      <c r="R285">
        <v>10</v>
      </c>
    </row>
    <row r="286" spans="17:18">
      <c r="Q286">
        <v>285</v>
      </c>
      <c r="R286">
        <v>15</v>
      </c>
    </row>
    <row r="287" spans="17:18">
      <c r="Q287">
        <v>286</v>
      </c>
      <c r="R287">
        <v>14</v>
      </c>
    </row>
    <row r="288" spans="17:18">
      <c r="Q288">
        <v>287</v>
      </c>
      <c r="R288">
        <v>13</v>
      </c>
    </row>
    <row r="289" spans="17:18">
      <c r="Q289">
        <v>288</v>
      </c>
      <c r="R289">
        <v>14</v>
      </c>
    </row>
    <row r="290" spans="17:18">
      <c r="Q290">
        <v>289</v>
      </c>
      <c r="R290">
        <v>15</v>
      </c>
    </row>
    <row r="291" spans="17:18">
      <c r="Q291">
        <v>290</v>
      </c>
      <c r="R291">
        <v>12</v>
      </c>
    </row>
    <row r="292" spans="17:18">
      <c r="Q292">
        <v>291</v>
      </c>
      <c r="R292">
        <v>13</v>
      </c>
    </row>
    <row r="293" spans="17:18">
      <c r="Q293">
        <v>292</v>
      </c>
      <c r="R293">
        <v>12</v>
      </c>
    </row>
    <row r="294" spans="17:18">
      <c r="Q294">
        <v>293</v>
      </c>
      <c r="R294">
        <v>10</v>
      </c>
    </row>
    <row r="295" spans="17:18">
      <c r="Q295">
        <v>294</v>
      </c>
      <c r="R295">
        <v>10</v>
      </c>
    </row>
    <row r="296" spans="17:18">
      <c r="Q296">
        <v>295</v>
      </c>
      <c r="R296">
        <v>12</v>
      </c>
    </row>
    <row r="297" spans="17:18">
      <c r="Q297">
        <v>296</v>
      </c>
      <c r="R297">
        <v>10</v>
      </c>
    </row>
    <row r="298" spans="17:18">
      <c r="Q298">
        <v>297</v>
      </c>
      <c r="R298">
        <v>16</v>
      </c>
    </row>
    <row r="299" spans="17:18">
      <c r="Q299">
        <v>298</v>
      </c>
      <c r="R299">
        <v>13</v>
      </c>
    </row>
    <row r="300" spans="17:18">
      <c r="Q300">
        <v>299</v>
      </c>
      <c r="R300">
        <v>10</v>
      </c>
    </row>
    <row r="301" spans="17:18">
      <c r="Q301">
        <v>300</v>
      </c>
      <c r="R301">
        <v>12</v>
      </c>
    </row>
    <row r="302" spans="17:18">
      <c r="Q302">
        <v>301</v>
      </c>
      <c r="R302">
        <v>11</v>
      </c>
    </row>
    <row r="303" spans="17:18">
      <c r="Q303">
        <v>302</v>
      </c>
      <c r="R303">
        <v>11</v>
      </c>
    </row>
    <row r="304" spans="17:18">
      <c r="Q304">
        <v>303</v>
      </c>
      <c r="R304">
        <v>10</v>
      </c>
    </row>
    <row r="305" spans="17:18">
      <c r="Q305">
        <v>304</v>
      </c>
      <c r="R305">
        <v>14</v>
      </c>
    </row>
    <row r="306" spans="17:18">
      <c r="Q306">
        <v>305</v>
      </c>
      <c r="R306">
        <v>24</v>
      </c>
    </row>
    <row r="307" spans="17:18">
      <c r="Q307">
        <v>306</v>
      </c>
      <c r="R307">
        <v>11</v>
      </c>
    </row>
    <row r="308" spans="17:18">
      <c r="Q308">
        <v>307</v>
      </c>
      <c r="R308">
        <v>10</v>
      </c>
    </row>
    <row r="309" spans="17:18">
      <c r="Q309">
        <v>308</v>
      </c>
      <c r="R309">
        <v>10</v>
      </c>
    </row>
    <row r="310" spans="17:18">
      <c r="Q310">
        <v>309</v>
      </c>
      <c r="R310">
        <v>14</v>
      </c>
    </row>
    <row r="311" spans="17:18">
      <c r="Q311">
        <v>310</v>
      </c>
      <c r="R311">
        <v>11</v>
      </c>
    </row>
    <row r="312" spans="17:18">
      <c r="Q312">
        <v>311</v>
      </c>
      <c r="R312">
        <v>13</v>
      </c>
    </row>
    <row r="313" spans="17:18">
      <c r="Q313">
        <v>312</v>
      </c>
      <c r="R313">
        <v>11</v>
      </c>
    </row>
    <row r="314" spans="17:18">
      <c r="Q314">
        <v>313</v>
      </c>
      <c r="R314">
        <v>12</v>
      </c>
    </row>
    <row r="315" spans="17:18">
      <c r="Q315">
        <v>314</v>
      </c>
      <c r="R315">
        <v>12</v>
      </c>
    </row>
    <row r="316" spans="17:18">
      <c r="Q316">
        <v>315</v>
      </c>
      <c r="R316">
        <v>12</v>
      </c>
    </row>
    <row r="317" spans="17:18">
      <c r="Q317">
        <v>316</v>
      </c>
      <c r="R317">
        <v>11</v>
      </c>
    </row>
    <row r="318" spans="17:18">
      <c r="Q318">
        <v>317</v>
      </c>
      <c r="R318">
        <v>13</v>
      </c>
    </row>
    <row r="319" spans="17:18">
      <c r="Q319">
        <v>318</v>
      </c>
      <c r="R319">
        <v>10</v>
      </c>
    </row>
    <row r="320" spans="17:18">
      <c r="Q320">
        <v>319</v>
      </c>
      <c r="R320">
        <v>11</v>
      </c>
    </row>
    <row r="321" spans="17:18">
      <c r="Q321">
        <v>320</v>
      </c>
      <c r="R321">
        <v>13</v>
      </c>
    </row>
    <row r="322" spans="17:18">
      <c r="Q322">
        <v>321</v>
      </c>
      <c r="R322">
        <v>14</v>
      </c>
    </row>
    <row r="323" spans="17:18">
      <c r="Q323">
        <v>322</v>
      </c>
      <c r="R323">
        <v>14</v>
      </c>
    </row>
    <row r="324" spans="17:18">
      <c r="Q324">
        <v>323</v>
      </c>
      <c r="R324">
        <v>10</v>
      </c>
    </row>
    <row r="325" spans="17:18">
      <c r="Q325">
        <v>324</v>
      </c>
      <c r="R325">
        <v>11</v>
      </c>
    </row>
    <row r="326" spans="17:18">
      <c r="Q326">
        <v>325</v>
      </c>
      <c r="R326">
        <v>11</v>
      </c>
    </row>
    <row r="327" spans="17:18">
      <c r="Q327">
        <v>326</v>
      </c>
      <c r="R327">
        <v>10</v>
      </c>
    </row>
    <row r="328" spans="17:18">
      <c r="Q328">
        <v>327</v>
      </c>
      <c r="R328">
        <v>11</v>
      </c>
    </row>
    <row r="329" spans="17:18">
      <c r="Q329">
        <v>328</v>
      </c>
      <c r="R329">
        <v>11</v>
      </c>
    </row>
    <row r="330" spans="17:18">
      <c r="Q330">
        <v>329</v>
      </c>
      <c r="R330">
        <v>14</v>
      </c>
    </row>
    <row r="331" spans="17:18">
      <c r="Q331">
        <v>330</v>
      </c>
      <c r="R331">
        <v>16</v>
      </c>
    </row>
    <row r="332" spans="17:18">
      <c r="Q332">
        <v>331</v>
      </c>
      <c r="R332">
        <v>12</v>
      </c>
    </row>
    <row r="333" spans="17:18">
      <c r="Q333">
        <v>332</v>
      </c>
      <c r="R333">
        <v>11</v>
      </c>
    </row>
    <row r="334" spans="17:18">
      <c r="Q334">
        <v>333</v>
      </c>
      <c r="R334">
        <v>12</v>
      </c>
    </row>
    <row r="335" spans="17:18">
      <c r="Q335">
        <v>334</v>
      </c>
      <c r="R335">
        <v>14</v>
      </c>
    </row>
    <row r="336" spans="17:18">
      <c r="Q336">
        <v>335</v>
      </c>
      <c r="R336">
        <v>11</v>
      </c>
    </row>
    <row r="337" spans="17:18">
      <c r="Q337">
        <v>336</v>
      </c>
      <c r="R337">
        <v>12</v>
      </c>
    </row>
    <row r="338" spans="17:18">
      <c r="Q338">
        <v>337</v>
      </c>
      <c r="R338">
        <v>16</v>
      </c>
    </row>
    <row r="339" spans="17:18">
      <c r="Q339">
        <v>338</v>
      </c>
      <c r="R339">
        <v>18</v>
      </c>
    </row>
    <row r="340" spans="17:18">
      <c r="Q340">
        <v>339</v>
      </c>
      <c r="R340">
        <v>12</v>
      </c>
    </row>
    <row r="341" spans="17:18">
      <c r="Q341">
        <v>340</v>
      </c>
      <c r="R341">
        <v>18</v>
      </c>
    </row>
    <row r="342" spans="17:18">
      <c r="Q342">
        <v>341</v>
      </c>
      <c r="R342">
        <v>11</v>
      </c>
    </row>
    <row r="343" spans="17:18">
      <c r="Q343">
        <v>342</v>
      </c>
      <c r="R343">
        <v>12</v>
      </c>
    </row>
    <row r="344" spans="17:18">
      <c r="Q344">
        <v>343</v>
      </c>
      <c r="R344">
        <v>12</v>
      </c>
    </row>
    <row r="345" spans="17:18">
      <c r="Q345">
        <v>344</v>
      </c>
      <c r="R345">
        <v>13</v>
      </c>
    </row>
    <row r="346" spans="17:18">
      <c r="Q346">
        <v>345</v>
      </c>
      <c r="R346">
        <v>13</v>
      </c>
    </row>
    <row r="347" spans="17:18">
      <c r="Q347">
        <v>346</v>
      </c>
      <c r="R347">
        <v>12</v>
      </c>
    </row>
    <row r="348" spans="17:18">
      <c r="Q348">
        <v>347</v>
      </c>
      <c r="R348">
        <v>11</v>
      </c>
    </row>
    <row r="349" spans="17:18">
      <c r="Q349">
        <v>348</v>
      </c>
      <c r="R349">
        <v>13</v>
      </c>
    </row>
    <row r="350" spans="17:18">
      <c r="Q350">
        <v>349</v>
      </c>
      <c r="R350">
        <v>15</v>
      </c>
    </row>
    <row r="351" spans="17:18">
      <c r="Q351">
        <v>350</v>
      </c>
      <c r="R351">
        <v>15</v>
      </c>
    </row>
    <row r="352" spans="17:18">
      <c r="Q352">
        <v>351</v>
      </c>
      <c r="R352">
        <v>12</v>
      </c>
    </row>
    <row r="353" spans="17:18">
      <c r="Q353">
        <v>352</v>
      </c>
      <c r="R353">
        <v>13</v>
      </c>
    </row>
    <row r="354" spans="17:18">
      <c r="Q354">
        <v>353</v>
      </c>
      <c r="R354">
        <v>15</v>
      </c>
    </row>
    <row r="355" spans="17:18">
      <c r="Q355">
        <v>354</v>
      </c>
      <c r="R355">
        <v>17</v>
      </c>
    </row>
    <row r="356" spans="17:18">
      <c r="Q356">
        <v>355</v>
      </c>
      <c r="R356">
        <v>12</v>
      </c>
    </row>
    <row r="357" spans="17:18">
      <c r="Q357">
        <v>356</v>
      </c>
      <c r="R357">
        <v>11</v>
      </c>
    </row>
    <row r="358" spans="17:18">
      <c r="Q358">
        <v>357</v>
      </c>
      <c r="R358">
        <v>11</v>
      </c>
    </row>
    <row r="359" spans="17:18">
      <c r="Q359">
        <v>358</v>
      </c>
      <c r="R359">
        <v>13</v>
      </c>
    </row>
    <row r="360" spans="17:18">
      <c r="Q360">
        <v>359</v>
      </c>
      <c r="R360">
        <v>12</v>
      </c>
    </row>
    <row r="361" spans="17:18">
      <c r="Q361">
        <v>360</v>
      </c>
      <c r="R361">
        <v>12</v>
      </c>
    </row>
    <row r="362" spans="17:18">
      <c r="Q362">
        <v>361</v>
      </c>
      <c r="R362">
        <v>11</v>
      </c>
    </row>
    <row r="363" spans="17:18">
      <c r="Q363">
        <v>362</v>
      </c>
      <c r="R363">
        <v>12</v>
      </c>
    </row>
    <row r="364" spans="17:18">
      <c r="Q364">
        <v>363</v>
      </c>
      <c r="R364">
        <v>12</v>
      </c>
    </row>
    <row r="365" spans="17:18">
      <c r="Q365">
        <v>364</v>
      </c>
      <c r="R365">
        <v>11</v>
      </c>
    </row>
    <row r="366" spans="17:18">
      <c r="Q366">
        <v>365</v>
      </c>
      <c r="R366">
        <v>12</v>
      </c>
    </row>
    <row r="367" spans="17:18">
      <c r="Q367">
        <v>366</v>
      </c>
      <c r="R367">
        <v>13</v>
      </c>
    </row>
    <row r="368" spans="17:18">
      <c r="Q368">
        <v>367</v>
      </c>
      <c r="R368">
        <v>13</v>
      </c>
    </row>
    <row r="369" spans="17:18">
      <c r="Q369">
        <v>368</v>
      </c>
      <c r="R369">
        <v>12</v>
      </c>
    </row>
    <row r="370" spans="17:18">
      <c r="Q370">
        <v>369</v>
      </c>
      <c r="R370">
        <v>10</v>
      </c>
    </row>
    <row r="371" spans="17:18">
      <c r="Q371">
        <v>370</v>
      </c>
      <c r="R371">
        <v>12</v>
      </c>
    </row>
    <row r="372" spans="17:18">
      <c r="Q372">
        <v>371</v>
      </c>
      <c r="R372">
        <v>14</v>
      </c>
    </row>
    <row r="373" spans="17:18">
      <c r="Q373">
        <v>372</v>
      </c>
      <c r="R373">
        <v>10</v>
      </c>
    </row>
    <row r="374" spans="17:18">
      <c r="Q374">
        <v>373</v>
      </c>
      <c r="R374">
        <v>10</v>
      </c>
    </row>
    <row r="375" spans="17:18">
      <c r="Q375">
        <v>374</v>
      </c>
      <c r="R375">
        <v>10</v>
      </c>
    </row>
    <row r="376" spans="17:18">
      <c r="Q376">
        <v>375</v>
      </c>
      <c r="R376">
        <v>10</v>
      </c>
    </row>
    <row r="377" spans="17:18">
      <c r="Q377">
        <v>376</v>
      </c>
      <c r="R377">
        <v>13</v>
      </c>
    </row>
    <row r="378" spans="17:18">
      <c r="Q378">
        <v>377</v>
      </c>
      <c r="R378">
        <v>11</v>
      </c>
    </row>
    <row r="379" spans="17:18">
      <c r="Q379">
        <v>378</v>
      </c>
      <c r="R379">
        <v>10</v>
      </c>
    </row>
    <row r="380" spans="17:18">
      <c r="Q380">
        <v>379</v>
      </c>
      <c r="R380">
        <v>13</v>
      </c>
    </row>
    <row r="381" spans="17:18">
      <c r="Q381">
        <v>380</v>
      </c>
      <c r="R381">
        <v>13</v>
      </c>
    </row>
    <row r="382" spans="17:18">
      <c r="Q382">
        <v>381</v>
      </c>
      <c r="R382">
        <v>13</v>
      </c>
    </row>
    <row r="383" spans="17:18">
      <c r="Q383">
        <v>382</v>
      </c>
      <c r="R383">
        <v>11</v>
      </c>
    </row>
    <row r="384" spans="17:18">
      <c r="Q384">
        <v>383</v>
      </c>
      <c r="R384">
        <v>17</v>
      </c>
    </row>
    <row r="385" spans="17:18">
      <c r="Q385">
        <v>384</v>
      </c>
      <c r="R385">
        <v>10</v>
      </c>
    </row>
    <row r="386" spans="17:18">
      <c r="Q386">
        <v>385</v>
      </c>
      <c r="R386">
        <v>12</v>
      </c>
    </row>
    <row r="387" spans="17:18">
      <c r="Q387">
        <v>386</v>
      </c>
      <c r="R387">
        <v>14</v>
      </c>
    </row>
    <row r="388" spans="17:18">
      <c r="Q388">
        <v>387</v>
      </c>
      <c r="R388">
        <v>14</v>
      </c>
    </row>
    <row r="389" spans="17:18">
      <c r="Q389">
        <v>388</v>
      </c>
      <c r="R389">
        <v>14</v>
      </c>
    </row>
    <row r="390" spans="17:18">
      <c r="Q390">
        <v>389</v>
      </c>
      <c r="R390">
        <v>11</v>
      </c>
    </row>
    <row r="391" spans="17:18">
      <c r="Q391">
        <v>390</v>
      </c>
      <c r="R391">
        <v>13</v>
      </c>
    </row>
    <row r="392" spans="17:18">
      <c r="Q392">
        <v>391</v>
      </c>
      <c r="R392">
        <v>11</v>
      </c>
    </row>
    <row r="393" spans="17:18">
      <c r="Q393">
        <v>392</v>
      </c>
      <c r="R393">
        <v>12</v>
      </c>
    </row>
    <row r="394" spans="17:18">
      <c r="Q394">
        <v>393</v>
      </c>
      <c r="R394">
        <v>14</v>
      </c>
    </row>
    <row r="395" spans="17:18">
      <c r="Q395">
        <v>394</v>
      </c>
      <c r="R395">
        <v>11</v>
      </c>
    </row>
    <row r="396" spans="17:18">
      <c r="Q396">
        <v>395</v>
      </c>
      <c r="R396">
        <v>12</v>
      </c>
    </row>
    <row r="397" spans="17:18">
      <c r="Q397">
        <v>396</v>
      </c>
      <c r="R397">
        <v>12</v>
      </c>
    </row>
    <row r="398" spans="17:18">
      <c r="Q398">
        <v>397</v>
      </c>
      <c r="R398">
        <v>11</v>
      </c>
    </row>
    <row r="399" spans="17:18">
      <c r="Q399">
        <v>398</v>
      </c>
      <c r="R399">
        <v>15</v>
      </c>
    </row>
    <row r="400" spans="17:18">
      <c r="Q400">
        <v>399</v>
      </c>
      <c r="R400">
        <v>15</v>
      </c>
    </row>
    <row r="401" spans="17:18">
      <c r="Q401">
        <v>400</v>
      </c>
      <c r="R401">
        <v>13</v>
      </c>
    </row>
    <row r="402" spans="17:18">
      <c r="Q402">
        <v>401</v>
      </c>
      <c r="R402">
        <v>11</v>
      </c>
    </row>
    <row r="403" spans="17:18">
      <c r="Q403">
        <v>402</v>
      </c>
      <c r="R403">
        <v>12</v>
      </c>
    </row>
    <row r="404" spans="17:18">
      <c r="Q404">
        <v>403</v>
      </c>
      <c r="R404">
        <v>11</v>
      </c>
    </row>
    <row r="405" spans="17:18">
      <c r="Q405">
        <v>404</v>
      </c>
      <c r="R405">
        <v>12</v>
      </c>
    </row>
    <row r="406" spans="17:18">
      <c r="Q406">
        <v>405</v>
      </c>
      <c r="R406">
        <v>10</v>
      </c>
    </row>
    <row r="407" spans="17:18">
      <c r="Q407">
        <v>406</v>
      </c>
      <c r="R407">
        <v>15</v>
      </c>
    </row>
    <row r="408" spans="17:18">
      <c r="Q408">
        <v>407</v>
      </c>
      <c r="R408">
        <v>10</v>
      </c>
    </row>
    <row r="409" spans="17:18">
      <c r="Q409">
        <v>408</v>
      </c>
      <c r="R409">
        <v>15</v>
      </c>
    </row>
    <row r="410" spans="17:18">
      <c r="Q410">
        <v>409</v>
      </c>
      <c r="R410">
        <v>15</v>
      </c>
    </row>
    <row r="411" spans="17:18">
      <c r="Q411">
        <v>410</v>
      </c>
      <c r="R411">
        <v>9</v>
      </c>
    </row>
    <row r="412" spans="17:18">
      <c r="Q412">
        <v>411</v>
      </c>
      <c r="R412">
        <v>14</v>
      </c>
    </row>
    <row r="413" spans="17:18">
      <c r="Q413">
        <v>412</v>
      </c>
      <c r="R413">
        <v>28</v>
      </c>
    </row>
    <row r="414" spans="17:18">
      <c r="Q414">
        <v>413</v>
      </c>
      <c r="R414">
        <v>11</v>
      </c>
    </row>
    <row r="415" spans="17:18">
      <c r="Q415">
        <v>414</v>
      </c>
      <c r="R415">
        <v>13</v>
      </c>
    </row>
    <row r="416" spans="17:18">
      <c r="Q416">
        <v>415</v>
      </c>
      <c r="R416">
        <v>11</v>
      </c>
    </row>
    <row r="417" spans="17:18">
      <c r="Q417">
        <v>416</v>
      </c>
      <c r="R417">
        <v>15</v>
      </c>
    </row>
    <row r="418" spans="17:18">
      <c r="Q418">
        <v>417</v>
      </c>
      <c r="R418">
        <v>12</v>
      </c>
    </row>
    <row r="419" spans="17:18">
      <c r="Q419">
        <v>418</v>
      </c>
      <c r="R419">
        <v>12</v>
      </c>
    </row>
    <row r="420" spans="17:18">
      <c r="Q420">
        <v>419</v>
      </c>
      <c r="R420">
        <v>14</v>
      </c>
    </row>
    <row r="421" spans="17:18">
      <c r="Q421">
        <v>420</v>
      </c>
      <c r="R421">
        <v>12</v>
      </c>
    </row>
    <row r="422" spans="17:18">
      <c r="Q422">
        <v>421</v>
      </c>
      <c r="R422">
        <v>16</v>
      </c>
    </row>
    <row r="423" spans="17:18">
      <c r="Q423">
        <v>422</v>
      </c>
      <c r="R423">
        <v>15</v>
      </c>
    </row>
    <row r="424" spans="17:18">
      <c r="Q424">
        <v>423</v>
      </c>
      <c r="R424">
        <v>11</v>
      </c>
    </row>
    <row r="425" spans="17:18">
      <c r="Q425">
        <v>424</v>
      </c>
      <c r="R425">
        <v>11</v>
      </c>
    </row>
    <row r="426" spans="17:18">
      <c r="Q426">
        <v>425</v>
      </c>
      <c r="R426">
        <v>10</v>
      </c>
    </row>
    <row r="427" spans="17:18">
      <c r="Q427">
        <v>426</v>
      </c>
      <c r="R427">
        <v>18</v>
      </c>
    </row>
    <row r="428" spans="17:18">
      <c r="Q428">
        <v>427</v>
      </c>
      <c r="R428">
        <v>10</v>
      </c>
    </row>
    <row r="429" spans="17:18">
      <c r="Q429">
        <v>428</v>
      </c>
      <c r="R429">
        <v>16</v>
      </c>
    </row>
    <row r="430" spans="17:18">
      <c r="Q430">
        <v>429</v>
      </c>
      <c r="R430">
        <v>14</v>
      </c>
    </row>
    <row r="431" spans="17:18">
      <c r="Q431">
        <v>430</v>
      </c>
      <c r="R431">
        <v>10</v>
      </c>
    </row>
    <row r="432" spans="17:18">
      <c r="Q432">
        <v>431</v>
      </c>
      <c r="R432">
        <v>13</v>
      </c>
    </row>
    <row r="433" spans="17:18">
      <c r="Q433">
        <v>432</v>
      </c>
      <c r="R433">
        <v>20</v>
      </c>
    </row>
    <row r="434" spans="17:18">
      <c r="Q434">
        <v>433</v>
      </c>
      <c r="R434">
        <v>12</v>
      </c>
    </row>
    <row r="435" spans="17:18">
      <c r="Q435">
        <v>434</v>
      </c>
      <c r="R435">
        <v>11</v>
      </c>
    </row>
    <row r="436" spans="17:18">
      <c r="Q436">
        <v>435</v>
      </c>
      <c r="R436">
        <v>21</v>
      </c>
    </row>
    <row r="437" spans="17:18">
      <c r="Q437">
        <v>436</v>
      </c>
      <c r="R437">
        <v>10</v>
      </c>
    </row>
    <row r="438" spans="17:18">
      <c r="Q438">
        <v>437</v>
      </c>
      <c r="R438">
        <v>10</v>
      </c>
    </row>
    <row r="439" spans="17:18">
      <c r="Q439">
        <v>438</v>
      </c>
      <c r="R439">
        <v>14</v>
      </c>
    </row>
    <row r="440" spans="17:18">
      <c r="Q440">
        <v>439</v>
      </c>
      <c r="R440">
        <v>13</v>
      </c>
    </row>
    <row r="441" spans="17:18">
      <c r="Q441">
        <v>440</v>
      </c>
      <c r="R441">
        <v>15</v>
      </c>
    </row>
    <row r="442" spans="17:18">
      <c r="Q442">
        <v>441</v>
      </c>
      <c r="R442">
        <v>12</v>
      </c>
    </row>
    <row r="443" spans="17:18">
      <c r="Q443">
        <v>442</v>
      </c>
      <c r="R443">
        <v>12</v>
      </c>
    </row>
    <row r="444" spans="17:18">
      <c r="Q444">
        <v>443</v>
      </c>
      <c r="R444">
        <v>11</v>
      </c>
    </row>
    <row r="445" spans="17:18">
      <c r="Q445">
        <v>444</v>
      </c>
      <c r="R445">
        <v>10</v>
      </c>
    </row>
    <row r="446" spans="17:18">
      <c r="Q446">
        <v>445</v>
      </c>
      <c r="R446">
        <v>12</v>
      </c>
    </row>
    <row r="447" spans="17:18">
      <c r="Q447">
        <v>446</v>
      </c>
      <c r="R447">
        <v>16</v>
      </c>
    </row>
    <row r="448" spans="17:18">
      <c r="Q448">
        <v>447</v>
      </c>
      <c r="R448">
        <v>13</v>
      </c>
    </row>
    <row r="449" spans="17:18">
      <c r="Q449">
        <v>448</v>
      </c>
      <c r="R449">
        <v>15</v>
      </c>
    </row>
    <row r="450" spans="17:18">
      <c r="Q450">
        <v>449</v>
      </c>
      <c r="R450">
        <v>12</v>
      </c>
    </row>
    <row r="451" spans="17:18">
      <c r="Q451">
        <v>450</v>
      </c>
      <c r="R451">
        <v>15</v>
      </c>
    </row>
    <row r="452" spans="17:18">
      <c r="Q452">
        <v>451</v>
      </c>
      <c r="R452">
        <v>12</v>
      </c>
    </row>
    <row r="453" spans="17:18">
      <c r="Q453">
        <v>452</v>
      </c>
      <c r="R453">
        <v>13</v>
      </c>
    </row>
    <row r="454" spans="17:18">
      <c r="Q454">
        <v>453</v>
      </c>
      <c r="R454">
        <v>11</v>
      </c>
    </row>
    <row r="455" spans="17:18">
      <c r="Q455">
        <v>454</v>
      </c>
      <c r="R455">
        <v>10</v>
      </c>
    </row>
    <row r="456" spans="17:18">
      <c r="Q456">
        <v>455</v>
      </c>
      <c r="R456">
        <v>10</v>
      </c>
    </row>
    <row r="457" spans="17:18">
      <c r="Q457">
        <v>456</v>
      </c>
      <c r="R457">
        <v>16</v>
      </c>
    </row>
    <row r="458" spans="17:18">
      <c r="Q458">
        <v>457</v>
      </c>
      <c r="R458">
        <v>13</v>
      </c>
    </row>
    <row r="459" spans="17:18">
      <c r="Q459">
        <v>458</v>
      </c>
      <c r="R459">
        <v>15</v>
      </c>
    </row>
    <row r="460" spans="17:18">
      <c r="Q460">
        <v>459</v>
      </c>
      <c r="R460">
        <v>11</v>
      </c>
    </row>
    <row r="461" spans="17:18">
      <c r="Q461">
        <v>460</v>
      </c>
      <c r="R461">
        <v>15</v>
      </c>
    </row>
    <row r="462" spans="17:18">
      <c r="Q462">
        <v>461</v>
      </c>
      <c r="R462">
        <v>19</v>
      </c>
    </row>
    <row r="463" spans="17:18">
      <c r="Q463">
        <v>462</v>
      </c>
      <c r="R463">
        <v>12</v>
      </c>
    </row>
    <row r="464" spans="17:18">
      <c r="Q464">
        <v>463</v>
      </c>
      <c r="R464">
        <v>10</v>
      </c>
    </row>
    <row r="465" spans="17:18">
      <c r="Q465">
        <v>464</v>
      </c>
      <c r="R465">
        <v>11</v>
      </c>
    </row>
    <row r="466" spans="17:18">
      <c r="Q466">
        <v>465</v>
      </c>
      <c r="R466">
        <v>13</v>
      </c>
    </row>
    <row r="467" spans="17:18">
      <c r="Q467">
        <v>466</v>
      </c>
      <c r="R467">
        <v>11</v>
      </c>
    </row>
    <row r="468" spans="17:18">
      <c r="Q468">
        <v>467</v>
      </c>
      <c r="R468">
        <v>14</v>
      </c>
    </row>
    <row r="469" spans="17:18">
      <c r="Q469">
        <v>468</v>
      </c>
      <c r="R469">
        <v>12</v>
      </c>
    </row>
    <row r="470" spans="17:18">
      <c r="Q470">
        <v>469</v>
      </c>
      <c r="R470">
        <v>14</v>
      </c>
    </row>
    <row r="471" spans="17:18">
      <c r="Q471">
        <v>470</v>
      </c>
      <c r="R471">
        <v>13</v>
      </c>
    </row>
    <row r="472" spans="17:18">
      <c r="Q472">
        <v>471</v>
      </c>
      <c r="R472">
        <v>11</v>
      </c>
    </row>
    <row r="473" spans="17:18">
      <c r="Q473">
        <v>472</v>
      </c>
      <c r="R473">
        <v>11</v>
      </c>
    </row>
    <row r="474" spans="17:18">
      <c r="Q474">
        <v>473</v>
      </c>
      <c r="R474">
        <v>12</v>
      </c>
    </row>
    <row r="475" spans="17:18">
      <c r="Q475">
        <v>474</v>
      </c>
      <c r="R475">
        <v>13</v>
      </c>
    </row>
    <row r="476" spans="17:18">
      <c r="Q476">
        <v>475</v>
      </c>
      <c r="R476">
        <v>14</v>
      </c>
    </row>
    <row r="477" spans="17:18">
      <c r="Q477">
        <v>476</v>
      </c>
      <c r="R477">
        <v>10</v>
      </c>
    </row>
    <row r="478" spans="17:18">
      <c r="Q478">
        <v>477</v>
      </c>
      <c r="R478">
        <v>10</v>
      </c>
    </row>
    <row r="479" spans="17:18">
      <c r="Q479">
        <v>478</v>
      </c>
      <c r="R479">
        <v>12</v>
      </c>
    </row>
    <row r="480" spans="17:18">
      <c r="Q480">
        <v>479</v>
      </c>
      <c r="R480">
        <v>11</v>
      </c>
    </row>
    <row r="481" spans="17:18">
      <c r="Q481">
        <v>480</v>
      </c>
      <c r="R481">
        <v>14</v>
      </c>
    </row>
    <row r="482" spans="17:18">
      <c r="Q482">
        <v>481</v>
      </c>
      <c r="R482">
        <v>17</v>
      </c>
    </row>
    <row r="483" spans="17:18">
      <c r="Q483">
        <v>482</v>
      </c>
      <c r="R483">
        <v>11</v>
      </c>
    </row>
    <row r="484" spans="17:18">
      <c r="Q484">
        <v>483</v>
      </c>
      <c r="R484">
        <v>11</v>
      </c>
    </row>
    <row r="485" spans="17:18">
      <c r="Q485">
        <v>484</v>
      </c>
      <c r="R485">
        <v>14</v>
      </c>
    </row>
    <row r="486" spans="17:18">
      <c r="Q486">
        <v>485</v>
      </c>
      <c r="R486">
        <v>13</v>
      </c>
    </row>
    <row r="487" spans="17:18">
      <c r="Q487">
        <v>486</v>
      </c>
      <c r="R487">
        <v>13</v>
      </c>
    </row>
    <row r="488" spans="17:18">
      <c r="Q488">
        <v>487</v>
      </c>
      <c r="R488">
        <v>11</v>
      </c>
    </row>
    <row r="489" spans="17:18">
      <c r="Q489">
        <v>488</v>
      </c>
      <c r="R489">
        <v>12</v>
      </c>
    </row>
    <row r="490" spans="17:18">
      <c r="Q490">
        <v>489</v>
      </c>
      <c r="R490">
        <v>11</v>
      </c>
    </row>
    <row r="491" spans="17:18">
      <c r="Q491">
        <v>490</v>
      </c>
      <c r="R491">
        <v>10</v>
      </c>
    </row>
    <row r="492" spans="17:18">
      <c r="Q492">
        <v>491</v>
      </c>
      <c r="R492">
        <v>11</v>
      </c>
    </row>
    <row r="493" spans="17:18">
      <c r="Q493">
        <v>492</v>
      </c>
      <c r="R493">
        <v>10</v>
      </c>
    </row>
    <row r="494" spans="17:18">
      <c r="Q494">
        <v>493</v>
      </c>
      <c r="R494">
        <v>11</v>
      </c>
    </row>
    <row r="495" spans="17:18">
      <c r="Q495">
        <v>494</v>
      </c>
      <c r="R495">
        <v>12</v>
      </c>
    </row>
    <row r="496" spans="17:18">
      <c r="Q496">
        <v>495</v>
      </c>
      <c r="R496">
        <v>10</v>
      </c>
    </row>
    <row r="497" spans="17:18">
      <c r="Q497">
        <v>496</v>
      </c>
      <c r="R497">
        <v>9</v>
      </c>
    </row>
    <row r="498" spans="17:18">
      <c r="Q498">
        <v>497</v>
      </c>
      <c r="R498">
        <v>9</v>
      </c>
    </row>
    <row r="499" spans="17:18">
      <c r="Q499">
        <v>498</v>
      </c>
      <c r="R499">
        <v>12</v>
      </c>
    </row>
    <row r="500" spans="17:18">
      <c r="Q500">
        <v>499</v>
      </c>
      <c r="R500">
        <v>11</v>
      </c>
    </row>
    <row r="501" spans="17:18">
      <c r="Q501">
        <v>500</v>
      </c>
      <c r="R501">
        <v>11</v>
      </c>
    </row>
    <row r="502" spans="17:18">
      <c r="Q502">
        <v>501</v>
      </c>
      <c r="R502">
        <v>15</v>
      </c>
    </row>
    <row r="503" spans="17:18">
      <c r="Q503">
        <v>502</v>
      </c>
      <c r="R503">
        <v>14</v>
      </c>
    </row>
    <row r="504" spans="17:18">
      <c r="Q504">
        <v>503</v>
      </c>
      <c r="R504">
        <v>16</v>
      </c>
    </row>
    <row r="505" spans="17:18">
      <c r="Q505">
        <v>504</v>
      </c>
      <c r="R505">
        <v>11</v>
      </c>
    </row>
    <row r="506" spans="17:18">
      <c r="Q506">
        <v>505</v>
      </c>
      <c r="R506">
        <v>11</v>
      </c>
    </row>
    <row r="507" spans="17:18">
      <c r="Q507">
        <v>506</v>
      </c>
      <c r="R507">
        <v>14</v>
      </c>
    </row>
    <row r="508" spans="17:18">
      <c r="Q508">
        <v>507</v>
      </c>
      <c r="R508">
        <v>14</v>
      </c>
    </row>
    <row r="509" spans="17:18">
      <c r="Q509">
        <v>508</v>
      </c>
      <c r="R509">
        <v>12</v>
      </c>
    </row>
    <row r="510" spans="17:18">
      <c r="Q510">
        <v>509</v>
      </c>
      <c r="R510">
        <v>15</v>
      </c>
    </row>
    <row r="511" spans="17:18">
      <c r="Q511">
        <v>510</v>
      </c>
      <c r="R511">
        <v>12</v>
      </c>
    </row>
    <row r="512" spans="17:18">
      <c r="Q512">
        <v>511</v>
      </c>
      <c r="R512">
        <v>11</v>
      </c>
    </row>
    <row r="513" spans="17:18">
      <c r="Q513">
        <v>512</v>
      </c>
      <c r="R513">
        <v>12</v>
      </c>
    </row>
    <row r="514" spans="17:18">
      <c r="Q514">
        <v>513</v>
      </c>
      <c r="R514">
        <v>14</v>
      </c>
    </row>
    <row r="515" spans="17:18">
      <c r="Q515">
        <v>514</v>
      </c>
      <c r="R515">
        <v>13</v>
      </c>
    </row>
    <row r="516" spans="17:18">
      <c r="Q516">
        <v>515</v>
      </c>
      <c r="R516">
        <v>12</v>
      </c>
    </row>
    <row r="517" spans="17:18">
      <c r="Q517">
        <v>516</v>
      </c>
      <c r="R517">
        <v>11</v>
      </c>
    </row>
    <row r="518" spans="17:18">
      <c r="Q518">
        <v>517</v>
      </c>
      <c r="R518">
        <v>14</v>
      </c>
    </row>
    <row r="519" spans="17:18">
      <c r="Q519">
        <v>518</v>
      </c>
      <c r="R519">
        <v>12</v>
      </c>
    </row>
    <row r="520" spans="17:18">
      <c r="Q520">
        <v>519</v>
      </c>
      <c r="R520">
        <v>11</v>
      </c>
    </row>
    <row r="521" spans="17:18">
      <c r="Q521">
        <v>520</v>
      </c>
      <c r="R521">
        <v>10</v>
      </c>
    </row>
    <row r="522" spans="17:18">
      <c r="Q522">
        <v>521</v>
      </c>
      <c r="R522">
        <v>14</v>
      </c>
    </row>
    <row r="523" spans="17:18">
      <c r="Q523">
        <v>522</v>
      </c>
      <c r="R523">
        <v>11</v>
      </c>
    </row>
    <row r="524" spans="17:18">
      <c r="Q524">
        <v>523</v>
      </c>
      <c r="R524">
        <v>11</v>
      </c>
    </row>
    <row r="525" spans="17:18">
      <c r="Q525">
        <v>524</v>
      </c>
      <c r="R525">
        <v>13</v>
      </c>
    </row>
    <row r="526" spans="17:18">
      <c r="Q526">
        <v>525</v>
      </c>
      <c r="R526">
        <v>13</v>
      </c>
    </row>
    <row r="527" spans="17:18">
      <c r="Q527">
        <v>526</v>
      </c>
      <c r="R527">
        <v>11</v>
      </c>
    </row>
    <row r="528" spans="17:18">
      <c r="Q528">
        <v>527</v>
      </c>
      <c r="R528">
        <v>14</v>
      </c>
    </row>
    <row r="529" spans="17:18">
      <c r="Q529">
        <v>528</v>
      </c>
      <c r="R529">
        <v>11</v>
      </c>
    </row>
    <row r="530" spans="17:18">
      <c r="Q530">
        <v>529</v>
      </c>
      <c r="R530">
        <v>12</v>
      </c>
    </row>
    <row r="531" spans="17:18">
      <c r="Q531">
        <v>530</v>
      </c>
      <c r="R531">
        <v>16</v>
      </c>
    </row>
    <row r="532" spans="17:18">
      <c r="Q532">
        <v>531</v>
      </c>
      <c r="R532">
        <v>15</v>
      </c>
    </row>
    <row r="533" spans="17:18">
      <c r="Q533">
        <v>532</v>
      </c>
      <c r="R533">
        <v>10</v>
      </c>
    </row>
    <row r="534" spans="17:18">
      <c r="Q534">
        <v>533</v>
      </c>
      <c r="R534">
        <v>14</v>
      </c>
    </row>
    <row r="535" spans="17:18">
      <c r="Q535">
        <v>534</v>
      </c>
      <c r="R535">
        <v>9</v>
      </c>
    </row>
    <row r="536" spans="17:18">
      <c r="Q536">
        <v>535</v>
      </c>
      <c r="R536">
        <v>11</v>
      </c>
    </row>
    <row r="537" spans="17:18">
      <c r="Q537">
        <v>536</v>
      </c>
      <c r="R537">
        <v>11</v>
      </c>
    </row>
    <row r="538" spans="17:18">
      <c r="Q538">
        <v>537</v>
      </c>
      <c r="R538">
        <v>11</v>
      </c>
    </row>
    <row r="539" spans="17:18">
      <c r="Q539">
        <v>538</v>
      </c>
      <c r="R539">
        <v>18</v>
      </c>
    </row>
    <row r="540" spans="17:18">
      <c r="Q540">
        <v>539</v>
      </c>
      <c r="R540">
        <v>13</v>
      </c>
    </row>
    <row r="541" spans="17:18">
      <c r="Q541">
        <v>540</v>
      </c>
      <c r="R541">
        <v>14</v>
      </c>
    </row>
    <row r="542" spans="17:18">
      <c r="Q542">
        <v>541</v>
      </c>
      <c r="R542">
        <v>11</v>
      </c>
    </row>
    <row r="543" spans="17:18">
      <c r="Q543">
        <v>542</v>
      </c>
      <c r="R543">
        <v>11</v>
      </c>
    </row>
    <row r="544" spans="17:18">
      <c r="Q544">
        <v>543</v>
      </c>
      <c r="R544">
        <v>12</v>
      </c>
    </row>
    <row r="545" spans="17:18">
      <c r="Q545">
        <v>544</v>
      </c>
      <c r="R545">
        <v>12</v>
      </c>
    </row>
    <row r="546" spans="17:18">
      <c r="Q546">
        <v>545</v>
      </c>
      <c r="R546">
        <v>13</v>
      </c>
    </row>
    <row r="547" spans="17:18">
      <c r="Q547">
        <v>546</v>
      </c>
      <c r="R547">
        <v>11</v>
      </c>
    </row>
    <row r="548" spans="17:18">
      <c r="Q548">
        <v>547</v>
      </c>
      <c r="R548">
        <v>13</v>
      </c>
    </row>
    <row r="549" spans="17:18">
      <c r="Q549">
        <v>548</v>
      </c>
      <c r="R549">
        <v>12</v>
      </c>
    </row>
    <row r="550" spans="17:18">
      <c r="Q550">
        <v>549</v>
      </c>
      <c r="R550">
        <v>12</v>
      </c>
    </row>
    <row r="551" spans="17:18">
      <c r="Q551">
        <v>550</v>
      </c>
      <c r="R551">
        <v>12</v>
      </c>
    </row>
    <row r="552" spans="17:18">
      <c r="Q552">
        <v>551</v>
      </c>
      <c r="R552">
        <v>10</v>
      </c>
    </row>
    <row r="553" spans="17:18">
      <c r="Q553">
        <v>552</v>
      </c>
      <c r="R553">
        <v>25</v>
      </c>
    </row>
    <row r="554" spans="17:18">
      <c r="Q554">
        <v>553</v>
      </c>
      <c r="R554">
        <v>17</v>
      </c>
    </row>
    <row r="555" spans="17:18">
      <c r="Q555">
        <v>554</v>
      </c>
      <c r="R555">
        <v>12</v>
      </c>
    </row>
    <row r="556" spans="17:18">
      <c r="Q556">
        <v>555</v>
      </c>
      <c r="R556">
        <v>19</v>
      </c>
    </row>
    <row r="557" spans="17:18">
      <c r="Q557">
        <v>556</v>
      </c>
      <c r="R557">
        <v>15</v>
      </c>
    </row>
    <row r="558" spans="17:18">
      <c r="Q558">
        <v>557</v>
      </c>
      <c r="R558">
        <v>15</v>
      </c>
    </row>
    <row r="559" spans="17:18">
      <c r="Q559">
        <v>558</v>
      </c>
      <c r="R559">
        <v>12</v>
      </c>
    </row>
    <row r="560" spans="17:18">
      <c r="Q560">
        <v>559</v>
      </c>
      <c r="R560">
        <v>13</v>
      </c>
    </row>
    <row r="561" spans="17:18">
      <c r="Q561">
        <v>560</v>
      </c>
      <c r="R561">
        <v>10</v>
      </c>
    </row>
    <row r="562" spans="17:18">
      <c r="Q562">
        <v>561</v>
      </c>
      <c r="R562">
        <v>13</v>
      </c>
    </row>
    <row r="563" spans="17:18">
      <c r="Q563">
        <v>562</v>
      </c>
      <c r="R563">
        <v>11</v>
      </c>
    </row>
    <row r="564" spans="17:18">
      <c r="Q564">
        <v>563</v>
      </c>
      <c r="R564">
        <v>12</v>
      </c>
    </row>
    <row r="565" spans="17:18">
      <c r="Q565">
        <v>564</v>
      </c>
      <c r="R565">
        <v>14</v>
      </c>
    </row>
    <row r="566" spans="17:18">
      <c r="Q566">
        <v>565</v>
      </c>
      <c r="R566">
        <v>12</v>
      </c>
    </row>
    <row r="567" spans="17:18">
      <c r="Q567">
        <v>566</v>
      </c>
      <c r="R567">
        <v>11</v>
      </c>
    </row>
    <row r="568" spans="17:18">
      <c r="Q568">
        <v>567</v>
      </c>
      <c r="R568">
        <v>11</v>
      </c>
    </row>
    <row r="569" spans="17:18">
      <c r="Q569">
        <v>568</v>
      </c>
      <c r="R569">
        <v>14</v>
      </c>
    </row>
    <row r="570" spans="17:18">
      <c r="Q570">
        <v>569</v>
      </c>
      <c r="R570">
        <v>17</v>
      </c>
    </row>
    <row r="571" spans="17:18">
      <c r="Q571">
        <v>570</v>
      </c>
      <c r="R571">
        <v>13</v>
      </c>
    </row>
    <row r="572" spans="17:18">
      <c r="Q572">
        <v>571</v>
      </c>
      <c r="R572">
        <v>12</v>
      </c>
    </row>
    <row r="573" spans="17:18">
      <c r="Q573">
        <v>572</v>
      </c>
      <c r="R573">
        <v>11</v>
      </c>
    </row>
    <row r="574" spans="17:18">
      <c r="Q574">
        <v>573</v>
      </c>
      <c r="R574">
        <v>11</v>
      </c>
    </row>
    <row r="575" spans="17:18">
      <c r="Q575">
        <v>574</v>
      </c>
      <c r="R575">
        <v>12</v>
      </c>
    </row>
    <row r="576" spans="17:18">
      <c r="Q576">
        <v>575</v>
      </c>
      <c r="R576">
        <v>13</v>
      </c>
    </row>
    <row r="577" spans="17:18">
      <c r="Q577">
        <v>576</v>
      </c>
      <c r="R577">
        <v>14</v>
      </c>
    </row>
    <row r="578" spans="17:18">
      <c r="Q578">
        <v>577</v>
      </c>
      <c r="R578">
        <v>13</v>
      </c>
    </row>
    <row r="579" spans="17:18">
      <c r="Q579">
        <v>578</v>
      </c>
      <c r="R579">
        <v>10</v>
      </c>
    </row>
    <row r="580" spans="17:18">
      <c r="Q580">
        <v>579</v>
      </c>
      <c r="R580">
        <v>11</v>
      </c>
    </row>
    <row r="581" spans="17:18">
      <c r="Q581">
        <v>580</v>
      </c>
      <c r="R581">
        <v>14</v>
      </c>
    </row>
    <row r="582" spans="17:18">
      <c r="Q582">
        <v>581</v>
      </c>
      <c r="R582">
        <v>14</v>
      </c>
    </row>
    <row r="583" spans="17:18">
      <c r="Q583">
        <v>582</v>
      </c>
      <c r="R583">
        <v>13</v>
      </c>
    </row>
    <row r="584" spans="17:18">
      <c r="Q584">
        <v>583</v>
      </c>
      <c r="R584">
        <v>10</v>
      </c>
    </row>
    <row r="585" spans="17:18">
      <c r="Q585">
        <v>584</v>
      </c>
      <c r="R585">
        <v>13</v>
      </c>
    </row>
    <row r="586" spans="17:18">
      <c r="Q586">
        <v>585</v>
      </c>
      <c r="R586">
        <v>11</v>
      </c>
    </row>
    <row r="587" spans="17:18">
      <c r="Q587">
        <v>586</v>
      </c>
      <c r="R587">
        <v>13</v>
      </c>
    </row>
    <row r="588" spans="17:18">
      <c r="Q588">
        <v>587</v>
      </c>
      <c r="R588">
        <v>13</v>
      </c>
    </row>
    <row r="589" spans="17:18">
      <c r="Q589">
        <v>588</v>
      </c>
      <c r="R589">
        <v>14</v>
      </c>
    </row>
    <row r="590" spans="17:18">
      <c r="Q590">
        <v>589</v>
      </c>
      <c r="R590">
        <v>10</v>
      </c>
    </row>
    <row r="591" spans="17:18">
      <c r="Q591">
        <v>590</v>
      </c>
      <c r="R591">
        <v>11</v>
      </c>
    </row>
    <row r="592" spans="17:18">
      <c r="Q592">
        <v>591</v>
      </c>
      <c r="R592">
        <v>11</v>
      </c>
    </row>
    <row r="593" spans="17:18">
      <c r="Q593">
        <v>592</v>
      </c>
      <c r="R593">
        <v>10</v>
      </c>
    </row>
    <row r="594" spans="17:18">
      <c r="Q594">
        <v>593</v>
      </c>
      <c r="R594">
        <v>11</v>
      </c>
    </row>
    <row r="595" spans="17:18">
      <c r="Q595">
        <v>594</v>
      </c>
      <c r="R595">
        <v>10</v>
      </c>
    </row>
    <row r="596" spans="17:18">
      <c r="Q596">
        <v>595</v>
      </c>
      <c r="R596">
        <v>12</v>
      </c>
    </row>
    <row r="597" spans="17:18">
      <c r="Q597">
        <v>596</v>
      </c>
      <c r="R597">
        <v>15</v>
      </c>
    </row>
    <row r="598" spans="17:18">
      <c r="Q598">
        <v>597</v>
      </c>
      <c r="R598">
        <v>11</v>
      </c>
    </row>
    <row r="599" spans="17:18">
      <c r="Q599">
        <v>598</v>
      </c>
      <c r="R599">
        <v>12</v>
      </c>
    </row>
    <row r="600" spans="17:18">
      <c r="Q600">
        <v>599</v>
      </c>
      <c r="R600">
        <v>14</v>
      </c>
    </row>
    <row r="601" spans="17:18">
      <c r="Q601">
        <v>600</v>
      </c>
      <c r="R601">
        <v>12</v>
      </c>
    </row>
    <row r="602" spans="17:18">
      <c r="Q602">
        <v>601</v>
      </c>
      <c r="R602">
        <v>11</v>
      </c>
    </row>
    <row r="603" spans="17:18">
      <c r="Q603">
        <v>602</v>
      </c>
      <c r="R603">
        <v>20</v>
      </c>
    </row>
    <row r="604" spans="17:18">
      <c r="Q604">
        <v>603</v>
      </c>
      <c r="R604">
        <v>12</v>
      </c>
    </row>
    <row r="605" spans="17:18">
      <c r="Q605">
        <v>604</v>
      </c>
      <c r="R605">
        <v>10</v>
      </c>
    </row>
    <row r="606" spans="17:18">
      <c r="Q606">
        <v>605</v>
      </c>
      <c r="R606">
        <v>12</v>
      </c>
    </row>
    <row r="607" spans="17:18">
      <c r="Q607">
        <v>606</v>
      </c>
      <c r="R607">
        <v>11</v>
      </c>
    </row>
    <row r="608" spans="17:18">
      <c r="Q608">
        <v>607</v>
      </c>
      <c r="R608">
        <v>15</v>
      </c>
    </row>
    <row r="609" spans="17:18">
      <c r="Q609">
        <v>608</v>
      </c>
      <c r="R609">
        <v>11</v>
      </c>
    </row>
    <row r="610" spans="17:18">
      <c r="Q610">
        <v>609</v>
      </c>
      <c r="R610">
        <v>11</v>
      </c>
    </row>
    <row r="611" spans="17:18">
      <c r="Q611">
        <v>610</v>
      </c>
      <c r="R611">
        <v>11</v>
      </c>
    </row>
    <row r="612" spans="17:18">
      <c r="Q612">
        <v>611</v>
      </c>
      <c r="R612">
        <v>12</v>
      </c>
    </row>
    <row r="613" spans="17:18">
      <c r="Q613">
        <v>612</v>
      </c>
      <c r="R613">
        <v>19</v>
      </c>
    </row>
    <row r="614" spans="17:18">
      <c r="Q614">
        <v>613</v>
      </c>
      <c r="R614">
        <v>15</v>
      </c>
    </row>
    <row r="615" spans="17:18">
      <c r="Q615">
        <v>614</v>
      </c>
      <c r="R615">
        <v>10</v>
      </c>
    </row>
    <row r="616" spans="17:18">
      <c r="Q616">
        <v>615</v>
      </c>
      <c r="R616">
        <v>13</v>
      </c>
    </row>
    <row r="617" spans="17:18">
      <c r="Q617">
        <v>616</v>
      </c>
      <c r="R617">
        <v>12</v>
      </c>
    </row>
    <row r="618" spans="17:18">
      <c r="Q618">
        <v>617</v>
      </c>
      <c r="R618">
        <v>14</v>
      </c>
    </row>
    <row r="619" spans="17:18">
      <c r="Q619">
        <v>618</v>
      </c>
      <c r="R619">
        <v>13</v>
      </c>
    </row>
    <row r="620" spans="17:18">
      <c r="Q620">
        <v>619</v>
      </c>
      <c r="R620">
        <v>13</v>
      </c>
    </row>
    <row r="621" spans="17:18">
      <c r="Q621">
        <v>620</v>
      </c>
      <c r="R621">
        <v>10</v>
      </c>
    </row>
    <row r="622" spans="17:18">
      <c r="Q622">
        <v>621</v>
      </c>
      <c r="R622">
        <v>10</v>
      </c>
    </row>
    <row r="623" spans="17:18">
      <c r="Q623">
        <v>622</v>
      </c>
      <c r="R623">
        <v>17</v>
      </c>
    </row>
    <row r="624" spans="17:18">
      <c r="Q624">
        <v>623</v>
      </c>
      <c r="R624">
        <v>12</v>
      </c>
    </row>
    <row r="625" spans="17:18">
      <c r="Q625">
        <v>624</v>
      </c>
      <c r="R625">
        <v>11</v>
      </c>
    </row>
    <row r="626" spans="17:18">
      <c r="Q626">
        <v>625</v>
      </c>
      <c r="R626">
        <v>12</v>
      </c>
    </row>
    <row r="627" spans="17:18">
      <c r="Q627">
        <v>626</v>
      </c>
      <c r="R627">
        <v>12</v>
      </c>
    </row>
    <row r="628" spans="17:18">
      <c r="Q628">
        <v>627</v>
      </c>
      <c r="R628">
        <v>12</v>
      </c>
    </row>
    <row r="629" spans="17:18">
      <c r="Q629">
        <v>628</v>
      </c>
      <c r="R629">
        <v>14</v>
      </c>
    </row>
    <row r="630" spans="17:18">
      <c r="Q630">
        <v>629</v>
      </c>
      <c r="R630">
        <v>12</v>
      </c>
    </row>
    <row r="631" spans="17:18">
      <c r="Q631">
        <v>630</v>
      </c>
      <c r="R631">
        <v>15</v>
      </c>
    </row>
    <row r="632" spans="17:18">
      <c r="Q632">
        <v>631</v>
      </c>
      <c r="R632">
        <v>18</v>
      </c>
    </row>
    <row r="633" spans="17:18">
      <c r="Q633">
        <v>632</v>
      </c>
      <c r="R633">
        <v>11</v>
      </c>
    </row>
    <row r="634" spans="17:18">
      <c r="Q634">
        <v>633</v>
      </c>
      <c r="R634">
        <v>13</v>
      </c>
    </row>
    <row r="635" spans="17:18">
      <c r="Q635">
        <v>634</v>
      </c>
      <c r="R635">
        <v>12</v>
      </c>
    </row>
    <row r="636" spans="17:18">
      <c r="Q636">
        <v>635</v>
      </c>
      <c r="R636">
        <v>10</v>
      </c>
    </row>
    <row r="637" spans="17:18">
      <c r="Q637">
        <v>636</v>
      </c>
      <c r="R637">
        <v>12</v>
      </c>
    </row>
    <row r="638" spans="17:18">
      <c r="Q638">
        <v>637</v>
      </c>
      <c r="R638">
        <v>10</v>
      </c>
    </row>
    <row r="639" spans="17:18">
      <c r="Q639">
        <v>638</v>
      </c>
      <c r="R639">
        <v>13</v>
      </c>
    </row>
    <row r="640" spans="17:18">
      <c r="Q640">
        <v>639</v>
      </c>
      <c r="R640">
        <v>12</v>
      </c>
    </row>
    <row r="641" spans="17:18">
      <c r="Q641">
        <v>640</v>
      </c>
      <c r="R641">
        <v>19</v>
      </c>
    </row>
    <row r="642" spans="17:18">
      <c r="Q642">
        <v>641</v>
      </c>
      <c r="R642">
        <v>18</v>
      </c>
    </row>
    <row r="643" spans="17:18">
      <c r="Q643">
        <v>642</v>
      </c>
      <c r="R643">
        <v>16</v>
      </c>
    </row>
    <row r="644" spans="17:18">
      <c r="Q644">
        <v>643</v>
      </c>
      <c r="R644">
        <v>12</v>
      </c>
    </row>
    <row r="645" spans="17:18">
      <c r="Q645">
        <v>644</v>
      </c>
      <c r="R645">
        <v>13</v>
      </c>
    </row>
    <row r="646" spans="17:18">
      <c r="Q646">
        <v>645</v>
      </c>
      <c r="R646">
        <v>12</v>
      </c>
    </row>
    <row r="647" spans="17:18">
      <c r="Q647">
        <v>646</v>
      </c>
      <c r="R647">
        <v>14</v>
      </c>
    </row>
    <row r="648" spans="17:18">
      <c r="Q648">
        <v>647</v>
      </c>
      <c r="R648">
        <v>10</v>
      </c>
    </row>
    <row r="649" spans="17:18">
      <c r="Q649">
        <v>648</v>
      </c>
      <c r="R649">
        <v>13</v>
      </c>
    </row>
    <row r="650" spans="17:18">
      <c r="Q650">
        <v>649</v>
      </c>
      <c r="R650">
        <v>9</v>
      </c>
    </row>
    <row r="651" spans="17:18">
      <c r="Q651">
        <v>650</v>
      </c>
      <c r="R651">
        <v>11</v>
      </c>
    </row>
    <row r="652" spans="17:18">
      <c r="Q652">
        <v>651</v>
      </c>
      <c r="R652">
        <v>13</v>
      </c>
    </row>
    <row r="653" spans="17:18">
      <c r="Q653">
        <v>652</v>
      </c>
      <c r="R653">
        <v>10</v>
      </c>
    </row>
    <row r="654" spans="17:18">
      <c r="Q654">
        <v>653</v>
      </c>
      <c r="R654">
        <v>13</v>
      </c>
    </row>
    <row r="655" spans="17:18">
      <c r="Q655">
        <v>654</v>
      </c>
      <c r="R655">
        <v>10</v>
      </c>
    </row>
    <row r="656" spans="17:18">
      <c r="Q656">
        <v>655</v>
      </c>
      <c r="R656">
        <v>14</v>
      </c>
    </row>
    <row r="657" spans="17:18">
      <c r="Q657">
        <v>656</v>
      </c>
      <c r="R657">
        <v>10</v>
      </c>
    </row>
    <row r="658" spans="17:18">
      <c r="Q658">
        <v>657</v>
      </c>
      <c r="R658">
        <v>13</v>
      </c>
    </row>
    <row r="659" spans="17:18">
      <c r="Q659">
        <v>658</v>
      </c>
      <c r="R659">
        <v>10</v>
      </c>
    </row>
    <row r="660" spans="17:18">
      <c r="Q660">
        <v>659</v>
      </c>
      <c r="R660">
        <v>14</v>
      </c>
    </row>
    <row r="661" spans="17:18">
      <c r="Q661">
        <v>660</v>
      </c>
      <c r="R661">
        <v>13</v>
      </c>
    </row>
    <row r="662" spans="17:18">
      <c r="Q662">
        <v>661</v>
      </c>
      <c r="R662">
        <v>15</v>
      </c>
    </row>
    <row r="663" spans="17:18">
      <c r="Q663">
        <v>662</v>
      </c>
      <c r="R663">
        <v>10</v>
      </c>
    </row>
    <row r="664" spans="17:18">
      <c r="Q664">
        <v>663</v>
      </c>
      <c r="R664">
        <v>9</v>
      </c>
    </row>
    <row r="665" spans="17:18">
      <c r="Q665">
        <v>664</v>
      </c>
      <c r="R665">
        <v>11</v>
      </c>
    </row>
    <row r="666" spans="17:18">
      <c r="Q666">
        <v>665</v>
      </c>
      <c r="R666">
        <v>10</v>
      </c>
    </row>
    <row r="667" spans="17:18">
      <c r="Q667">
        <v>666</v>
      </c>
      <c r="R667">
        <v>12</v>
      </c>
    </row>
    <row r="668" spans="17:18">
      <c r="Q668">
        <v>667</v>
      </c>
      <c r="R668">
        <v>12</v>
      </c>
    </row>
    <row r="669" spans="17:18">
      <c r="Q669">
        <v>668</v>
      </c>
      <c r="R669">
        <v>17</v>
      </c>
    </row>
    <row r="670" spans="17:18">
      <c r="Q670">
        <v>669</v>
      </c>
      <c r="R670">
        <v>17</v>
      </c>
    </row>
    <row r="671" spans="17:18">
      <c r="Q671">
        <v>670</v>
      </c>
      <c r="R671">
        <v>11</v>
      </c>
    </row>
    <row r="672" spans="17:18">
      <c r="Q672">
        <v>671</v>
      </c>
      <c r="R672">
        <v>12</v>
      </c>
    </row>
    <row r="673" spans="17:18">
      <c r="Q673">
        <v>672</v>
      </c>
      <c r="R673">
        <v>13</v>
      </c>
    </row>
    <row r="674" spans="17:18">
      <c r="Q674">
        <v>673</v>
      </c>
      <c r="R674">
        <v>11</v>
      </c>
    </row>
    <row r="675" spans="17:18">
      <c r="Q675">
        <v>674</v>
      </c>
      <c r="R675">
        <v>15</v>
      </c>
    </row>
    <row r="676" spans="17:18">
      <c r="Q676">
        <v>675</v>
      </c>
      <c r="R676">
        <v>11</v>
      </c>
    </row>
    <row r="677" spans="17:18">
      <c r="Q677">
        <v>676</v>
      </c>
      <c r="R677">
        <v>12</v>
      </c>
    </row>
    <row r="678" spans="17:18">
      <c r="Q678">
        <v>677</v>
      </c>
      <c r="R678">
        <v>11</v>
      </c>
    </row>
    <row r="679" spans="17:18">
      <c r="Q679">
        <v>678</v>
      </c>
      <c r="R679">
        <v>12</v>
      </c>
    </row>
    <row r="680" spans="17:18">
      <c r="Q680">
        <v>679</v>
      </c>
      <c r="R680">
        <v>13</v>
      </c>
    </row>
    <row r="681" spans="17:18">
      <c r="Q681">
        <v>680</v>
      </c>
      <c r="R681">
        <v>10</v>
      </c>
    </row>
    <row r="682" spans="17:18">
      <c r="Q682">
        <v>681</v>
      </c>
      <c r="R682">
        <v>14</v>
      </c>
    </row>
    <row r="683" spans="17:18">
      <c r="Q683">
        <v>682</v>
      </c>
      <c r="R683">
        <v>11</v>
      </c>
    </row>
    <row r="684" spans="17:18">
      <c r="Q684">
        <v>683</v>
      </c>
      <c r="R684">
        <v>10</v>
      </c>
    </row>
    <row r="685" spans="17:18">
      <c r="Q685">
        <v>684</v>
      </c>
      <c r="R685">
        <v>11</v>
      </c>
    </row>
    <row r="686" spans="17:18">
      <c r="Q686">
        <v>685</v>
      </c>
      <c r="R686">
        <v>12</v>
      </c>
    </row>
    <row r="687" spans="17:18">
      <c r="Q687">
        <v>686</v>
      </c>
      <c r="R687">
        <v>15</v>
      </c>
    </row>
    <row r="688" spans="17:18">
      <c r="Q688">
        <v>687</v>
      </c>
      <c r="R688">
        <v>23</v>
      </c>
    </row>
    <row r="689" spans="17:18">
      <c r="Q689">
        <v>688</v>
      </c>
      <c r="R689">
        <v>11</v>
      </c>
    </row>
    <row r="690" spans="17:18">
      <c r="Q690">
        <v>689</v>
      </c>
      <c r="R690">
        <v>10</v>
      </c>
    </row>
    <row r="691" spans="17:18">
      <c r="Q691">
        <v>690</v>
      </c>
      <c r="R691">
        <v>11</v>
      </c>
    </row>
    <row r="692" spans="17:18">
      <c r="Q692">
        <v>691</v>
      </c>
      <c r="R692">
        <v>14</v>
      </c>
    </row>
    <row r="693" spans="17:18">
      <c r="Q693">
        <v>692</v>
      </c>
      <c r="R693">
        <v>17</v>
      </c>
    </row>
    <row r="694" spans="17:18">
      <c r="Q694">
        <v>693</v>
      </c>
      <c r="R694">
        <v>11</v>
      </c>
    </row>
    <row r="695" spans="17:18">
      <c r="Q695">
        <v>694</v>
      </c>
      <c r="R695">
        <v>12</v>
      </c>
    </row>
    <row r="696" spans="17:18">
      <c r="Q696">
        <v>695</v>
      </c>
      <c r="R696">
        <v>11</v>
      </c>
    </row>
    <row r="697" spans="17:18">
      <c r="Q697">
        <v>696</v>
      </c>
      <c r="R697">
        <v>11</v>
      </c>
    </row>
    <row r="698" spans="17:18">
      <c r="Q698">
        <v>697</v>
      </c>
      <c r="R698">
        <v>10</v>
      </c>
    </row>
    <row r="699" spans="17:18">
      <c r="Q699">
        <v>698</v>
      </c>
      <c r="R699">
        <v>13</v>
      </c>
    </row>
    <row r="700" spans="17:18">
      <c r="Q700">
        <v>699</v>
      </c>
      <c r="R700">
        <v>11</v>
      </c>
    </row>
    <row r="701" spans="17:18">
      <c r="Q701">
        <v>700</v>
      </c>
      <c r="R701">
        <v>15</v>
      </c>
    </row>
    <row r="702" spans="17:18">
      <c r="Q702">
        <v>701</v>
      </c>
      <c r="R702">
        <v>13</v>
      </c>
    </row>
    <row r="703" spans="17:18">
      <c r="Q703">
        <v>702</v>
      </c>
      <c r="R703">
        <v>10</v>
      </c>
    </row>
    <row r="704" spans="17:18">
      <c r="Q704">
        <v>703</v>
      </c>
      <c r="R704">
        <v>15</v>
      </c>
    </row>
    <row r="705" spans="17:18">
      <c r="Q705">
        <v>704</v>
      </c>
      <c r="R705">
        <v>15</v>
      </c>
    </row>
    <row r="706" spans="17:18">
      <c r="Q706">
        <v>705</v>
      </c>
      <c r="R706">
        <v>18</v>
      </c>
    </row>
    <row r="707" spans="17:18">
      <c r="Q707">
        <v>706</v>
      </c>
      <c r="R707">
        <v>11</v>
      </c>
    </row>
    <row r="708" spans="17:18">
      <c r="Q708">
        <v>707</v>
      </c>
      <c r="R708">
        <v>12</v>
      </c>
    </row>
    <row r="709" spans="17:18">
      <c r="Q709">
        <v>708</v>
      </c>
      <c r="R709">
        <v>13</v>
      </c>
    </row>
    <row r="710" spans="17:18">
      <c r="Q710">
        <v>709</v>
      </c>
      <c r="R710">
        <v>11</v>
      </c>
    </row>
    <row r="711" spans="17:18">
      <c r="Q711">
        <v>710</v>
      </c>
      <c r="R711">
        <v>12</v>
      </c>
    </row>
    <row r="712" spans="17:18">
      <c r="Q712">
        <v>711</v>
      </c>
      <c r="R712">
        <v>11</v>
      </c>
    </row>
    <row r="713" spans="17:18">
      <c r="Q713">
        <v>712</v>
      </c>
      <c r="R713">
        <v>10</v>
      </c>
    </row>
    <row r="714" spans="17:18">
      <c r="Q714">
        <v>713</v>
      </c>
      <c r="R714">
        <v>13</v>
      </c>
    </row>
    <row r="715" spans="17:18">
      <c r="Q715">
        <v>714</v>
      </c>
      <c r="R715">
        <v>11</v>
      </c>
    </row>
    <row r="716" spans="17:18">
      <c r="Q716">
        <v>715</v>
      </c>
      <c r="R716">
        <v>12</v>
      </c>
    </row>
    <row r="717" spans="17:18">
      <c r="Q717">
        <v>716</v>
      </c>
      <c r="R717">
        <v>12</v>
      </c>
    </row>
    <row r="718" spans="17:18">
      <c r="Q718">
        <v>717</v>
      </c>
      <c r="R718">
        <v>15</v>
      </c>
    </row>
    <row r="719" spans="17:18">
      <c r="Q719">
        <v>718</v>
      </c>
      <c r="R719">
        <v>13</v>
      </c>
    </row>
    <row r="720" spans="17:18">
      <c r="Q720">
        <v>719</v>
      </c>
      <c r="R720">
        <v>11</v>
      </c>
    </row>
    <row r="721" spans="17:18">
      <c r="Q721">
        <v>720</v>
      </c>
      <c r="R721">
        <v>13</v>
      </c>
    </row>
    <row r="722" spans="17:18">
      <c r="Q722">
        <v>721</v>
      </c>
      <c r="R722">
        <v>15</v>
      </c>
    </row>
    <row r="723" spans="17:18">
      <c r="Q723">
        <v>722</v>
      </c>
      <c r="R723">
        <v>12</v>
      </c>
    </row>
    <row r="724" spans="17:18">
      <c r="Q724">
        <v>723</v>
      </c>
      <c r="R724">
        <v>12</v>
      </c>
    </row>
    <row r="725" spans="17:18">
      <c r="Q725">
        <v>724</v>
      </c>
      <c r="R725">
        <v>10</v>
      </c>
    </row>
    <row r="726" spans="17:18">
      <c r="Q726">
        <v>725</v>
      </c>
      <c r="R726">
        <v>12</v>
      </c>
    </row>
    <row r="727" spans="17:18">
      <c r="Q727">
        <v>726</v>
      </c>
      <c r="R727">
        <v>13</v>
      </c>
    </row>
    <row r="728" spans="17:18">
      <c r="Q728">
        <v>727</v>
      </c>
      <c r="R728">
        <v>11</v>
      </c>
    </row>
    <row r="729" spans="17:18">
      <c r="Q729">
        <v>728</v>
      </c>
      <c r="R729">
        <v>13</v>
      </c>
    </row>
    <row r="730" spans="17:18">
      <c r="Q730">
        <v>729</v>
      </c>
      <c r="R730">
        <v>22</v>
      </c>
    </row>
    <row r="731" spans="17:18">
      <c r="Q731">
        <v>730</v>
      </c>
      <c r="R731">
        <v>12</v>
      </c>
    </row>
    <row r="732" spans="17:18">
      <c r="Q732">
        <v>731</v>
      </c>
      <c r="R732">
        <v>12</v>
      </c>
    </row>
    <row r="733" spans="17:18">
      <c r="Q733">
        <v>732</v>
      </c>
      <c r="R733">
        <v>13</v>
      </c>
    </row>
    <row r="734" spans="17:18">
      <c r="Q734">
        <v>733</v>
      </c>
      <c r="R734">
        <v>15</v>
      </c>
    </row>
    <row r="735" spans="17:18">
      <c r="Q735">
        <v>734</v>
      </c>
      <c r="R735">
        <v>15</v>
      </c>
    </row>
    <row r="736" spans="17:18">
      <c r="Q736">
        <v>735</v>
      </c>
      <c r="R736">
        <v>12</v>
      </c>
    </row>
    <row r="737" spans="17:18">
      <c r="Q737">
        <v>736</v>
      </c>
      <c r="R737">
        <v>16</v>
      </c>
    </row>
    <row r="738" spans="17:18">
      <c r="Q738">
        <v>737</v>
      </c>
      <c r="R738">
        <v>12</v>
      </c>
    </row>
    <row r="739" spans="17:18">
      <c r="Q739">
        <v>738</v>
      </c>
      <c r="R739">
        <v>12</v>
      </c>
    </row>
    <row r="740" spans="17:18">
      <c r="Q740">
        <v>739</v>
      </c>
      <c r="R740">
        <v>12</v>
      </c>
    </row>
    <row r="741" spans="17:18">
      <c r="Q741">
        <v>740</v>
      </c>
      <c r="R741">
        <v>14</v>
      </c>
    </row>
    <row r="742" spans="17:18">
      <c r="Q742">
        <v>741</v>
      </c>
      <c r="R742">
        <v>11</v>
      </c>
    </row>
    <row r="743" spans="17:18">
      <c r="Q743">
        <v>742</v>
      </c>
      <c r="R743">
        <v>11</v>
      </c>
    </row>
    <row r="744" spans="17:18">
      <c r="Q744">
        <v>743</v>
      </c>
      <c r="R744">
        <v>14</v>
      </c>
    </row>
    <row r="745" spans="17:18">
      <c r="Q745">
        <v>744</v>
      </c>
      <c r="R745">
        <v>9</v>
      </c>
    </row>
    <row r="746" spans="17:18">
      <c r="Q746">
        <v>745</v>
      </c>
      <c r="R746">
        <v>12</v>
      </c>
    </row>
    <row r="747" spans="17:18">
      <c r="Q747">
        <v>746</v>
      </c>
      <c r="R747">
        <v>15</v>
      </c>
    </row>
    <row r="748" spans="17:18">
      <c r="Q748">
        <v>747</v>
      </c>
      <c r="R748">
        <v>14</v>
      </c>
    </row>
    <row r="749" spans="17:18">
      <c r="Q749">
        <v>748</v>
      </c>
      <c r="R749">
        <v>10</v>
      </c>
    </row>
    <row r="750" spans="17:18">
      <c r="Q750">
        <v>749</v>
      </c>
      <c r="R750">
        <v>18</v>
      </c>
    </row>
    <row r="751" spans="17:18">
      <c r="Q751">
        <v>750</v>
      </c>
      <c r="R751">
        <v>17</v>
      </c>
    </row>
    <row r="752" spans="17:18">
      <c r="Q752">
        <v>751</v>
      </c>
      <c r="R752">
        <v>11</v>
      </c>
    </row>
    <row r="753" spans="17:18">
      <c r="Q753">
        <v>752</v>
      </c>
      <c r="R753">
        <v>12</v>
      </c>
    </row>
    <row r="754" spans="17:18">
      <c r="Q754">
        <v>753</v>
      </c>
      <c r="R754">
        <v>12</v>
      </c>
    </row>
    <row r="755" spans="17:18">
      <c r="Q755">
        <v>754</v>
      </c>
      <c r="R755">
        <v>12</v>
      </c>
    </row>
    <row r="756" spans="17:18">
      <c r="Q756">
        <v>755</v>
      </c>
      <c r="R756">
        <v>13</v>
      </c>
    </row>
    <row r="757" spans="17:18">
      <c r="Q757">
        <v>756</v>
      </c>
      <c r="R757">
        <v>11</v>
      </c>
    </row>
    <row r="758" spans="17:18">
      <c r="Q758">
        <v>757</v>
      </c>
      <c r="R758">
        <v>12</v>
      </c>
    </row>
    <row r="759" spans="17:18">
      <c r="Q759">
        <v>758</v>
      </c>
      <c r="R759">
        <v>13</v>
      </c>
    </row>
    <row r="760" spans="17:18">
      <c r="Q760">
        <v>759</v>
      </c>
      <c r="R760">
        <v>11</v>
      </c>
    </row>
    <row r="761" spans="17:18">
      <c r="Q761">
        <v>760</v>
      </c>
      <c r="R761">
        <v>10</v>
      </c>
    </row>
    <row r="762" spans="17:18">
      <c r="Q762">
        <v>761</v>
      </c>
      <c r="R762">
        <v>10</v>
      </c>
    </row>
    <row r="763" spans="17:18">
      <c r="Q763">
        <v>762</v>
      </c>
      <c r="R763">
        <v>12</v>
      </c>
    </row>
    <row r="764" spans="17:18">
      <c r="Q764">
        <v>763</v>
      </c>
      <c r="R764">
        <v>13</v>
      </c>
    </row>
    <row r="765" spans="17:18">
      <c r="Q765">
        <v>764</v>
      </c>
      <c r="R765">
        <v>11</v>
      </c>
    </row>
    <row r="766" spans="17:18">
      <c r="Q766">
        <v>765</v>
      </c>
      <c r="R766">
        <v>11</v>
      </c>
    </row>
    <row r="767" spans="17:18">
      <c r="Q767">
        <v>766</v>
      </c>
      <c r="R767">
        <v>15</v>
      </c>
    </row>
    <row r="768" spans="17:18">
      <c r="Q768">
        <v>767</v>
      </c>
      <c r="R768">
        <v>16</v>
      </c>
    </row>
    <row r="769" spans="17:18">
      <c r="Q769">
        <v>768</v>
      </c>
      <c r="R769">
        <v>9</v>
      </c>
    </row>
    <row r="770" spans="17:18">
      <c r="Q770">
        <v>769</v>
      </c>
      <c r="R770">
        <v>18</v>
      </c>
    </row>
    <row r="771" spans="17:18">
      <c r="Q771">
        <v>770</v>
      </c>
      <c r="R771">
        <v>18</v>
      </c>
    </row>
    <row r="772" spans="17:18">
      <c r="Q772">
        <v>771</v>
      </c>
      <c r="R772">
        <v>11</v>
      </c>
    </row>
    <row r="773" spans="17:18">
      <c r="Q773">
        <v>772</v>
      </c>
      <c r="R773">
        <v>10</v>
      </c>
    </row>
    <row r="774" spans="17:18">
      <c r="Q774">
        <v>773</v>
      </c>
      <c r="R774">
        <v>12</v>
      </c>
    </row>
    <row r="775" spans="17:18">
      <c r="Q775">
        <v>774</v>
      </c>
      <c r="R775">
        <v>13</v>
      </c>
    </row>
    <row r="776" spans="17:18">
      <c r="Q776">
        <v>775</v>
      </c>
      <c r="R776">
        <v>10</v>
      </c>
    </row>
    <row r="777" spans="17:18">
      <c r="Q777">
        <v>776</v>
      </c>
      <c r="R777">
        <v>11</v>
      </c>
    </row>
    <row r="778" spans="17:18">
      <c r="Q778">
        <v>777</v>
      </c>
      <c r="R778">
        <v>16</v>
      </c>
    </row>
    <row r="779" spans="17:18">
      <c r="Q779">
        <v>778</v>
      </c>
      <c r="R779">
        <v>14</v>
      </c>
    </row>
    <row r="780" spans="17:18">
      <c r="Q780">
        <v>779</v>
      </c>
      <c r="R780">
        <v>12</v>
      </c>
    </row>
    <row r="781" spans="17:18">
      <c r="Q781">
        <v>780</v>
      </c>
      <c r="R781">
        <v>13</v>
      </c>
    </row>
    <row r="782" spans="17:18">
      <c r="Q782">
        <v>781</v>
      </c>
      <c r="R782">
        <v>13</v>
      </c>
    </row>
    <row r="783" spans="17:18">
      <c r="Q783">
        <v>782</v>
      </c>
      <c r="R783">
        <v>10</v>
      </c>
    </row>
    <row r="784" spans="17:18">
      <c r="Q784">
        <v>783</v>
      </c>
      <c r="R784">
        <v>12</v>
      </c>
    </row>
    <row r="785" spans="17:18">
      <c r="Q785">
        <v>784</v>
      </c>
      <c r="R785">
        <v>12</v>
      </c>
    </row>
    <row r="786" spans="17:18">
      <c r="Q786">
        <v>785</v>
      </c>
      <c r="R786">
        <v>16</v>
      </c>
    </row>
    <row r="787" spans="17:18">
      <c r="Q787">
        <v>786</v>
      </c>
      <c r="R787">
        <v>12</v>
      </c>
    </row>
    <row r="788" spans="17:18">
      <c r="Q788">
        <v>787</v>
      </c>
      <c r="R788">
        <v>11</v>
      </c>
    </row>
    <row r="789" spans="17:18">
      <c r="Q789">
        <v>788</v>
      </c>
      <c r="R789">
        <v>15</v>
      </c>
    </row>
    <row r="790" spans="17:18">
      <c r="Q790">
        <v>789</v>
      </c>
      <c r="R790">
        <v>13</v>
      </c>
    </row>
    <row r="791" spans="17:18">
      <c r="Q791">
        <v>790</v>
      </c>
      <c r="R791">
        <v>12</v>
      </c>
    </row>
    <row r="792" spans="17:18">
      <c r="Q792">
        <v>791</v>
      </c>
      <c r="R792">
        <v>16</v>
      </c>
    </row>
    <row r="793" spans="17:18">
      <c r="Q793">
        <v>792</v>
      </c>
      <c r="R793">
        <v>13</v>
      </c>
    </row>
    <row r="794" spans="17:18">
      <c r="Q794">
        <v>793</v>
      </c>
      <c r="R794">
        <v>11</v>
      </c>
    </row>
    <row r="795" spans="17:18">
      <c r="Q795">
        <v>794</v>
      </c>
      <c r="R795">
        <v>10</v>
      </c>
    </row>
    <row r="796" spans="17:18">
      <c r="Q796">
        <v>795</v>
      </c>
      <c r="R796">
        <v>11</v>
      </c>
    </row>
    <row r="797" spans="17:18">
      <c r="Q797">
        <v>796</v>
      </c>
      <c r="R797">
        <v>14</v>
      </c>
    </row>
    <row r="798" spans="17:18">
      <c r="Q798">
        <v>797</v>
      </c>
      <c r="R798">
        <v>10</v>
      </c>
    </row>
    <row r="799" spans="17:18">
      <c r="Q799">
        <v>798</v>
      </c>
      <c r="R799">
        <v>11</v>
      </c>
    </row>
    <row r="800" spans="17:18">
      <c r="Q800">
        <v>799</v>
      </c>
      <c r="R800">
        <v>11</v>
      </c>
    </row>
    <row r="801" spans="17:18">
      <c r="Q801">
        <v>800</v>
      </c>
      <c r="R801">
        <v>15</v>
      </c>
    </row>
    <row r="802" spans="17:18">
      <c r="Q802">
        <v>801</v>
      </c>
      <c r="R802">
        <v>14</v>
      </c>
    </row>
    <row r="803" spans="17:18">
      <c r="Q803">
        <v>802</v>
      </c>
      <c r="R803">
        <v>14</v>
      </c>
    </row>
    <row r="804" spans="17:18">
      <c r="Q804">
        <v>803</v>
      </c>
      <c r="R804">
        <v>10</v>
      </c>
    </row>
    <row r="805" spans="17:18">
      <c r="Q805">
        <v>804</v>
      </c>
      <c r="R805">
        <v>14</v>
      </c>
    </row>
    <row r="806" spans="17:18">
      <c r="Q806">
        <v>805</v>
      </c>
      <c r="R806">
        <v>14</v>
      </c>
    </row>
    <row r="807" spans="17:18">
      <c r="Q807">
        <v>806</v>
      </c>
      <c r="R807">
        <v>12</v>
      </c>
    </row>
    <row r="808" spans="17:18">
      <c r="Q808">
        <v>807</v>
      </c>
      <c r="R808">
        <v>13</v>
      </c>
    </row>
    <row r="809" spans="17:18">
      <c r="Q809">
        <v>808</v>
      </c>
      <c r="R809">
        <v>13</v>
      </c>
    </row>
    <row r="810" spans="17:18">
      <c r="Q810">
        <v>809</v>
      </c>
      <c r="R810">
        <v>13</v>
      </c>
    </row>
    <row r="811" spans="17:18">
      <c r="Q811">
        <v>810</v>
      </c>
      <c r="R811">
        <v>12</v>
      </c>
    </row>
    <row r="812" spans="17:18">
      <c r="Q812">
        <v>811</v>
      </c>
      <c r="R812">
        <v>15</v>
      </c>
    </row>
    <row r="813" spans="17:18">
      <c r="Q813">
        <v>812</v>
      </c>
      <c r="R813">
        <v>12</v>
      </c>
    </row>
    <row r="814" spans="17:18">
      <c r="Q814">
        <v>813</v>
      </c>
      <c r="R814">
        <v>10</v>
      </c>
    </row>
    <row r="815" spans="17:18">
      <c r="Q815">
        <v>814</v>
      </c>
      <c r="R815">
        <v>13</v>
      </c>
    </row>
    <row r="816" spans="17:18">
      <c r="Q816">
        <v>815</v>
      </c>
      <c r="R816">
        <v>11</v>
      </c>
    </row>
    <row r="817" spans="17:18">
      <c r="Q817">
        <v>816</v>
      </c>
      <c r="R817">
        <v>13</v>
      </c>
    </row>
    <row r="818" spans="17:18">
      <c r="Q818">
        <v>817</v>
      </c>
      <c r="R818">
        <v>12</v>
      </c>
    </row>
    <row r="819" spans="17:18">
      <c r="Q819">
        <v>818</v>
      </c>
      <c r="R819">
        <v>11</v>
      </c>
    </row>
    <row r="820" spans="17:18">
      <c r="Q820">
        <v>819</v>
      </c>
      <c r="R820">
        <v>12</v>
      </c>
    </row>
    <row r="821" spans="17:18">
      <c r="Q821">
        <v>820</v>
      </c>
      <c r="R821">
        <v>11</v>
      </c>
    </row>
    <row r="822" spans="17:18">
      <c r="Q822">
        <v>821</v>
      </c>
      <c r="R822">
        <v>15</v>
      </c>
    </row>
    <row r="823" spans="17:18">
      <c r="Q823">
        <v>822</v>
      </c>
      <c r="R823">
        <v>15</v>
      </c>
    </row>
    <row r="824" spans="17:18">
      <c r="Q824">
        <v>823</v>
      </c>
      <c r="R824">
        <v>12</v>
      </c>
    </row>
    <row r="825" spans="17:18">
      <c r="Q825">
        <v>824</v>
      </c>
      <c r="R825">
        <v>13</v>
      </c>
    </row>
    <row r="826" spans="17:18">
      <c r="Q826">
        <v>825</v>
      </c>
      <c r="R826">
        <v>11</v>
      </c>
    </row>
    <row r="827" spans="17:18">
      <c r="Q827">
        <v>826</v>
      </c>
      <c r="R827">
        <v>10</v>
      </c>
    </row>
    <row r="828" spans="17:18">
      <c r="Q828">
        <v>827</v>
      </c>
      <c r="R828">
        <v>11</v>
      </c>
    </row>
    <row r="829" spans="17:18">
      <c r="Q829">
        <v>828</v>
      </c>
      <c r="R829">
        <v>14</v>
      </c>
    </row>
    <row r="830" spans="17:18">
      <c r="Q830">
        <v>829</v>
      </c>
      <c r="R830">
        <v>11</v>
      </c>
    </row>
    <row r="831" spans="17:18">
      <c r="Q831">
        <v>830</v>
      </c>
      <c r="R831">
        <v>10</v>
      </c>
    </row>
    <row r="832" spans="17:18">
      <c r="Q832">
        <v>831</v>
      </c>
      <c r="R832">
        <v>12</v>
      </c>
    </row>
    <row r="833" spans="17:18">
      <c r="Q833">
        <v>832</v>
      </c>
      <c r="R833">
        <v>13</v>
      </c>
    </row>
    <row r="834" spans="17:18">
      <c r="Q834">
        <v>833</v>
      </c>
      <c r="R834">
        <v>11</v>
      </c>
    </row>
    <row r="835" spans="17:18">
      <c r="Q835">
        <v>834</v>
      </c>
      <c r="R835">
        <v>12</v>
      </c>
    </row>
    <row r="836" spans="17:18">
      <c r="Q836">
        <v>835</v>
      </c>
      <c r="R836">
        <v>12</v>
      </c>
    </row>
    <row r="837" spans="17:18">
      <c r="Q837">
        <v>836</v>
      </c>
      <c r="R837">
        <v>12</v>
      </c>
    </row>
    <row r="838" spans="17:18">
      <c r="Q838">
        <v>837</v>
      </c>
      <c r="R838">
        <v>12</v>
      </c>
    </row>
    <row r="839" spans="17:18">
      <c r="Q839">
        <v>838</v>
      </c>
      <c r="R839">
        <v>12</v>
      </c>
    </row>
    <row r="840" spans="17:18">
      <c r="Q840">
        <v>839</v>
      </c>
      <c r="R840">
        <v>12</v>
      </c>
    </row>
    <row r="841" spans="17:18">
      <c r="Q841">
        <v>840</v>
      </c>
      <c r="R841">
        <v>18</v>
      </c>
    </row>
    <row r="842" spans="17:18">
      <c r="Q842">
        <v>841</v>
      </c>
      <c r="R842">
        <v>13</v>
      </c>
    </row>
    <row r="843" spans="17:18">
      <c r="Q843">
        <v>842</v>
      </c>
      <c r="R843">
        <v>11</v>
      </c>
    </row>
    <row r="844" spans="17:18">
      <c r="Q844">
        <v>843</v>
      </c>
      <c r="R844">
        <v>11</v>
      </c>
    </row>
    <row r="845" spans="17:18">
      <c r="Q845">
        <v>844</v>
      </c>
      <c r="R845">
        <v>12</v>
      </c>
    </row>
    <row r="846" spans="17:18">
      <c r="Q846">
        <v>845</v>
      </c>
      <c r="R846">
        <v>12</v>
      </c>
    </row>
    <row r="847" spans="17:18">
      <c r="Q847">
        <v>846</v>
      </c>
      <c r="R847">
        <v>12</v>
      </c>
    </row>
    <row r="848" spans="17:18">
      <c r="Q848">
        <v>847</v>
      </c>
      <c r="R848">
        <v>12</v>
      </c>
    </row>
    <row r="849" spans="17:18">
      <c r="Q849">
        <v>848</v>
      </c>
      <c r="R849">
        <v>14</v>
      </c>
    </row>
    <row r="850" spans="17:18">
      <c r="Q850">
        <v>849</v>
      </c>
      <c r="R850">
        <v>12</v>
      </c>
    </row>
    <row r="851" spans="17:18">
      <c r="Q851">
        <v>850</v>
      </c>
      <c r="R851">
        <v>12</v>
      </c>
    </row>
    <row r="852" spans="17:18">
      <c r="Q852">
        <v>851</v>
      </c>
      <c r="R852">
        <v>14</v>
      </c>
    </row>
    <row r="853" spans="17:18">
      <c r="Q853">
        <v>852</v>
      </c>
      <c r="R853">
        <v>13</v>
      </c>
    </row>
    <row r="854" spans="17:18">
      <c r="Q854">
        <v>853</v>
      </c>
      <c r="R854">
        <v>11</v>
      </c>
    </row>
    <row r="855" spans="17:18">
      <c r="Q855">
        <v>854</v>
      </c>
      <c r="R855">
        <v>13</v>
      </c>
    </row>
    <row r="856" spans="17:18">
      <c r="Q856">
        <v>855</v>
      </c>
      <c r="R856">
        <v>10</v>
      </c>
    </row>
    <row r="857" spans="17:18">
      <c r="Q857">
        <v>856</v>
      </c>
      <c r="R857">
        <v>12</v>
      </c>
    </row>
    <row r="858" spans="17:18">
      <c r="Q858">
        <v>857</v>
      </c>
      <c r="R858">
        <v>15</v>
      </c>
    </row>
    <row r="859" spans="17:18">
      <c r="Q859">
        <v>858</v>
      </c>
      <c r="R859">
        <v>11</v>
      </c>
    </row>
    <row r="860" spans="17:18">
      <c r="Q860">
        <v>859</v>
      </c>
      <c r="R860">
        <v>12</v>
      </c>
    </row>
    <row r="861" spans="17:18">
      <c r="Q861">
        <v>860</v>
      </c>
      <c r="R861">
        <v>17</v>
      </c>
    </row>
    <row r="862" spans="17:18">
      <c r="Q862">
        <v>861</v>
      </c>
      <c r="R862">
        <v>12</v>
      </c>
    </row>
    <row r="863" spans="17:18">
      <c r="Q863">
        <v>862</v>
      </c>
      <c r="R863">
        <v>14</v>
      </c>
    </row>
    <row r="864" spans="17:18">
      <c r="Q864">
        <v>863</v>
      </c>
      <c r="R864">
        <v>11</v>
      </c>
    </row>
    <row r="865" spans="17:18">
      <c r="Q865">
        <v>864</v>
      </c>
      <c r="R865">
        <v>15</v>
      </c>
    </row>
    <row r="866" spans="17:18">
      <c r="Q866">
        <v>865</v>
      </c>
      <c r="R866">
        <v>13</v>
      </c>
    </row>
    <row r="867" spans="17:18">
      <c r="Q867">
        <v>866</v>
      </c>
      <c r="R867">
        <v>14</v>
      </c>
    </row>
    <row r="868" spans="17:18">
      <c r="Q868">
        <v>867</v>
      </c>
      <c r="R868">
        <v>12</v>
      </c>
    </row>
    <row r="869" spans="17:18">
      <c r="Q869">
        <v>868</v>
      </c>
      <c r="R869">
        <v>10</v>
      </c>
    </row>
    <row r="870" spans="17:18">
      <c r="Q870">
        <v>869</v>
      </c>
      <c r="R870">
        <v>13</v>
      </c>
    </row>
    <row r="871" spans="17:18">
      <c r="Q871">
        <v>870</v>
      </c>
      <c r="R871">
        <v>12</v>
      </c>
    </row>
    <row r="872" spans="17:18">
      <c r="Q872">
        <v>871</v>
      </c>
      <c r="R872">
        <v>12</v>
      </c>
    </row>
    <row r="873" spans="17:18">
      <c r="Q873">
        <v>872</v>
      </c>
      <c r="R873">
        <v>12</v>
      </c>
    </row>
    <row r="874" spans="17:18">
      <c r="Q874">
        <v>873</v>
      </c>
      <c r="R874">
        <v>15</v>
      </c>
    </row>
    <row r="875" spans="17:18">
      <c r="Q875">
        <v>874</v>
      </c>
      <c r="R875">
        <v>14</v>
      </c>
    </row>
    <row r="876" spans="17:18">
      <c r="Q876">
        <v>875</v>
      </c>
      <c r="R876">
        <v>12</v>
      </c>
    </row>
    <row r="877" spans="17:18">
      <c r="Q877">
        <v>876</v>
      </c>
      <c r="R877">
        <v>14</v>
      </c>
    </row>
    <row r="878" spans="17:18">
      <c r="Q878">
        <v>877</v>
      </c>
      <c r="R878">
        <v>14</v>
      </c>
    </row>
    <row r="879" spans="17:18">
      <c r="Q879">
        <v>878</v>
      </c>
      <c r="R879">
        <v>11</v>
      </c>
    </row>
    <row r="880" spans="17:18">
      <c r="Q880">
        <v>879</v>
      </c>
      <c r="R880">
        <v>15</v>
      </c>
    </row>
    <row r="881" spans="17:18">
      <c r="Q881">
        <v>880</v>
      </c>
      <c r="R881">
        <v>10</v>
      </c>
    </row>
    <row r="882" spans="17:18">
      <c r="Q882">
        <v>881</v>
      </c>
      <c r="R882">
        <v>12</v>
      </c>
    </row>
    <row r="883" spans="17:18">
      <c r="Q883">
        <v>882</v>
      </c>
      <c r="R883">
        <v>12</v>
      </c>
    </row>
    <row r="884" spans="17:18">
      <c r="Q884">
        <v>883</v>
      </c>
      <c r="R884">
        <v>12</v>
      </c>
    </row>
    <row r="885" spans="17:18">
      <c r="Q885">
        <v>884</v>
      </c>
      <c r="R885">
        <v>14</v>
      </c>
    </row>
    <row r="886" spans="17:18">
      <c r="Q886">
        <v>885</v>
      </c>
      <c r="R886">
        <v>14</v>
      </c>
    </row>
    <row r="887" spans="17:18">
      <c r="Q887">
        <v>886</v>
      </c>
      <c r="R887">
        <v>11</v>
      </c>
    </row>
    <row r="888" spans="17:18">
      <c r="Q888">
        <v>887</v>
      </c>
      <c r="R888">
        <v>11</v>
      </c>
    </row>
    <row r="889" spans="17:18">
      <c r="Q889">
        <v>888</v>
      </c>
      <c r="R889">
        <v>12</v>
      </c>
    </row>
    <row r="890" spans="17:18">
      <c r="Q890">
        <v>889</v>
      </c>
      <c r="R890">
        <v>13</v>
      </c>
    </row>
    <row r="891" spans="17:18">
      <c r="Q891">
        <v>890</v>
      </c>
      <c r="R891">
        <v>12</v>
      </c>
    </row>
    <row r="892" spans="17:18">
      <c r="Q892">
        <v>891</v>
      </c>
      <c r="R892">
        <v>11</v>
      </c>
    </row>
    <row r="893" spans="17:18">
      <c r="Q893">
        <v>892</v>
      </c>
      <c r="R893">
        <v>14</v>
      </c>
    </row>
    <row r="894" spans="17:18">
      <c r="Q894">
        <v>893</v>
      </c>
      <c r="R894">
        <v>14</v>
      </c>
    </row>
    <row r="895" spans="17:18">
      <c r="Q895">
        <v>894</v>
      </c>
      <c r="R895">
        <v>15</v>
      </c>
    </row>
    <row r="896" spans="17:18">
      <c r="Q896">
        <v>895</v>
      </c>
      <c r="R896">
        <v>14</v>
      </c>
    </row>
    <row r="897" spans="17:18">
      <c r="Q897">
        <v>896</v>
      </c>
      <c r="R897">
        <v>11</v>
      </c>
    </row>
    <row r="898" spans="17:18">
      <c r="Q898">
        <v>897</v>
      </c>
      <c r="R898">
        <v>11</v>
      </c>
    </row>
    <row r="899" spans="17:18">
      <c r="Q899">
        <v>898</v>
      </c>
      <c r="R899">
        <v>18</v>
      </c>
    </row>
    <row r="900" spans="17:18">
      <c r="Q900">
        <v>899</v>
      </c>
      <c r="R900">
        <v>21</v>
      </c>
    </row>
    <row r="901" spans="17:18">
      <c r="Q901">
        <v>900</v>
      </c>
      <c r="R901">
        <v>19</v>
      </c>
    </row>
    <row r="902" spans="17:18">
      <c r="Q902">
        <v>901</v>
      </c>
      <c r="R902">
        <v>10</v>
      </c>
    </row>
    <row r="903" spans="17:18">
      <c r="Q903">
        <v>902</v>
      </c>
      <c r="R903">
        <v>11</v>
      </c>
    </row>
    <row r="904" spans="17:18">
      <c r="Q904">
        <v>903</v>
      </c>
      <c r="R904">
        <v>12</v>
      </c>
    </row>
    <row r="905" spans="17:18">
      <c r="Q905">
        <v>904</v>
      </c>
      <c r="R905">
        <v>11</v>
      </c>
    </row>
    <row r="906" spans="17:18">
      <c r="Q906">
        <v>905</v>
      </c>
      <c r="R906">
        <v>15</v>
      </c>
    </row>
    <row r="907" spans="17:18">
      <c r="Q907">
        <v>906</v>
      </c>
      <c r="R907">
        <v>14</v>
      </c>
    </row>
    <row r="908" spans="17:18">
      <c r="Q908">
        <v>907</v>
      </c>
      <c r="R908">
        <v>11</v>
      </c>
    </row>
    <row r="909" spans="17:18">
      <c r="Q909">
        <v>908</v>
      </c>
      <c r="R909">
        <v>11</v>
      </c>
    </row>
    <row r="910" spans="17:18">
      <c r="Q910">
        <v>909</v>
      </c>
      <c r="R910">
        <v>11</v>
      </c>
    </row>
    <row r="911" spans="17:18">
      <c r="Q911">
        <v>910</v>
      </c>
      <c r="R911">
        <v>12</v>
      </c>
    </row>
    <row r="912" spans="17:18">
      <c r="Q912">
        <v>911</v>
      </c>
      <c r="R912">
        <v>10</v>
      </c>
    </row>
    <row r="913" spans="17:18">
      <c r="Q913">
        <v>912</v>
      </c>
      <c r="R913">
        <v>11</v>
      </c>
    </row>
    <row r="914" spans="17:18">
      <c r="Q914">
        <v>913</v>
      </c>
      <c r="R914">
        <v>13</v>
      </c>
    </row>
    <row r="915" spans="17:18">
      <c r="Q915">
        <v>914</v>
      </c>
      <c r="R915">
        <v>12</v>
      </c>
    </row>
    <row r="916" spans="17:18">
      <c r="Q916">
        <v>915</v>
      </c>
      <c r="R916">
        <v>11</v>
      </c>
    </row>
    <row r="917" spans="17:18">
      <c r="Q917">
        <v>916</v>
      </c>
      <c r="R917">
        <v>12</v>
      </c>
    </row>
    <row r="918" spans="17:18">
      <c r="Q918">
        <v>917</v>
      </c>
      <c r="R918">
        <v>13</v>
      </c>
    </row>
    <row r="919" spans="17:18">
      <c r="Q919">
        <v>918</v>
      </c>
      <c r="R919">
        <v>20</v>
      </c>
    </row>
    <row r="920" spans="17:18">
      <c r="Q920">
        <v>919</v>
      </c>
      <c r="R920">
        <v>11</v>
      </c>
    </row>
    <row r="921" spans="17:18">
      <c r="Q921">
        <v>920</v>
      </c>
      <c r="R921">
        <v>10</v>
      </c>
    </row>
    <row r="922" spans="17:18">
      <c r="Q922">
        <v>921</v>
      </c>
      <c r="R922">
        <v>10</v>
      </c>
    </row>
    <row r="923" spans="17:18">
      <c r="Q923">
        <v>922</v>
      </c>
      <c r="R923">
        <v>13</v>
      </c>
    </row>
    <row r="924" spans="17:18">
      <c r="Q924">
        <v>923</v>
      </c>
      <c r="R924">
        <v>10</v>
      </c>
    </row>
    <row r="925" spans="17:18">
      <c r="Q925">
        <v>924</v>
      </c>
      <c r="R925">
        <v>14</v>
      </c>
    </row>
    <row r="926" spans="17:18">
      <c r="Q926">
        <v>925</v>
      </c>
      <c r="R926">
        <v>13</v>
      </c>
    </row>
    <row r="927" spans="17:18">
      <c r="Q927">
        <v>926</v>
      </c>
      <c r="R927">
        <v>12</v>
      </c>
    </row>
    <row r="928" spans="17:18">
      <c r="Q928">
        <v>927</v>
      </c>
      <c r="R928">
        <v>11</v>
      </c>
    </row>
    <row r="929" spans="17:18">
      <c r="Q929">
        <v>928</v>
      </c>
      <c r="R929">
        <v>11</v>
      </c>
    </row>
    <row r="930" spans="17:18">
      <c r="Q930">
        <v>929</v>
      </c>
      <c r="R930">
        <v>16</v>
      </c>
    </row>
    <row r="931" spans="17:18">
      <c r="Q931">
        <v>930</v>
      </c>
      <c r="R931">
        <v>14</v>
      </c>
    </row>
    <row r="932" spans="17:18">
      <c r="Q932">
        <v>931</v>
      </c>
      <c r="R932">
        <v>15</v>
      </c>
    </row>
    <row r="933" spans="17:18">
      <c r="Q933">
        <v>932</v>
      </c>
      <c r="R933">
        <v>13</v>
      </c>
    </row>
    <row r="934" spans="17:18">
      <c r="Q934">
        <v>933</v>
      </c>
      <c r="R934">
        <v>30</v>
      </c>
    </row>
    <row r="935" spans="17:18">
      <c r="Q935">
        <v>934</v>
      </c>
      <c r="R935">
        <v>14</v>
      </c>
    </row>
    <row r="936" spans="17:18">
      <c r="Q936">
        <v>935</v>
      </c>
      <c r="R936">
        <v>12</v>
      </c>
    </row>
    <row r="937" spans="17:18">
      <c r="Q937">
        <v>936</v>
      </c>
      <c r="R937">
        <v>14</v>
      </c>
    </row>
    <row r="938" spans="17:18">
      <c r="Q938">
        <v>937</v>
      </c>
      <c r="R938">
        <v>13</v>
      </c>
    </row>
    <row r="939" spans="17:18">
      <c r="Q939">
        <v>938</v>
      </c>
      <c r="R939">
        <v>11</v>
      </c>
    </row>
    <row r="940" spans="17:18">
      <c r="Q940">
        <v>939</v>
      </c>
      <c r="R940">
        <v>14</v>
      </c>
    </row>
    <row r="941" spans="17:18">
      <c r="Q941">
        <v>940</v>
      </c>
      <c r="R941">
        <v>11</v>
      </c>
    </row>
    <row r="942" spans="17:18">
      <c r="Q942">
        <v>941</v>
      </c>
      <c r="R942">
        <v>11</v>
      </c>
    </row>
    <row r="943" spans="17:18">
      <c r="Q943">
        <v>942</v>
      </c>
      <c r="R943">
        <v>11</v>
      </c>
    </row>
    <row r="944" spans="17:18">
      <c r="Q944">
        <v>943</v>
      </c>
      <c r="R944">
        <v>12</v>
      </c>
    </row>
    <row r="945" spans="17:18">
      <c r="Q945">
        <v>944</v>
      </c>
      <c r="R945">
        <v>14</v>
      </c>
    </row>
    <row r="946" spans="17:18">
      <c r="Q946">
        <v>945</v>
      </c>
      <c r="R946">
        <v>14</v>
      </c>
    </row>
    <row r="947" spans="17:18">
      <c r="Q947">
        <v>946</v>
      </c>
      <c r="R947">
        <v>16</v>
      </c>
    </row>
    <row r="948" spans="17:18">
      <c r="Q948">
        <v>947</v>
      </c>
      <c r="R948">
        <v>11</v>
      </c>
    </row>
    <row r="949" spans="17:18">
      <c r="Q949">
        <v>948</v>
      </c>
      <c r="R949">
        <v>16</v>
      </c>
    </row>
    <row r="950" spans="17:18">
      <c r="Q950">
        <v>949</v>
      </c>
      <c r="R950">
        <v>13</v>
      </c>
    </row>
    <row r="951" spans="17:18">
      <c r="Q951">
        <v>950</v>
      </c>
      <c r="R951">
        <v>12</v>
      </c>
    </row>
    <row r="952" spans="17:18">
      <c r="Q952">
        <v>951</v>
      </c>
      <c r="R952">
        <v>13</v>
      </c>
    </row>
    <row r="953" spans="17:18">
      <c r="Q953">
        <v>952</v>
      </c>
      <c r="R953">
        <v>11</v>
      </c>
    </row>
    <row r="954" spans="17:18">
      <c r="Q954">
        <v>953</v>
      </c>
      <c r="R954">
        <v>19</v>
      </c>
    </row>
    <row r="955" spans="17:18">
      <c r="Q955">
        <v>954</v>
      </c>
      <c r="R955">
        <v>13</v>
      </c>
    </row>
    <row r="956" spans="17:18">
      <c r="Q956">
        <v>955</v>
      </c>
      <c r="R956">
        <v>12</v>
      </c>
    </row>
    <row r="957" spans="17:18">
      <c r="Q957">
        <v>956</v>
      </c>
      <c r="R957">
        <v>12</v>
      </c>
    </row>
    <row r="958" spans="17:18">
      <c r="Q958">
        <v>957</v>
      </c>
      <c r="R958">
        <v>13</v>
      </c>
    </row>
    <row r="959" spans="17:18">
      <c r="Q959">
        <v>958</v>
      </c>
      <c r="R959">
        <v>12</v>
      </c>
    </row>
    <row r="960" spans="17:18">
      <c r="Q960">
        <v>959</v>
      </c>
      <c r="R960">
        <v>11</v>
      </c>
    </row>
    <row r="961" spans="17:18">
      <c r="Q961">
        <v>960</v>
      </c>
      <c r="R961">
        <v>21</v>
      </c>
    </row>
    <row r="962" spans="17:18">
      <c r="Q962">
        <v>961</v>
      </c>
      <c r="R962">
        <v>10</v>
      </c>
    </row>
    <row r="963" spans="17:18">
      <c r="Q963">
        <v>962</v>
      </c>
      <c r="R963">
        <v>11</v>
      </c>
    </row>
    <row r="964" spans="17:18">
      <c r="Q964">
        <v>963</v>
      </c>
      <c r="R964">
        <v>11</v>
      </c>
    </row>
    <row r="965" spans="17:18">
      <c r="Q965">
        <v>964</v>
      </c>
      <c r="R965">
        <v>13</v>
      </c>
    </row>
    <row r="966" spans="17:18">
      <c r="Q966">
        <v>965</v>
      </c>
      <c r="R966">
        <v>12</v>
      </c>
    </row>
    <row r="967" spans="17:18">
      <c r="Q967">
        <v>966</v>
      </c>
      <c r="R967">
        <v>10</v>
      </c>
    </row>
    <row r="968" spans="17:18">
      <c r="Q968">
        <v>967</v>
      </c>
      <c r="R968">
        <v>13</v>
      </c>
    </row>
    <row r="969" spans="17:18">
      <c r="Q969">
        <v>968</v>
      </c>
      <c r="R969">
        <v>11</v>
      </c>
    </row>
    <row r="970" spans="17:18">
      <c r="Q970">
        <v>969</v>
      </c>
      <c r="R970">
        <v>11</v>
      </c>
    </row>
    <row r="971" spans="17:18">
      <c r="Q971">
        <v>970</v>
      </c>
      <c r="R971">
        <v>15</v>
      </c>
    </row>
    <row r="972" spans="17:18">
      <c r="Q972">
        <v>971</v>
      </c>
      <c r="R972">
        <v>12</v>
      </c>
    </row>
    <row r="973" spans="17:18">
      <c r="Q973">
        <v>972</v>
      </c>
      <c r="R973">
        <v>13</v>
      </c>
    </row>
    <row r="974" spans="17:18">
      <c r="Q974">
        <v>973</v>
      </c>
      <c r="R974">
        <v>11</v>
      </c>
    </row>
    <row r="975" spans="17:18">
      <c r="Q975">
        <v>974</v>
      </c>
      <c r="R975">
        <v>13</v>
      </c>
    </row>
    <row r="976" spans="17:18">
      <c r="Q976">
        <v>975</v>
      </c>
      <c r="R976">
        <v>9</v>
      </c>
    </row>
    <row r="977" spans="17:18">
      <c r="Q977">
        <v>976</v>
      </c>
      <c r="R977">
        <v>14</v>
      </c>
    </row>
    <row r="978" spans="17:18">
      <c r="Q978">
        <v>977</v>
      </c>
      <c r="R978">
        <v>11</v>
      </c>
    </row>
    <row r="979" spans="17:18">
      <c r="Q979">
        <v>978</v>
      </c>
      <c r="R979">
        <v>10</v>
      </c>
    </row>
    <row r="980" spans="17:18">
      <c r="Q980">
        <v>979</v>
      </c>
      <c r="R980">
        <v>14</v>
      </c>
    </row>
    <row r="981" spans="17:18">
      <c r="Q981">
        <v>980</v>
      </c>
      <c r="R981">
        <v>11</v>
      </c>
    </row>
    <row r="982" spans="17:18">
      <c r="Q982">
        <v>981</v>
      </c>
      <c r="R982">
        <v>11</v>
      </c>
    </row>
    <row r="983" spans="17:18">
      <c r="Q983">
        <v>982</v>
      </c>
      <c r="R983">
        <v>13</v>
      </c>
    </row>
    <row r="984" spans="17:18">
      <c r="Q984">
        <v>983</v>
      </c>
      <c r="R984">
        <v>12</v>
      </c>
    </row>
    <row r="985" spans="17:18">
      <c r="Q985">
        <v>984</v>
      </c>
      <c r="R985">
        <v>11</v>
      </c>
    </row>
    <row r="986" spans="17:18">
      <c r="Q986">
        <v>985</v>
      </c>
      <c r="R986">
        <v>10</v>
      </c>
    </row>
    <row r="987" spans="17:18">
      <c r="Q987">
        <v>986</v>
      </c>
      <c r="R987">
        <v>18</v>
      </c>
    </row>
    <row r="988" spans="17:18">
      <c r="Q988">
        <v>987</v>
      </c>
      <c r="R988">
        <v>14</v>
      </c>
    </row>
    <row r="989" spans="17:18">
      <c r="Q989">
        <v>988</v>
      </c>
      <c r="R989">
        <v>14</v>
      </c>
    </row>
    <row r="990" spans="17:18">
      <c r="Q990">
        <v>989</v>
      </c>
      <c r="R990">
        <v>10</v>
      </c>
    </row>
    <row r="991" spans="17:18">
      <c r="Q991">
        <v>990</v>
      </c>
      <c r="R991">
        <v>12</v>
      </c>
    </row>
    <row r="992" spans="17:18">
      <c r="Q992">
        <v>991</v>
      </c>
      <c r="R992">
        <v>15</v>
      </c>
    </row>
    <row r="993" spans="17:18">
      <c r="Q993">
        <v>992</v>
      </c>
      <c r="R993">
        <v>12</v>
      </c>
    </row>
    <row r="994" spans="17:18">
      <c r="Q994">
        <v>993</v>
      </c>
      <c r="R994">
        <v>18</v>
      </c>
    </row>
    <row r="995" spans="17:18">
      <c r="Q995">
        <v>994</v>
      </c>
      <c r="R995">
        <v>12</v>
      </c>
    </row>
    <row r="996" spans="17:18">
      <c r="Q996">
        <v>995</v>
      </c>
      <c r="R996">
        <v>13</v>
      </c>
    </row>
    <row r="997" spans="17:18">
      <c r="Q997">
        <v>996</v>
      </c>
      <c r="R997">
        <v>14</v>
      </c>
    </row>
    <row r="998" spans="17:18">
      <c r="Q998">
        <v>997</v>
      </c>
      <c r="R998">
        <v>10</v>
      </c>
    </row>
    <row r="999" spans="17:18">
      <c r="Q999">
        <v>998</v>
      </c>
      <c r="R999">
        <v>12</v>
      </c>
    </row>
    <row r="1000" spans="17:18">
      <c r="Q1000">
        <v>999</v>
      </c>
      <c r="R1000">
        <v>14</v>
      </c>
    </row>
    <row r="1001" spans="17:18">
      <c r="Q1001">
        <v>1000</v>
      </c>
      <c r="R1001">
        <v>11</v>
      </c>
    </row>
    <row r="1002" spans="17:18">
      <c r="Q1002">
        <v>1001</v>
      </c>
      <c r="R1002">
        <v>12</v>
      </c>
    </row>
    <row r="1003" spans="17:18">
      <c r="Q1003">
        <v>1002</v>
      </c>
      <c r="R1003">
        <v>15</v>
      </c>
    </row>
    <row r="1004" spans="17:18">
      <c r="Q1004">
        <v>1003</v>
      </c>
      <c r="R1004">
        <v>15</v>
      </c>
    </row>
    <row r="1005" spans="17:18">
      <c r="Q1005">
        <v>1004</v>
      </c>
      <c r="R1005">
        <v>13</v>
      </c>
    </row>
    <row r="1006" spans="17:18">
      <c r="Q1006">
        <v>1005</v>
      </c>
      <c r="R1006">
        <v>9</v>
      </c>
    </row>
    <row r="1007" spans="17:18">
      <c r="Q1007">
        <v>1006</v>
      </c>
      <c r="R1007">
        <v>12</v>
      </c>
    </row>
    <row r="1008" spans="17:18">
      <c r="Q1008">
        <v>1007</v>
      </c>
      <c r="R1008">
        <v>14</v>
      </c>
    </row>
    <row r="1009" spans="17:18">
      <c r="Q1009">
        <v>1008</v>
      </c>
      <c r="R1009">
        <v>20</v>
      </c>
    </row>
    <row r="1010" spans="17:18">
      <c r="Q1010">
        <v>1009</v>
      </c>
      <c r="R1010">
        <v>10</v>
      </c>
    </row>
    <row r="1011" spans="17:18">
      <c r="Q1011">
        <v>1010</v>
      </c>
      <c r="R1011">
        <v>11</v>
      </c>
    </row>
    <row r="1012" spans="17:18">
      <c r="Q1012">
        <v>1011</v>
      </c>
      <c r="R1012">
        <v>11</v>
      </c>
    </row>
    <row r="1013" spans="17:18">
      <c r="Q1013">
        <v>1012</v>
      </c>
      <c r="R1013">
        <v>13</v>
      </c>
    </row>
    <row r="1014" spans="17:18">
      <c r="Q1014">
        <v>1013</v>
      </c>
      <c r="R1014">
        <v>10</v>
      </c>
    </row>
    <row r="1015" spans="17:18">
      <c r="Q1015">
        <v>1014</v>
      </c>
      <c r="R1015">
        <v>13</v>
      </c>
    </row>
    <row r="1016" spans="17:18">
      <c r="Q1016">
        <v>1015</v>
      </c>
      <c r="R1016">
        <v>12</v>
      </c>
    </row>
    <row r="1017" spans="17:18">
      <c r="Q1017">
        <v>1016</v>
      </c>
      <c r="R1017">
        <v>11</v>
      </c>
    </row>
    <row r="1018" spans="17:18">
      <c r="Q1018">
        <v>1017</v>
      </c>
      <c r="R1018">
        <v>11</v>
      </c>
    </row>
    <row r="1019" spans="17:18">
      <c r="Q1019">
        <v>1018</v>
      </c>
      <c r="R1019">
        <v>12</v>
      </c>
    </row>
    <row r="1020" spans="17:18">
      <c r="Q1020">
        <v>1019</v>
      </c>
      <c r="R1020">
        <v>11</v>
      </c>
    </row>
    <row r="1021" spans="17:18">
      <c r="Q1021">
        <v>1020</v>
      </c>
      <c r="R1021">
        <v>10</v>
      </c>
    </row>
    <row r="1022" spans="17:18">
      <c r="Q1022">
        <v>1021</v>
      </c>
      <c r="R1022">
        <v>11</v>
      </c>
    </row>
    <row r="1023" spans="17:18">
      <c r="Q1023">
        <v>1022</v>
      </c>
      <c r="R1023">
        <v>10</v>
      </c>
    </row>
    <row r="1024" spans="17:18">
      <c r="Q1024">
        <v>1023</v>
      </c>
      <c r="R1024">
        <v>12</v>
      </c>
    </row>
    <row r="1025" spans="17:18">
      <c r="Q1025">
        <v>1024</v>
      </c>
      <c r="R1025">
        <v>14</v>
      </c>
    </row>
    <row r="1026" spans="17:18">
      <c r="Q1026">
        <v>1025</v>
      </c>
      <c r="R1026">
        <v>11</v>
      </c>
    </row>
    <row r="1027" spans="17:18">
      <c r="Q1027">
        <v>1026</v>
      </c>
      <c r="R1027">
        <v>14</v>
      </c>
    </row>
    <row r="1028" spans="17:18">
      <c r="Q1028">
        <v>1027</v>
      </c>
      <c r="R1028">
        <v>12</v>
      </c>
    </row>
    <row r="1029" spans="17:18">
      <c r="Q1029">
        <v>1028</v>
      </c>
      <c r="R1029">
        <v>14</v>
      </c>
    </row>
    <row r="1030" spans="17:18">
      <c r="Q1030">
        <v>1029</v>
      </c>
      <c r="R1030">
        <v>13</v>
      </c>
    </row>
    <row r="1031" spans="17:18">
      <c r="Q1031">
        <v>1030</v>
      </c>
      <c r="R1031">
        <v>11</v>
      </c>
    </row>
    <row r="1032" spans="17:18">
      <c r="Q1032">
        <v>1031</v>
      </c>
      <c r="R1032">
        <v>13</v>
      </c>
    </row>
    <row r="1033" spans="17:18">
      <c r="Q1033">
        <v>1032</v>
      </c>
      <c r="R1033">
        <v>11</v>
      </c>
    </row>
    <row r="1034" spans="17:18">
      <c r="Q1034">
        <v>1033</v>
      </c>
      <c r="R1034">
        <v>9</v>
      </c>
    </row>
    <row r="1035" spans="17:18">
      <c r="Q1035">
        <v>1034</v>
      </c>
      <c r="R1035">
        <v>16</v>
      </c>
    </row>
    <row r="1036" spans="17:18">
      <c r="Q1036">
        <v>1035</v>
      </c>
      <c r="R1036">
        <v>15</v>
      </c>
    </row>
    <row r="1037" spans="17:18">
      <c r="Q1037">
        <v>1036</v>
      </c>
      <c r="R1037">
        <v>14</v>
      </c>
    </row>
    <row r="1038" spans="17:18">
      <c r="Q1038">
        <v>1037</v>
      </c>
      <c r="R1038">
        <v>12</v>
      </c>
    </row>
    <row r="1039" spans="17:18">
      <c r="Q1039">
        <v>1038</v>
      </c>
      <c r="R1039">
        <v>13</v>
      </c>
    </row>
    <row r="1040" spans="17:18">
      <c r="Q1040">
        <v>1039</v>
      </c>
      <c r="R1040">
        <v>11</v>
      </c>
    </row>
    <row r="1041" spans="17:18">
      <c r="Q1041">
        <v>1040</v>
      </c>
      <c r="R1041">
        <v>17</v>
      </c>
    </row>
    <row r="1042" spans="17:18">
      <c r="Q1042">
        <v>1041</v>
      </c>
      <c r="R1042">
        <v>14</v>
      </c>
    </row>
    <row r="1043" spans="17:18">
      <c r="Q1043">
        <v>1042</v>
      </c>
      <c r="R1043">
        <v>12</v>
      </c>
    </row>
    <row r="1044" spans="17:18">
      <c r="Q1044">
        <v>1043</v>
      </c>
      <c r="R1044">
        <v>10</v>
      </c>
    </row>
    <row r="1045" spans="17:18">
      <c r="Q1045">
        <v>1044</v>
      </c>
      <c r="R1045">
        <v>13</v>
      </c>
    </row>
    <row r="1046" spans="17:18">
      <c r="Q1046">
        <v>1045</v>
      </c>
      <c r="R1046">
        <v>11</v>
      </c>
    </row>
    <row r="1047" spans="17:18">
      <c r="Q1047">
        <v>1046</v>
      </c>
      <c r="R1047">
        <v>14</v>
      </c>
    </row>
    <row r="1048" spans="17:18">
      <c r="Q1048">
        <v>1047</v>
      </c>
      <c r="R1048">
        <v>10</v>
      </c>
    </row>
    <row r="1049" spans="17:18">
      <c r="Q1049">
        <v>1048</v>
      </c>
      <c r="R1049">
        <v>17</v>
      </c>
    </row>
    <row r="1050" spans="17:18">
      <c r="Q1050">
        <v>1049</v>
      </c>
      <c r="R1050">
        <v>12</v>
      </c>
    </row>
    <row r="1051" spans="17:18">
      <c r="Q1051">
        <v>1050</v>
      </c>
      <c r="R1051">
        <v>23</v>
      </c>
    </row>
    <row r="1052" spans="17:18">
      <c r="Q1052">
        <v>1051</v>
      </c>
      <c r="R1052">
        <v>13</v>
      </c>
    </row>
    <row r="1053" spans="17:18">
      <c r="Q1053">
        <v>1052</v>
      </c>
      <c r="R1053">
        <v>13</v>
      </c>
    </row>
    <row r="1054" spans="17:18">
      <c r="Q1054">
        <v>1053</v>
      </c>
      <c r="R1054">
        <v>12</v>
      </c>
    </row>
    <row r="1055" spans="17:18">
      <c r="Q1055">
        <v>1054</v>
      </c>
      <c r="R1055">
        <v>13</v>
      </c>
    </row>
    <row r="1056" spans="17:18">
      <c r="Q1056">
        <v>1055</v>
      </c>
      <c r="R1056">
        <v>14</v>
      </c>
    </row>
    <row r="1057" spans="17:18">
      <c r="Q1057">
        <v>1056</v>
      </c>
      <c r="R1057">
        <v>20</v>
      </c>
    </row>
    <row r="1058" spans="17:18">
      <c r="Q1058">
        <v>1057</v>
      </c>
      <c r="R1058">
        <v>17</v>
      </c>
    </row>
    <row r="1059" spans="17:18">
      <c r="Q1059">
        <v>1058</v>
      </c>
      <c r="R1059">
        <v>17</v>
      </c>
    </row>
    <row r="1060" spans="17:18">
      <c r="Q1060">
        <v>1059</v>
      </c>
      <c r="R1060">
        <v>11</v>
      </c>
    </row>
    <row r="1061" spans="17:18">
      <c r="Q1061">
        <v>1060</v>
      </c>
      <c r="R1061">
        <v>13</v>
      </c>
    </row>
    <row r="1062" spans="17:18">
      <c r="Q1062">
        <v>1061</v>
      </c>
      <c r="R1062">
        <v>13</v>
      </c>
    </row>
    <row r="1063" spans="17:18">
      <c r="Q1063">
        <v>1062</v>
      </c>
      <c r="R1063">
        <v>11</v>
      </c>
    </row>
    <row r="1064" spans="17:18">
      <c r="Q1064">
        <v>1063</v>
      </c>
      <c r="R1064">
        <v>16</v>
      </c>
    </row>
    <row r="1065" spans="17:18">
      <c r="Q1065">
        <v>1064</v>
      </c>
      <c r="R1065">
        <v>14</v>
      </c>
    </row>
    <row r="1066" spans="17:18">
      <c r="Q1066">
        <v>1065</v>
      </c>
      <c r="R1066">
        <v>11</v>
      </c>
    </row>
    <row r="1067" spans="17:18">
      <c r="Q1067">
        <v>1066</v>
      </c>
      <c r="R1067">
        <v>13</v>
      </c>
    </row>
    <row r="1068" spans="17:18">
      <c r="Q1068">
        <v>1067</v>
      </c>
      <c r="R1068">
        <v>11</v>
      </c>
    </row>
    <row r="1069" spans="17:18">
      <c r="Q1069">
        <v>1068</v>
      </c>
      <c r="R1069">
        <v>13</v>
      </c>
    </row>
    <row r="1070" spans="17:18">
      <c r="Q1070">
        <v>1069</v>
      </c>
      <c r="R1070">
        <v>12</v>
      </c>
    </row>
    <row r="1071" spans="17:18">
      <c r="Q1071">
        <v>1070</v>
      </c>
      <c r="R1071">
        <v>13</v>
      </c>
    </row>
    <row r="1072" spans="17:18">
      <c r="Q1072">
        <v>1071</v>
      </c>
      <c r="R1072">
        <v>11</v>
      </c>
    </row>
    <row r="1073" spans="17:18">
      <c r="Q1073">
        <v>1072</v>
      </c>
      <c r="R1073">
        <v>9</v>
      </c>
    </row>
    <row r="1074" spans="17:18">
      <c r="Q1074">
        <v>1073</v>
      </c>
      <c r="R1074">
        <v>11</v>
      </c>
    </row>
    <row r="1075" spans="17:18">
      <c r="Q1075">
        <v>1074</v>
      </c>
      <c r="R1075">
        <v>11</v>
      </c>
    </row>
    <row r="1076" spans="17:18">
      <c r="Q1076">
        <v>1075</v>
      </c>
      <c r="R1076">
        <v>14</v>
      </c>
    </row>
    <row r="1077" spans="17:18">
      <c r="Q1077">
        <v>1076</v>
      </c>
      <c r="R1077">
        <v>17</v>
      </c>
    </row>
    <row r="1078" spans="17:18">
      <c r="Q1078">
        <v>1077</v>
      </c>
      <c r="R1078">
        <v>12</v>
      </c>
    </row>
    <row r="1079" spans="17:18">
      <c r="Q1079">
        <v>1078</v>
      </c>
      <c r="R1079">
        <v>11</v>
      </c>
    </row>
    <row r="1080" spans="17:18">
      <c r="Q1080">
        <v>1079</v>
      </c>
      <c r="R1080">
        <v>12</v>
      </c>
    </row>
    <row r="1081" spans="17:18">
      <c r="Q1081">
        <v>1080</v>
      </c>
      <c r="R1081">
        <v>12</v>
      </c>
    </row>
    <row r="1082" spans="17:18">
      <c r="Q1082">
        <v>1081</v>
      </c>
      <c r="R1082">
        <v>16</v>
      </c>
    </row>
    <row r="1083" spans="17:18">
      <c r="Q1083">
        <v>1082</v>
      </c>
      <c r="R1083">
        <v>11</v>
      </c>
    </row>
    <row r="1084" spans="17:18">
      <c r="Q1084">
        <v>1083</v>
      </c>
      <c r="R1084">
        <v>12</v>
      </c>
    </row>
    <row r="1085" spans="17:18">
      <c r="Q1085">
        <v>1084</v>
      </c>
      <c r="R1085">
        <v>10</v>
      </c>
    </row>
    <row r="1086" spans="17:18">
      <c r="Q1086">
        <v>1085</v>
      </c>
      <c r="R1086">
        <v>14</v>
      </c>
    </row>
    <row r="1087" spans="17:18">
      <c r="Q1087">
        <v>1086</v>
      </c>
      <c r="R1087">
        <v>13</v>
      </c>
    </row>
    <row r="1088" spans="17:18">
      <c r="Q1088">
        <v>1087</v>
      </c>
      <c r="R1088">
        <v>11</v>
      </c>
    </row>
    <row r="1089" spans="17:18">
      <c r="Q1089">
        <v>1088</v>
      </c>
      <c r="R1089">
        <v>11</v>
      </c>
    </row>
    <row r="1090" spans="17:18">
      <c r="Q1090">
        <v>1089</v>
      </c>
      <c r="R1090">
        <v>11</v>
      </c>
    </row>
    <row r="1091" spans="17:18">
      <c r="Q1091">
        <v>1090</v>
      </c>
      <c r="R1091">
        <v>14</v>
      </c>
    </row>
    <row r="1092" spans="17:18">
      <c r="Q1092">
        <v>1091</v>
      </c>
      <c r="R1092">
        <v>12</v>
      </c>
    </row>
    <row r="1093" spans="17:18">
      <c r="Q1093">
        <v>1092</v>
      </c>
      <c r="R1093">
        <v>12</v>
      </c>
    </row>
    <row r="1094" spans="17:18">
      <c r="Q1094">
        <v>1093</v>
      </c>
      <c r="R1094">
        <v>13</v>
      </c>
    </row>
    <row r="1095" spans="17:18">
      <c r="Q1095">
        <v>1094</v>
      </c>
      <c r="R1095">
        <v>15</v>
      </c>
    </row>
    <row r="1096" spans="17:18">
      <c r="Q1096">
        <v>1095</v>
      </c>
      <c r="R1096">
        <v>18</v>
      </c>
    </row>
    <row r="1097" spans="17:18">
      <c r="Q1097">
        <v>1096</v>
      </c>
      <c r="R1097">
        <v>11</v>
      </c>
    </row>
    <row r="1098" spans="17:18">
      <c r="Q1098">
        <v>1097</v>
      </c>
      <c r="R1098">
        <v>10</v>
      </c>
    </row>
    <row r="1099" spans="17:18">
      <c r="Q1099">
        <v>1098</v>
      </c>
      <c r="R1099">
        <v>12</v>
      </c>
    </row>
    <row r="1100" spans="17:18">
      <c r="Q1100">
        <v>1099</v>
      </c>
      <c r="R1100">
        <v>12</v>
      </c>
    </row>
    <row r="1101" spans="17:18">
      <c r="Q1101">
        <v>1100</v>
      </c>
      <c r="R1101">
        <v>12</v>
      </c>
    </row>
    <row r="1102" spans="17:18">
      <c r="Q1102">
        <v>1101</v>
      </c>
      <c r="R1102">
        <v>13</v>
      </c>
    </row>
    <row r="1103" spans="17:18">
      <c r="Q1103">
        <v>1102</v>
      </c>
      <c r="R1103">
        <v>11</v>
      </c>
    </row>
    <row r="1104" spans="17:18">
      <c r="Q1104">
        <v>1103</v>
      </c>
      <c r="R1104">
        <v>14</v>
      </c>
    </row>
    <row r="1105" spans="17:18">
      <c r="Q1105">
        <v>1104</v>
      </c>
      <c r="R1105">
        <v>11</v>
      </c>
    </row>
    <row r="1106" spans="17:18">
      <c r="Q1106">
        <v>1105</v>
      </c>
      <c r="R1106">
        <v>12</v>
      </c>
    </row>
    <row r="1107" spans="17:18">
      <c r="Q1107">
        <v>1106</v>
      </c>
      <c r="R1107">
        <v>11</v>
      </c>
    </row>
    <row r="1108" spans="17:18">
      <c r="Q1108">
        <v>1107</v>
      </c>
      <c r="R1108">
        <v>15</v>
      </c>
    </row>
    <row r="1109" spans="17:18">
      <c r="Q1109">
        <v>1108</v>
      </c>
      <c r="R1109">
        <v>16</v>
      </c>
    </row>
    <row r="1110" spans="17:18">
      <c r="Q1110">
        <v>1109</v>
      </c>
      <c r="R1110">
        <v>13</v>
      </c>
    </row>
    <row r="1111" spans="17:18">
      <c r="Q1111">
        <v>1110</v>
      </c>
      <c r="R1111">
        <v>12</v>
      </c>
    </row>
    <row r="1112" spans="17:18">
      <c r="Q1112">
        <v>1111</v>
      </c>
      <c r="R1112">
        <v>13</v>
      </c>
    </row>
    <row r="1113" spans="17:18">
      <c r="Q1113">
        <v>1112</v>
      </c>
      <c r="R1113">
        <v>15</v>
      </c>
    </row>
    <row r="1114" spans="17:18">
      <c r="Q1114">
        <v>1113</v>
      </c>
      <c r="R1114">
        <v>10</v>
      </c>
    </row>
    <row r="1115" spans="17:18">
      <c r="Q1115">
        <v>1114</v>
      </c>
      <c r="R1115">
        <v>13</v>
      </c>
    </row>
    <row r="1116" spans="17:18">
      <c r="Q1116">
        <v>1115</v>
      </c>
      <c r="R1116">
        <v>11</v>
      </c>
    </row>
    <row r="1117" spans="17:18">
      <c r="Q1117">
        <v>1116</v>
      </c>
      <c r="R1117">
        <v>8</v>
      </c>
    </row>
    <row r="1118" spans="17:18">
      <c r="Q1118">
        <v>1117</v>
      </c>
      <c r="R1118">
        <v>11</v>
      </c>
    </row>
    <row r="1119" spans="17:18">
      <c r="Q1119">
        <v>1118</v>
      </c>
      <c r="R1119">
        <v>19</v>
      </c>
    </row>
    <row r="1120" spans="17:18">
      <c r="Q1120">
        <v>1119</v>
      </c>
      <c r="R1120">
        <v>12</v>
      </c>
    </row>
    <row r="1121" spans="17:18">
      <c r="Q1121">
        <v>1120</v>
      </c>
      <c r="R1121">
        <v>11</v>
      </c>
    </row>
    <row r="1122" spans="17:18">
      <c r="Q1122">
        <v>1121</v>
      </c>
      <c r="R1122">
        <v>10</v>
      </c>
    </row>
    <row r="1123" spans="17:18">
      <c r="Q1123">
        <v>1122</v>
      </c>
      <c r="R1123">
        <v>12</v>
      </c>
    </row>
    <row r="1124" spans="17:18">
      <c r="Q1124">
        <v>1123</v>
      </c>
      <c r="R1124">
        <v>16</v>
      </c>
    </row>
    <row r="1125" spans="17:18">
      <c r="Q1125">
        <v>1124</v>
      </c>
      <c r="R1125">
        <v>14</v>
      </c>
    </row>
    <row r="1126" spans="17:18">
      <c r="Q1126">
        <v>1125</v>
      </c>
      <c r="R1126">
        <v>19</v>
      </c>
    </row>
    <row r="1127" spans="17:18">
      <c r="Q1127">
        <v>1126</v>
      </c>
      <c r="R1127">
        <v>13</v>
      </c>
    </row>
    <row r="1128" spans="17:18">
      <c r="Q1128">
        <v>1127</v>
      </c>
      <c r="R1128">
        <v>12</v>
      </c>
    </row>
    <row r="1129" spans="17:18">
      <c r="Q1129">
        <v>1128</v>
      </c>
      <c r="R1129">
        <v>13</v>
      </c>
    </row>
    <row r="1130" spans="17:18">
      <c r="Q1130">
        <v>1129</v>
      </c>
      <c r="R1130">
        <v>11</v>
      </c>
    </row>
    <row r="1131" spans="17:18">
      <c r="Q1131">
        <v>1130</v>
      </c>
      <c r="R1131">
        <v>13</v>
      </c>
    </row>
    <row r="1132" spans="17:18">
      <c r="Q1132">
        <v>1131</v>
      </c>
      <c r="R1132">
        <v>11</v>
      </c>
    </row>
    <row r="1133" spans="17:18">
      <c r="Q1133">
        <v>1132</v>
      </c>
      <c r="R1133">
        <v>14</v>
      </c>
    </row>
    <row r="1134" spans="17:18">
      <c r="Q1134">
        <v>1133</v>
      </c>
      <c r="R1134">
        <v>10</v>
      </c>
    </row>
    <row r="1135" spans="17:18">
      <c r="Q1135">
        <v>1134</v>
      </c>
      <c r="R1135">
        <v>16</v>
      </c>
    </row>
    <row r="1136" spans="17:18">
      <c r="Q1136">
        <v>1135</v>
      </c>
      <c r="R1136">
        <v>11</v>
      </c>
    </row>
    <row r="1137" spans="17:18">
      <c r="Q1137">
        <v>1136</v>
      </c>
      <c r="R1137">
        <v>13</v>
      </c>
    </row>
    <row r="1138" spans="17:18">
      <c r="Q1138">
        <v>1137</v>
      </c>
      <c r="R1138">
        <v>14</v>
      </c>
    </row>
    <row r="1139" spans="17:18">
      <c r="Q1139">
        <v>1138</v>
      </c>
      <c r="R1139">
        <v>15</v>
      </c>
    </row>
    <row r="1140" spans="17:18">
      <c r="Q1140">
        <v>1139</v>
      </c>
      <c r="R1140">
        <v>11</v>
      </c>
    </row>
    <row r="1141" spans="17:18">
      <c r="Q1141">
        <v>1140</v>
      </c>
      <c r="R1141">
        <v>12</v>
      </c>
    </row>
    <row r="1142" spans="17:18">
      <c r="Q1142">
        <v>1141</v>
      </c>
      <c r="R1142">
        <v>17</v>
      </c>
    </row>
    <row r="1143" spans="17:18">
      <c r="Q1143">
        <v>1142</v>
      </c>
      <c r="R1143">
        <v>10</v>
      </c>
    </row>
    <row r="1144" spans="17:18">
      <c r="Q1144">
        <v>1143</v>
      </c>
      <c r="R1144">
        <v>13</v>
      </c>
    </row>
    <row r="1145" spans="17:18">
      <c r="Q1145">
        <v>1144</v>
      </c>
      <c r="R1145">
        <v>10</v>
      </c>
    </row>
    <row r="1146" spans="17:18">
      <c r="Q1146">
        <v>1145</v>
      </c>
      <c r="R1146">
        <v>18</v>
      </c>
    </row>
    <row r="1147" spans="17:18">
      <c r="Q1147">
        <v>1146</v>
      </c>
      <c r="R1147">
        <v>12</v>
      </c>
    </row>
    <row r="1148" spans="17:18">
      <c r="Q1148">
        <v>1147</v>
      </c>
      <c r="R1148">
        <v>14</v>
      </c>
    </row>
    <row r="1149" spans="17:18">
      <c r="Q1149">
        <v>1148</v>
      </c>
      <c r="R1149">
        <v>12</v>
      </c>
    </row>
    <row r="1150" spans="17:18">
      <c r="Q1150">
        <v>1149</v>
      </c>
      <c r="R1150">
        <v>11</v>
      </c>
    </row>
    <row r="1151" spans="17:18">
      <c r="Q1151">
        <v>1150</v>
      </c>
      <c r="R1151">
        <v>14</v>
      </c>
    </row>
    <row r="1152" spans="17:18">
      <c r="Q1152">
        <v>1151</v>
      </c>
      <c r="R1152">
        <v>13</v>
      </c>
    </row>
    <row r="1153" spans="17:18">
      <c r="Q1153">
        <v>1152</v>
      </c>
      <c r="R1153">
        <v>11</v>
      </c>
    </row>
    <row r="1154" spans="17:18">
      <c r="Q1154">
        <v>1153</v>
      </c>
      <c r="R1154">
        <v>16</v>
      </c>
    </row>
    <row r="1155" spans="17:18">
      <c r="Q1155">
        <v>1154</v>
      </c>
      <c r="R1155">
        <v>13</v>
      </c>
    </row>
    <row r="1156" spans="17:18">
      <c r="Q1156">
        <v>1155</v>
      </c>
      <c r="R1156">
        <v>11</v>
      </c>
    </row>
    <row r="1157" spans="17:18">
      <c r="Q1157">
        <v>1156</v>
      </c>
      <c r="R1157">
        <v>10</v>
      </c>
    </row>
    <row r="1158" spans="17:18">
      <c r="Q1158">
        <v>1157</v>
      </c>
      <c r="R1158">
        <v>13</v>
      </c>
    </row>
    <row r="1159" spans="17:18">
      <c r="Q1159">
        <v>1158</v>
      </c>
      <c r="R1159">
        <v>12</v>
      </c>
    </row>
    <row r="1160" spans="17:18">
      <c r="Q1160">
        <v>1159</v>
      </c>
      <c r="R1160">
        <v>10</v>
      </c>
    </row>
    <row r="1161" spans="17:18">
      <c r="Q1161">
        <v>1160</v>
      </c>
      <c r="R1161">
        <v>11</v>
      </c>
    </row>
    <row r="1162" spans="17:18">
      <c r="Q1162">
        <v>1161</v>
      </c>
      <c r="R1162">
        <v>13</v>
      </c>
    </row>
    <row r="1163" spans="17:18">
      <c r="Q1163">
        <v>1162</v>
      </c>
      <c r="R1163">
        <v>12</v>
      </c>
    </row>
    <row r="1164" spans="17:18">
      <c r="Q1164">
        <v>1163</v>
      </c>
      <c r="R1164">
        <v>10</v>
      </c>
    </row>
    <row r="1165" spans="17:18">
      <c r="Q1165">
        <v>1164</v>
      </c>
      <c r="R1165">
        <v>12</v>
      </c>
    </row>
    <row r="1166" spans="17:18">
      <c r="Q1166">
        <v>1165</v>
      </c>
      <c r="R1166">
        <v>11</v>
      </c>
    </row>
    <row r="1167" spans="17:18">
      <c r="Q1167">
        <v>1166</v>
      </c>
      <c r="R1167">
        <v>14</v>
      </c>
    </row>
    <row r="1168" spans="17:18">
      <c r="Q1168">
        <v>1167</v>
      </c>
      <c r="R1168">
        <v>15</v>
      </c>
    </row>
    <row r="1169" spans="17:18">
      <c r="Q1169">
        <v>1168</v>
      </c>
      <c r="R1169">
        <v>11</v>
      </c>
    </row>
    <row r="1170" spans="17:18">
      <c r="Q1170">
        <v>1169</v>
      </c>
      <c r="R1170">
        <v>13</v>
      </c>
    </row>
    <row r="1171" spans="17:18">
      <c r="Q1171">
        <v>1170</v>
      </c>
      <c r="R1171">
        <v>11</v>
      </c>
    </row>
    <row r="1172" spans="17:18">
      <c r="Q1172">
        <v>1171</v>
      </c>
      <c r="R1172">
        <v>14</v>
      </c>
    </row>
    <row r="1173" spans="17:18">
      <c r="Q1173">
        <v>1172</v>
      </c>
      <c r="R1173">
        <v>13</v>
      </c>
    </row>
    <row r="1174" spans="17:18">
      <c r="Q1174">
        <v>1173</v>
      </c>
      <c r="R1174">
        <v>14</v>
      </c>
    </row>
    <row r="1175" spans="17:18">
      <c r="Q1175">
        <v>1174</v>
      </c>
      <c r="R1175">
        <v>13</v>
      </c>
    </row>
    <row r="1176" spans="17:18">
      <c r="Q1176">
        <v>1175</v>
      </c>
      <c r="R1176">
        <v>15</v>
      </c>
    </row>
    <row r="1177" spans="17:18">
      <c r="Q1177">
        <v>1176</v>
      </c>
      <c r="R1177">
        <v>14</v>
      </c>
    </row>
    <row r="1178" spans="17:18">
      <c r="Q1178">
        <v>1177</v>
      </c>
      <c r="R1178">
        <v>10</v>
      </c>
    </row>
    <row r="1179" spans="17:18">
      <c r="Q1179">
        <v>1178</v>
      </c>
      <c r="R1179">
        <v>15</v>
      </c>
    </row>
    <row r="1180" spans="17:18">
      <c r="Q1180">
        <v>1179</v>
      </c>
      <c r="R1180">
        <v>12</v>
      </c>
    </row>
    <row r="1181" spans="17:18">
      <c r="Q1181">
        <v>1180</v>
      </c>
      <c r="R1181">
        <v>15</v>
      </c>
    </row>
    <row r="1182" spans="17:18">
      <c r="Q1182">
        <v>1181</v>
      </c>
      <c r="R1182">
        <v>13</v>
      </c>
    </row>
    <row r="1183" spans="17:18">
      <c r="Q1183">
        <v>1182</v>
      </c>
      <c r="R1183">
        <v>11</v>
      </c>
    </row>
    <row r="1184" spans="17:18">
      <c r="Q1184">
        <v>1183</v>
      </c>
      <c r="R1184">
        <v>17</v>
      </c>
    </row>
    <row r="1185" spans="17:18">
      <c r="Q1185">
        <v>1184</v>
      </c>
      <c r="R1185">
        <v>11</v>
      </c>
    </row>
    <row r="1186" spans="17:18">
      <c r="Q1186">
        <v>1185</v>
      </c>
      <c r="R1186">
        <v>14</v>
      </c>
    </row>
    <row r="1187" spans="17:18">
      <c r="Q1187">
        <v>1186</v>
      </c>
      <c r="R1187">
        <v>11</v>
      </c>
    </row>
    <row r="1188" spans="17:18">
      <c r="Q1188">
        <v>1187</v>
      </c>
      <c r="R1188">
        <v>13</v>
      </c>
    </row>
    <row r="1189" spans="17:18">
      <c r="Q1189">
        <v>1188</v>
      </c>
      <c r="R1189">
        <v>12</v>
      </c>
    </row>
    <row r="1190" spans="17:18">
      <c r="Q1190">
        <v>1189</v>
      </c>
      <c r="R1190">
        <v>13</v>
      </c>
    </row>
    <row r="1191" spans="17:18">
      <c r="Q1191">
        <v>1190</v>
      </c>
      <c r="R1191">
        <v>13</v>
      </c>
    </row>
    <row r="1192" spans="17:18">
      <c r="Q1192">
        <v>1191</v>
      </c>
      <c r="R1192">
        <v>14</v>
      </c>
    </row>
    <row r="1193" spans="17:18">
      <c r="Q1193">
        <v>1192</v>
      </c>
      <c r="R1193">
        <v>14</v>
      </c>
    </row>
    <row r="1194" spans="17:18">
      <c r="Q1194">
        <v>1193</v>
      </c>
      <c r="R1194">
        <v>14</v>
      </c>
    </row>
    <row r="1195" spans="17:18">
      <c r="Q1195">
        <v>1194</v>
      </c>
      <c r="R1195">
        <v>13</v>
      </c>
    </row>
    <row r="1196" spans="17:18">
      <c r="Q1196">
        <v>1195</v>
      </c>
      <c r="R1196">
        <v>14</v>
      </c>
    </row>
    <row r="1197" spans="17:18">
      <c r="Q1197">
        <v>1196</v>
      </c>
      <c r="R1197">
        <v>13</v>
      </c>
    </row>
    <row r="1198" spans="17:18">
      <c r="Q1198">
        <v>1197</v>
      </c>
      <c r="R1198">
        <v>10</v>
      </c>
    </row>
    <row r="1199" spans="17:18">
      <c r="Q1199">
        <v>1198</v>
      </c>
      <c r="R1199">
        <v>14</v>
      </c>
    </row>
    <row r="1200" spans="17:18">
      <c r="Q1200">
        <v>1199</v>
      </c>
      <c r="R1200">
        <v>15</v>
      </c>
    </row>
    <row r="1201" spans="17:18">
      <c r="Q1201">
        <v>1200</v>
      </c>
      <c r="R1201">
        <v>17</v>
      </c>
    </row>
    <row r="1202" spans="17:18">
      <c r="Q1202">
        <v>1201</v>
      </c>
      <c r="R1202">
        <v>12</v>
      </c>
    </row>
    <row r="1203" spans="17:18">
      <c r="Q1203">
        <v>1202</v>
      </c>
      <c r="R1203">
        <v>13</v>
      </c>
    </row>
    <row r="1204" spans="17:18">
      <c r="Q1204">
        <v>1203</v>
      </c>
      <c r="R1204">
        <v>10</v>
      </c>
    </row>
    <row r="1205" spans="17:18">
      <c r="Q1205">
        <v>1204</v>
      </c>
      <c r="R1205">
        <v>12</v>
      </c>
    </row>
    <row r="1206" spans="17:18">
      <c r="Q1206">
        <v>1205</v>
      </c>
      <c r="R1206">
        <v>12</v>
      </c>
    </row>
    <row r="1207" spans="17:18">
      <c r="Q1207">
        <v>1206</v>
      </c>
      <c r="R1207">
        <v>21</v>
      </c>
    </row>
    <row r="1208" spans="17:18">
      <c r="Q1208">
        <v>1207</v>
      </c>
      <c r="R1208">
        <v>10</v>
      </c>
    </row>
    <row r="1209" spans="17:18">
      <c r="Q1209">
        <v>1208</v>
      </c>
      <c r="R1209">
        <v>11</v>
      </c>
    </row>
    <row r="1210" spans="17:18">
      <c r="Q1210">
        <v>1209</v>
      </c>
      <c r="R1210">
        <v>12</v>
      </c>
    </row>
    <row r="1211" spans="17:18">
      <c r="Q1211">
        <v>1210</v>
      </c>
      <c r="R1211">
        <v>15</v>
      </c>
    </row>
    <row r="1212" spans="17:18">
      <c r="Q1212">
        <v>1211</v>
      </c>
      <c r="R1212">
        <v>11</v>
      </c>
    </row>
    <row r="1213" spans="17:18">
      <c r="Q1213">
        <v>1212</v>
      </c>
      <c r="R1213">
        <v>10</v>
      </c>
    </row>
    <row r="1214" spans="17:18">
      <c r="Q1214">
        <v>1213</v>
      </c>
      <c r="R1214">
        <v>12</v>
      </c>
    </row>
    <row r="1215" spans="17:18">
      <c r="Q1215">
        <v>1214</v>
      </c>
      <c r="R1215">
        <v>13</v>
      </c>
    </row>
    <row r="1216" spans="17:18">
      <c r="Q1216">
        <v>1215</v>
      </c>
      <c r="R1216">
        <v>11</v>
      </c>
    </row>
    <row r="1217" spans="17:18">
      <c r="Q1217">
        <v>1216</v>
      </c>
      <c r="R1217">
        <v>10</v>
      </c>
    </row>
    <row r="1218" spans="17:18">
      <c r="Q1218">
        <v>1217</v>
      </c>
      <c r="R1218">
        <v>10</v>
      </c>
    </row>
    <row r="1219" spans="17:18">
      <c r="Q1219">
        <v>1218</v>
      </c>
      <c r="R1219">
        <v>13</v>
      </c>
    </row>
    <row r="1220" spans="17:18">
      <c r="Q1220">
        <v>1219</v>
      </c>
      <c r="R1220">
        <v>15</v>
      </c>
    </row>
    <row r="1221" spans="17:18">
      <c r="Q1221">
        <v>1220</v>
      </c>
      <c r="R1221">
        <v>13</v>
      </c>
    </row>
    <row r="1222" spans="17:18">
      <c r="Q1222">
        <v>1221</v>
      </c>
      <c r="R1222">
        <v>11</v>
      </c>
    </row>
    <row r="1223" spans="17:18">
      <c r="Q1223">
        <v>1222</v>
      </c>
      <c r="R1223">
        <v>14</v>
      </c>
    </row>
    <row r="1224" spans="17:18">
      <c r="Q1224">
        <v>1223</v>
      </c>
      <c r="R1224">
        <v>10</v>
      </c>
    </row>
    <row r="1225" spans="17:18">
      <c r="Q1225">
        <v>1224</v>
      </c>
      <c r="R1225">
        <v>12</v>
      </c>
    </row>
    <row r="1226" spans="17:18">
      <c r="Q1226">
        <v>1225</v>
      </c>
      <c r="R1226">
        <v>13</v>
      </c>
    </row>
    <row r="1227" spans="17:18">
      <c r="Q1227">
        <v>1226</v>
      </c>
      <c r="R1227">
        <v>13</v>
      </c>
    </row>
    <row r="1228" spans="17:18">
      <c r="Q1228">
        <v>1227</v>
      </c>
      <c r="R1228">
        <v>10</v>
      </c>
    </row>
    <row r="1229" spans="17:18">
      <c r="Q1229">
        <v>1228</v>
      </c>
      <c r="R1229">
        <v>12</v>
      </c>
    </row>
    <row r="1230" spans="17:18">
      <c r="Q1230">
        <v>1229</v>
      </c>
      <c r="R1230">
        <v>12</v>
      </c>
    </row>
    <row r="1231" spans="17:18">
      <c r="Q1231">
        <v>1230</v>
      </c>
      <c r="R1231">
        <v>11</v>
      </c>
    </row>
    <row r="1232" spans="17:18">
      <c r="Q1232">
        <v>1231</v>
      </c>
      <c r="R1232">
        <v>10</v>
      </c>
    </row>
    <row r="1233" spans="17:18">
      <c r="Q1233">
        <v>1232</v>
      </c>
      <c r="R1233">
        <v>12</v>
      </c>
    </row>
    <row r="1234" spans="17:18">
      <c r="Q1234">
        <v>1233</v>
      </c>
      <c r="R1234">
        <v>10</v>
      </c>
    </row>
    <row r="1235" spans="17:18">
      <c r="Q1235">
        <v>1234</v>
      </c>
      <c r="R1235">
        <v>11</v>
      </c>
    </row>
    <row r="1236" spans="17:18">
      <c r="Q1236">
        <v>1235</v>
      </c>
      <c r="R1236">
        <v>12</v>
      </c>
    </row>
    <row r="1237" spans="17:18">
      <c r="Q1237">
        <v>1236</v>
      </c>
      <c r="R1237">
        <v>12</v>
      </c>
    </row>
    <row r="1238" spans="17:18">
      <c r="Q1238">
        <v>1237</v>
      </c>
      <c r="R1238">
        <v>11</v>
      </c>
    </row>
    <row r="1239" spans="17:18">
      <c r="Q1239">
        <v>1238</v>
      </c>
      <c r="R1239">
        <v>16</v>
      </c>
    </row>
    <row r="1240" spans="17:18">
      <c r="Q1240">
        <v>1239</v>
      </c>
      <c r="R1240">
        <v>15</v>
      </c>
    </row>
    <row r="1241" spans="17:18">
      <c r="Q1241">
        <v>1240</v>
      </c>
      <c r="R1241">
        <v>19</v>
      </c>
    </row>
    <row r="1242" spans="17:18">
      <c r="Q1242">
        <v>1241</v>
      </c>
      <c r="R1242">
        <v>12</v>
      </c>
    </row>
    <row r="1243" spans="17:18">
      <c r="Q1243">
        <v>1242</v>
      </c>
      <c r="R1243">
        <v>10</v>
      </c>
    </row>
    <row r="1244" spans="17:18">
      <c r="Q1244">
        <v>1243</v>
      </c>
      <c r="R1244">
        <v>12</v>
      </c>
    </row>
    <row r="1245" spans="17:18">
      <c r="Q1245">
        <v>1244</v>
      </c>
      <c r="R1245">
        <v>11</v>
      </c>
    </row>
    <row r="1246" spans="17:18">
      <c r="Q1246">
        <v>1245</v>
      </c>
      <c r="R1246">
        <v>15</v>
      </c>
    </row>
    <row r="1247" spans="17:18">
      <c r="Q1247">
        <v>1246</v>
      </c>
      <c r="R1247">
        <v>11</v>
      </c>
    </row>
    <row r="1248" spans="17:18">
      <c r="Q1248">
        <v>1247</v>
      </c>
      <c r="R1248">
        <v>11</v>
      </c>
    </row>
    <row r="1249" spans="17:18">
      <c r="Q1249">
        <v>1248</v>
      </c>
      <c r="R1249">
        <v>10</v>
      </c>
    </row>
    <row r="1250" spans="17:18">
      <c r="Q1250">
        <v>1249</v>
      </c>
      <c r="R1250">
        <v>16</v>
      </c>
    </row>
    <row r="1251" spans="17:18">
      <c r="Q1251">
        <v>1250</v>
      </c>
      <c r="R1251">
        <v>12</v>
      </c>
    </row>
    <row r="1252" spans="17:18">
      <c r="Q1252">
        <v>1251</v>
      </c>
      <c r="R1252">
        <v>12</v>
      </c>
    </row>
    <row r="1253" spans="17:18">
      <c r="Q1253">
        <v>1252</v>
      </c>
      <c r="R1253">
        <v>10</v>
      </c>
    </row>
    <row r="1254" spans="17:18">
      <c r="Q1254">
        <v>1253</v>
      </c>
      <c r="R1254">
        <v>16</v>
      </c>
    </row>
    <row r="1255" spans="17:18">
      <c r="Q1255">
        <v>1254</v>
      </c>
      <c r="R1255">
        <v>13</v>
      </c>
    </row>
    <row r="1256" spans="17:18">
      <c r="Q1256">
        <v>1255</v>
      </c>
      <c r="R1256">
        <v>15</v>
      </c>
    </row>
    <row r="1257" spans="17:18">
      <c r="Q1257">
        <v>1256</v>
      </c>
      <c r="R1257">
        <v>11</v>
      </c>
    </row>
    <row r="1258" spans="17:18">
      <c r="Q1258">
        <v>1257</v>
      </c>
      <c r="R1258">
        <v>10</v>
      </c>
    </row>
    <row r="1259" spans="17:18">
      <c r="Q1259">
        <v>1258</v>
      </c>
      <c r="R1259">
        <v>11</v>
      </c>
    </row>
    <row r="1260" spans="17:18">
      <c r="Q1260">
        <v>1259</v>
      </c>
      <c r="R1260">
        <v>11</v>
      </c>
    </row>
    <row r="1261" spans="17:18">
      <c r="Q1261">
        <v>1260</v>
      </c>
      <c r="R1261">
        <v>11</v>
      </c>
    </row>
    <row r="1262" spans="17:18">
      <c r="Q1262">
        <v>1261</v>
      </c>
      <c r="R1262">
        <v>11</v>
      </c>
    </row>
    <row r="1263" spans="17:18">
      <c r="Q1263">
        <v>1262</v>
      </c>
      <c r="R1263">
        <v>14</v>
      </c>
    </row>
    <row r="1264" spans="17:18">
      <c r="Q1264">
        <v>1263</v>
      </c>
      <c r="R1264">
        <v>12</v>
      </c>
    </row>
    <row r="1265" spans="17:18">
      <c r="Q1265">
        <v>1264</v>
      </c>
      <c r="R1265">
        <v>13</v>
      </c>
    </row>
    <row r="1266" spans="17:18">
      <c r="Q1266">
        <v>1265</v>
      </c>
      <c r="R1266">
        <v>11</v>
      </c>
    </row>
    <row r="1267" spans="17:18">
      <c r="Q1267">
        <v>1266</v>
      </c>
      <c r="R1267">
        <v>14</v>
      </c>
    </row>
    <row r="1268" spans="17:18">
      <c r="Q1268">
        <v>1267</v>
      </c>
      <c r="R1268">
        <v>14</v>
      </c>
    </row>
    <row r="1269" spans="17:18">
      <c r="Q1269">
        <v>1268</v>
      </c>
      <c r="R1269">
        <v>10</v>
      </c>
    </row>
    <row r="1270" spans="17:18">
      <c r="Q1270">
        <v>1269</v>
      </c>
      <c r="R1270">
        <v>11</v>
      </c>
    </row>
    <row r="1271" spans="17:18">
      <c r="Q1271">
        <v>1270</v>
      </c>
      <c r="R1271">
        <v>11</v>
      </c>
    </row>
    <row r="1272" spans="17:18">
      <c r="Q1272">
        <v>1271</v>
      </c>
      <c r="R1272">
        <v>12</v>
      </c>
    </row>
    <row r="1273" spans="17:18">
      <c r="Q1273">
        <v>1272</v>
      </c>
      <c r="R1273">
        <v>10</v>
      </c>
    </row>
    <row r="1274" spans="17:18">
      <c r="Q1274">
        <v>1273</v>
      </c>
      <c r="R1274">
        <v>25</v>
      </c>
    </row>
    <row r="1275" spans="17:18">
      <c r="Q1275">
        <v>1274</v>
      </c>
      <c r="R1275">
        <v>16</v>
      </c>
    </row>
    <row r="1276" spans="17:18">
      <c r="Q1276">
        <v>1275</v>
      </c>
      <c r="R1276">
        <v>11</v>
      </c>
    </row>
    <row r="1277" spans="17:18">
      <c r="Q1277">
        <v>1276</v>
      </c>
      <c r="R1277">
        <v>11</v>
      </c>
    </row>
    <row r="1278" spans="17:18">
      <c r="Q1278">
        <v>1277</v>
      </c>
      <c r="R1278">
        <v>11</v>
      </c>
    </row>
    <row r="1279" spans="17:18">
      <c r="Q1279">
        <v>1278</v>
      </c>
      <c r="R1279">
        <v>11</v>
      </c>
    </row>
    <row r="1280" spans="17:18">
      <c r="Q1280">
        <v>1279</v>
      </c>
      <c r="R1280">
        <v>13</v>
      </c>
    </row>
    <row r="1281" spans="17:18">
      <c r="Q1281">
        <v>1280</v>
      </c>
      <c r="R1281">
        <v>10</v>
      </c>
    </row>
    <row r="1282" spans="17:18">
      <c r="Q1282">
        <v>1281</v>
      </c>
      <c r="R1282">
        <v>12</v>
      </c>
    </row>
    <row r="1283" spans="17:18">
      <c r="Q1283">
        <v>1282</v>
      </c>
      <c r="R1283">
        <v>16</v>
      </c>
    </row>
    <row r="1284" spans="17:18">
      <c r="Q1284">
        <v>1283</v>
      </c>
      <c r="R1284">
        <v>13</v>
      </c>
    </row>
    <row r="1285" spans="17:18">
      <c r="Q1285">
        <v>1284</v>
      </c>
      <c r="R1285">
        <v>14</v>
      </c>
    </row>
    <row r="1286" spans="17:18">
      <c r="Q1286">
        <v>1285</v>
      </c>
      <c r="R1286">
        <v>14</v>
      </c>
    </row>
    <row r="1287" spans="17:18">
      <c r="Q1287">
        <v>1286</v>
      </c>
      <c r="R1287">
        <v>12</v>
      </c>
    </row>
    <row r="1288" spans="17:18">
      <c r="Q1288">
        <v>1287</v>
      </c>
      <c r="R1288">
        <v>12</v>
      </c>
    </row>
    <row r="1289" spans="17:18">
      <c r="Q1289">
        <v>1288</v>
      </c>
      <c r="R1289">
        <v>17</v>
      </c>
    </row>
    <row r="1290" spans="17:18">
      <c r="Q1290">
        <v>1289</v>
      </c>
      <c r="R1290">
        <v>11</v>
      </c>
    </row>
    <row r="1291" spans="17:18">
      <c r="Q1291">
        <v>1290</v>
      </c>
      <c r="R1291">
        <v>10</v>
      </c>
    </row>
    <row r="1292" spans="17:18">
      <c r="Q1292">
        <v>1291</v>
      </c>
      <c r="R1292">
        <v>10</v>
      </c>
    </row>
    <row r="1293" spans="17:18">
      <c r="Q1293">
        <v>1292</v>
      </c>
      <c r="R1293">
        <v>19</v>
      </c>
    </row>
    <row r="1294" spans="17:18">
      <c r="Q1294">
        <v>1293</v>
      </c>
      <c r="R1294">
        <v>13</v>
      </c>
    </row>
    <row r="1295" spans="17:18">
      <c r="Q1295">
        <v>1294</v>
      </c>
      <c r="R1295">
        <v>9</v>
      </c>
    </row>
    <row r="1296" spans="17:18">
      <c r="Q1296">
        <v>1295</v>
      </c>
      <c r="R1296">
        <v>20</v>
      </c>
    </row>
    <row r="1297" spans="17:18">
      <c r="Q1297">
        <v>1296</v>
      </c>
      <c r="R1297">
        <v>11</v>
      </c>
    </row>
    <row r="1298" spans="17:18">
      <c r="Q1298">
        <v>1297</v>
      </c>
      <c r="R1298">
        <v>13</v>
      </c>
    </row>
    <row r="1299" spans="17:18">
      <c r="Q1299">
        <v>1298</v>
      </c>
      <c r="R1299">
        <v>13</v>
      </c>
    </row>
    <row r="1300" spans="17:18">
      <c r="Q1300">
        <v>1299</v>
      </c>
      <c r="R1300">
        <v>14</v>
      </c>
    </row>
    <row r="1301" spans="17:18">
      <c r="Q1301">
        <v>1300</v>
      </c>
      <c r="R1301">
        <v>10</v>
      </c>
    </row>
    <row r="1302" spans="17:18">
      <c r="Q1302">
        <v>1301</v>
      </c>
      <c r="R1302">
        <v>12</v>
      </c>
    </row>
    <row r="1303" spans="17:18">
      <c r="Q1303">
        <v>1302</v>
      </c>
      <c r="R1303">
        <v>10</v>
      </c>
    </row>
    <row r="1304" spans="17:18">
      <c r="Q1304">
        <v>1303</v>
      </c>
      <c r="R1304">
        <v>14</v>
      </c>
    </row>
    <row r="1305" spans="17:18">
      <c r="Q1305">
        <v>1304</v>
      </c>
      <c r="R1305">
        <v>12</v>
      </c>
    </row>
    <row r="1306" spans="17:18">
      <c r="Q1306">
        <v>1305</v>
      </c>
      <c r="R1306">
        <v>11</v>
      </c>
    </row>
    <row r="1307" spans="17:18">
      <c r="Q1307">
        <v>1306</v>
      </c>
      <c r="R1307">
        <v>12</v>
      </c>
    </row>
    <row r="1308" spans="17:18">
      <c r="Q1308">
        <v>1307</v>
      </c>
      <c r="R1308">
        <v>11</v>
      </c>
    </row>
    <row r="1309" spans="17:18">
      <c r="Q1309">
        <v>1308</v>
      </c>
      <c r="R1309">
        <v>11</v>
      </c>
    </row>
    <row r="1310" spans="17:18">
      <c r="Q1310">
        <v>1309</v>
      </c>
      <c r="R1310">
        <v>12</v>
      </c>
    </row>
    <row r="1311" spans="17:18">
      <c r="Q1311">
        <v>1310</v>
      </c>
      <c r="R1311">
        <v>11</v>
      </c>
    </row>
    <row r="1312" spans="17:18">
      <c r="Q1312">
        <v>1311</v>
      </c>
      <c r="R1312">
        <v>16</v>
      </c>
    </row>
    <row r="1313" spans="17:18">
      <c r="Q1313">
        <v>1312</v>
      </c>
      <c r="R1313">
        <v>14</v>
      </c>
    </row>
    <row r="1314" spans="17:18">
      <c r="Q1314">
        <v>1313</v>
      </c>
      <c r="R1314">
        <v>14</v>
      </c>
    </row>
    <row r="1315" spans="17:18">
      <c r="Q1315">
        <v>1314</v>
      </c>
      <c r="R1315">
        <v>12</v>
      </c>
    </row>
    <row r="1316" spans="17:18">
      <c r="Q1316">
        <v>1315</v>
      </c>
      <c r="R1316">
        <v>13</v>
      </c>
    </row>
    <row r="1317" spans="17:18">
      <c r="Q1317">
        <v>1316</v>
      </c>
      <c r="R1317">
        <v>13</v>
      </c>
    </row>
    <row r="1318" spans="17:18">
      <c r="Q1318">
        <v>1317</v>
      </c>
      <c r="R1318">
        <v>11</v>
      </c>
    </row>
    <row r="1319" spans="17:18">
      <c r="Q1319">
        <v>1318</v>
      </c>
      <c r="R1319">
        <v>12</v>
      </c>
    </row>
    <row r="1320" spans="17:18">
      <c r="Q1320">
        <v>1319</v>
      </c>
      <c r="R1320">
        <v>15</v>
      </c>
    </row>
    <row r="1321" spans="17:18">
      <c r="Q1321">
        <v>1320</v>
      </c>
      <c r="R1321">
        <v>11</v>
      </c>
    </row>
    <row r="1322" spans="17:18">
      <c r="Q1322">
        <v>1321</v>
      </c>
      <c r="R1322">
        <v>10</v>
      </c>
    </row>
    <row r="1323" spans="17:18">
      <c r="Q1323">
        <v>1322</v>
      </c>
      <c r="R1323">
        <v>11</v>
      </c>
    </row>
    <row r="1324" spans="17:18">
      <c r="Q1324">
        <v>1323</v>
      </c>
      <c r="R1324">
        <v>28</v>
      </c>
    </row>
    <row r="1325" spans="17:18">
      <c r="Q1325">
        <v>1324</v>
      </c>
      <c r="R1325">
        <v>14</v>
      </c>
    </row>
    <row r="1326" spans="17:18">
      <c r="Q1326">
        <v>1325</v>
      </c>
      <c r="R1326">
        <v>16</v>
      </c>
    </row>
    <row r="1327" spans="17:18">
      <c r="Q1327">
        <v>1326</v>
      </c>
      <c r="R1327">
        <v>12</v>
      </c>
    </row>
    <row r="1328" spans="17:18">
      <c r="Q1328">
        <v>1327</v>
      </c>
      <c r="R1328">
        <v>11</v>
      </c>
    </row>
    <row r="1329" spans="17:18">
      <c r="Q1329">
        <v>1328</v>
      </c>
      <c r="R1329">
        <v>11</v>
      </c>
    </row>
    <row r="1330" spans="17:18">
      <c r="Q1330">
        <v>1329</v>
      </c>
      <c r="R1330">
        <v>13</v>
      </c>
    </row>
    <row r="1331" spans="17:18">
      <c r="Q1331">
        <v>1330</v>
      </c>
      <c r="R1331">
        <v>14</v>
      </c>
    </row>
    <row r="1332" spans="17:18">
      <c r="Q1332">
        <v>1331</v>
      </c>
      <c r="R1332">
        <v>11</v>
      </c>
    </row>
    <row r="1333" spans="17:18">
      <c r="Q1333">
        <v>1332</v>
      </c>
      <c r="R1333">
        <v>11</v>
      </c>
    </row>
    <row r="1334" spans="17:18">
      <c r="Q1334">
        <v>1333</v>
      </c>
      <c r="R1334">
        <v>11</v>
      </c>
    </row>
    <row r="1335" spans="17:18">
      <c r="Q1335">
        <v>1334</v>
      </c>
      <c r="R1335">
        <v>12</v>
      </c>
    </row>
    <row r="1336" spans="17:18">
      <c r="Q1336">
        <v>1335</v>
      </c>
      <c r="R1336">
        <v>12</v>
      </c>
    </row>
    <row r="1337" spans="17:18">
      <c r="Q1337">
        <v>1336</v>
      </c>
      <c r="R1337">
        <v>12</v>
      </c>
    </row>
    <row r="1338" spans="17:18">
      <c r="Q1338">
        <v>1337</v>
      </c>
      <c r="R1338">
        <v>14</v>
      </c>
    </row>
    <row r="1339" spans="17:18">
      <c r="Q1339">
        <v>1338</v>
      </c>
      <c r="R1339">
        <v>11</v>
      </c>
    </row>
    <row r="1340" spans="17:18">
      <c r="Q1340">
        <v>1339</v>
      </c>
      <c r="R1340">
        <v>12</v>
      </c>
    </row>
    <row r="1341" spans="17:18">
      <c r="Q1341">
        <v>1340</v>
      </c>
      <c r="R1341">
        <v>11</v>
      </c>
    </row>
    <row r="1342" spans="17:18">
      <c r="Q1342">
        <v>1341</v>
      </c>
      <c r="R1342">
        <v>16</v>
      </c>
    </row>
    <row r="1343" spans="17:18">
      <c r="Q1343">
        <v>1342</v>
      </c>
      <c r="R1343">
        <v>10</v>
      </c>
    </row>
    <row r="1344" spans="17:18">
      <c r="Q1344">
        <v>1343</v>
      </c>
      <c r="R1344">
        <v>12</v>
      </c>
    </row>
    <row r="1345" spans="17:18">
      <c r="Q1345">
        <v>1344</v>
      </c>
      <c r="R1345">
        <v>14</v>
      </c>
    </row>
    <row r="1346" spans="17:18">
      <c r="Q1346">
        <v>1345</v>
      </c>
      <c r="R1346">
        <v>11</v>
      </c>
    </row>
    <row r="1347" spans="17:18">
      <c r="Q1347">
        <v>1346</v>
      </c>
      <c r="R1347">
        <v>16</v>
      </c>
    </row>
    <row r="1348" spans="17:18">
      <c r="Q1348">
        <v>1347</v>
      </c>
      <c r="R1348">
        <v>11</v>
      </c>
    </row>
    <row r="1349" spans="17:18">
      <c r="Q1349">
        <v>1348</v>
      </c>
      <c r="R1349">
        <v>11</v>
      </c>
    </row>
    <row r="1350" spans="17:18">
      <c r="Q1350">
        <v>1349</v>
      </c>
      <c r="R1350">
        <v>10</v>
      </c>
    </row>
    <row r="1351" spans="17:18">
      <c r="Q1351">
        <v>1350</v>
      </c>
      <c r="R1351">
        <v>11</v>
      </c>
    </row>
    <row r="1352" spans="17:18">
      <c r="Q1352">
        <v>1351</v>
      </c>
      <c r="R1352">
        <v>12</v>
      </c>
    </row>
    <row r="1353" spans="17:18">
      <c r="Q1353">
        <v>1352</v>
      </c>
      <c r="R1353">
        <v>13</v>
      </c>
    </row>
    <row r="1354" spans="17:18">
      <c r="Q1354">
        <v>1353</v>
      </c>
      <c r="R1354">
        <v>11</v>
      </c>
    </row>
    <row r="1355" spans="17:18">
      <c r="Q1355">
        <v>1354</v>
      </c>
      <c r="R1355">
        <v>14</v>
      </c>
    </row>
    <row r="1356" spans="17:18">
      <c r="Q1356">
        <v>1355</v>
      </c>
      <c r="R1356">
        <v>14</v>
      </c>
    </row>
    <row r="1357" spans="17:18">
      <c r="Q1357">
        <v>1356</v>
      </c>
      <c r="R1357">
        <v>12</v>
      </c>
    </row>
    <row r="1358" spans="17:18">
      <c r="Q1358">
        <v>1357</v>
      </c>
      <c r="R1358">
        <v>13</v>
      </c>
    </row>
    <row r="1359" spans="17:18">
      <c r="Q1359">
        <v>1358</v>
      </c>
      <c r="R1359">
        <v>16</v>
      </c>
    </row>
    <row r="1360" spans="17:18">
      <c r="Q1360">
        <v>1359</v>
      </c>
      <c r="R1360">
        <v>11</v>
      </c>
    </row>
    <row r="1361" spans="17:18">
      <c r="Q1361">
        <v>1360</v>
      </c>
      <c r="R1361">
        <v>16</v>
      </c>
    </row>
    <row r="1362" spans="17:18">
      <c r="Q1362">
        <v>1361</v>
      </c>
      <c r="R1362">
        <v>15</v>
      </c>
    </row>
    <row r="1363" spans="17:18">
      <c r="Q1363">
        <v>1362</v>
      </c>
      <c r="R1363">
        <v>12</v>
      </c>
    </row>
    <row r="1364" spans="17:18">
      <c r="Q1364">
        <v>1363</v>
      </c>
      <c r="R1364">
        <v>12</v>
      </c>
    </row>
    <row r="1365" spans="17:18">
      <c r="Q1365">
        <v>1364</v>
      </c>
      <c r="R1365">
        <v>12</v>
      </c>
    </row>
    <row r="1366" spans="17:18">
      <c r="Q1366">
        <v>1365</v>
      </c>
      <c r="R1366">
        <v>11</v>
      </c>
    </row>
    <row r="1367" spans="17:18">
      <c r="Q1367">
        <v>1366</v>
      </c>
      <c r="R1367">
        <v>14</v>
      </c>
    </row>
    <row r="1368" spans="17:18">
      <c r="Q1368">
        <v>1367</v>
      </c>
      <c r="R1368">
        <v>14</v>
      </c>
    </row>
    <row r="1369" spans="17:18">
      <c r="Q1369">
        <v>1368</v>
      </c>
      <c r="R1369">
        <v>12</v>
      </c>
    </row>
    <row r="1370" spans="17:18">
      <c r="Q1370">
        <v>1369</v>
      </c>
      <c r="R1370">
        <v>11</v>
      </c>
    </row>
    <row r="1371" spans="17:18">
      <c r="Q1371">
        <v>1370</v>
      </c>
      <c r="R1371">
        <v>13</v>
      </c>
    </row>
    <row r="1372" spans="17:18">
      <c r="Q1372">
        <v>1371</v>
      </c>
      <c r="R1372">
        <v>13</v>
      </c>
    </row>
    <row r="1373" spans="17:18">
      <c r="Q1373">
        <v>1372</v>
      </c>
      <c r="R1373">
        <v>13</v>
      </c>
    </row>
    <row r="1374" spans="17:18">
      <c r="Q1374">
        <v>1373</v>
      </c>
      <c r="R1374">
        <v>14</v>
      </c>
    </row>
    <row r="1375" spans="17:18">
      <c r="Q1375">
        <v>1374</v>
      </c>
      <c r="R1375">
        <v>11</v>
      </c>
    </row>
    <row r="1376" spans="17:18">
      <c r="Q1376">
        <v>1375</v>
      </c>
      <c r="R1376">
        <v>13</v>
      </c>
    </row>
    <row r="1377" spans="17:18">
      <c r="Q1377">
        <v>1376</v>
      </c>
      <c r="R1377">
        <v>11</v>
      </c>
    </row>
    <row r="1378" spans="17:18">
      <c r="Q1378">
        <v>1377</v>
      </c>
      <c r="R1378">
        <v>10</v>
      </c>
    </row>
    <row r="1379" spans="17:18">
      <c r="Q1379">
        <v>1378</v>
      </c>
      <c r="R1379">
        <v>11</v>
      </c>
    </row>
    <row r="1380" spans="17:18">
      <c r="Q1380">
        <v>1379</v>
      </c>
      <c r="R1380">
        <v>17</v>
      </c>
    </row>
    <row r="1381" spans="17:18">
      <c r="Q1381">
        <v>1380</v>
      </c>
      <c r="R1381">
        <v>14</v>
      </c>
    </row>
    <row r="1382" spans="17:18">
      <c r="Q1382">
        <v>1381</v>
      </c>
      <c r="R1382">
        <v>13</v>
      </c>
    </row>
    <row r="1383" spans="17:18">
      <c r="Q1383">
        <v>1382</v>
      </c>
      <c r="R1383">
        <v>11</v>
      </c>
    </row>
    <row r="1384" spans="17:18">
      <c r="Q1384">
        <v>1383</v>
      </c>
      <c r="R1384">
        <v>12</v>
      </c>
    </row>
    <row r="1385" spans="17:18">
      <c r="Q1385">
        <v>1384</v>
      </c>
      <c r="R1385">
        <v>11</v>
      </c>
    </row>
    <row r="1386" spans="17:18">
      <c r="Q1386">
        <v>1385</v>
      </c>
      <c r="R1386">
        <v>12</v>
      </c>
    </row>
    <row r="1387" spans="17:18">
      <c r="Q1387">
        <v>1386</v>
      </c>
      <c r="R1387">
        <v>12</v>
      </c>
    </row>
    <row r="1388" spans="17:18">
      <c r="Q1388">
        <v>1387</v>
      </c>
      <c r="R1388">
        <v>11</v>
      </c>
    </row>
    <row r="1389" spans="17:18">
      <c r="Q1389">
        <v>1388</v>
      </c>
      <c r="R1389">
        <v>10</v>
      </c>
    </row>
    <row r="1390" spans="17:18">
      <c r="Q1390">
        <v>1389</v>
      </c>
      <c r="R1390">
        <v>13</v>
      </c>
    </row>
    <row r="1391" spans="17:18">
      <c r="Q1391">
        <v>1390</v>
      </c>
      <c r="R1391">
        <v>11</v>
      </c>
    </row>
    <row r="1392" spans="17:18">
      <c r="Q1392">
        <v>1391</v>
      </c>
      <c r="R1392">
        <v>11</v>
      </c>
    </row>
    <row r="1393" spans="17:18">
      <c r="Q1393">
        <v>1392</v>
      </c>
      <c r="R1393">
        <v>15</v>
      </c>
    </row>
    <row r="1394" spans="17:18">
      <c r="Q1394">
        <v>1393</v>
      </c>
      <c r="R1394">
        <v>9</v>
      </c>
    </row>
    <row r="1395" spans="17:18">
      <c r="Q1395">
        <v>1394</v>
      </c>
      <c r="R1395">
        <v>13</v>
      </c>
    </row>
    <row r="1396" spans="17:18">
      <c r="Q1396">
        <v>1395</v>
      </c>
      <c r="R1396">
        <v>11</v>
      </c>
    </row>
    <row r="1397" spans="17:18">
      <c r="Q1397">
        <v>1396</v>
      </c>
      <c r="R1397">
        <v>13</v>
      </c>
    </row>
    <row r="1398" spans="17:18">
      <c r="Q1398">
        <v>1397</v>
      </c>
      <c r="R1398">
        <v>12</v>
      </c>
    </row>
    <row r="1399" spans="17:18">
      <c r="Q1399">
        <v>1398</v>
      </c>
      <c r="R1399">
        <v>14</v>
      </c>
    </row>
    <row r="1400" spans="17:18">
      <c r="Q1400">
        <v>1399</v>
      </c>
      <c r="R1400">
        <v>11</v>
      </c>
    </row>
    <row r="1401" spans="17:18">
      <c r="Q1401">
        <v>1400</v>
      </c>
      <c r="R1401">
        <v>12</v>
      </c>
    </row>
    <row r="1402" spans="17:18">
      <c r="Q1402">
        <v>1401</v>
      </c>
      <c r="R1402">
        <v>13</v>
      </c>
    </row>
    <row r="1403" spans="17:18">
      <c r="Q1403">
        <v>1402</v>
      </c>
      <c r="R1403">
        <v>15</v>
      </c>
    </row>
    <row r="1404" spans="17:18">
      <c r="Q1404">
        <v>1403</v>
      </c>
      <c r="R1404">
        <v>10</v>
      </c>
    </row>
    <row r="1405" spans="17:18">
      <c r="Q1405">
        <v>1404</v>
      </c>
      <c r="R1405">
        <v>14</v>
      </c>
    </row>
    <row r="1406" spans="17:18">
      <c r="Q1406">
        <v>1405</v>
      </c>
      <c r="R1406">
        <v>13</v>
      </c>
    </row>
    <row r="1407" spans="17:18">
      <c r="Q1407">
        <v>1406</v>
      </c>
      <c r="R1407">
        <v>10</v>
      </c>
    </row>
    <row r="1408" spans="17:18">
      <c r="Q1408">
        <v>1407</v>
      </c>
      <c r="R1408">
        <v>14</v>
      </c>
    </row>
    <row r="1409" spans="17:18">
      <c r="Q1409">
        <v>1408</v>
      </c>
      <c r="R1409">
        <v>12</v>
      </c>
    </row>
    <row r="1410" spans="17:18">
      <c r="Q1410">
        <v>1409</v>
      </c>
      <c r="R1410">
        <v>10</v>
      </c>
    </row>
    <row r="1411" spans="17:18">
      <c r="Q1411">
        <v>1410</v>
      </c>
      <c r="R1411">
        <v>14</v>
      </c>
    </row>
    <row r="1412" spans="17:18">
      <c r="Q1412">
        <v>1411</v>
      </c>
      <c r="R1412">
        <v>10</v>
      </c>
    </row>
    <row r="1413" spans="17:18">
      <c r="Q1413">
        <v>1412</v>
      </c>
      <c r="R1413">
        <v>11</v>
      </c>
    </row>
    <row r="1414" spans="17:18">
      <c r="Q1414">
        <v>1413</v>
      </c>
      <c r="R1414">
        <v>18</v>
      </c>
    </row>
    <row r="1415" spans="17:18">
      <c r="Q1415">
        <v>1414</v>
      </c>
      <c r="R1415">
        <v>12</v>
      </c>
    </row>
    <row r="1416" spans="17:18">
      <c r="Q1416">
        <v>1415</v>
      </c>
      <c r="R1416">
        <v>10</v>
      </c>
    </row>
    <row r="1417" spans="17:18">
      <c r="Q1417">
        <v>1416</v>
      </c>
      <c r="R1417">
        <v>11</v>
      </c>
    </row>
    <row r="1418" spans="17:18">
      <c r="Q1418">
        <v>1417</v>
      </c>
      <c r="R1418">
        <v>13</v>
      </c>
    </row>
    <row r="1419" spans="17:18">
      <c r="Q1419">
        <v>1418</v>
      </c>
      <c r="R1419">
        <v>10</v>
      </c>
    </row>
    <row r="1420" spans="17:18">
      <c r="Q1420">
        <v>1419</v>
      </c>
      <c r="R1420">
        <v>20</v>
      </c>
    </row>
    <row r="1421" spans="17:18">
      <c r="Q1421">
        <v>1420</v>
      </c>
      <c r="R1421">
        <v>12</v>
      </c>
    </row>
    <row r="1422" spans="17:18">
      <c r="Q1422">
        <v>1421</v>
      </c>
      <c r="R1422">
        <v>14</v>
      </c>
    </row>
    <row r="1423" spans="17:18">
      <c r="Q1423">
        <v>1422</v>
      </c>
      <c r="R1423">
        <v>14</v>
      </c>
    </row>
    <row r="1424" spans="17:18">
      <c r="Q1424">
        <v>1423</v>
      </c>
      <c r="R1424">
        <v>20</v>
      </c>
    </row>
    <row r="1425" spans="17:18">
      <c r="Q1425">
        <v>1424</v>
      </c>
      <c r="R1425">
        <v>13</v>
      </c>
    </row>
    <row r="1426" spans="17:18">
      <c r="Q1426">
        <v>1425</v>
      </c>
      <c r="R1426">
        <v>13</v>
      </c>
    </row>
    <row r="1427" spans="17:18">
      <c r="Q1427">
        <v>1426</v>
      </c>
      <c r="R1427">
        <v>9</v>
      </c>
    </row>
    <row r="1428" spans="17:18">
      <c r="Q1428">
        <v>1427</v>
      </c>
      <c r="R1428">
        <v>17</v>
      </c>
    </row>
    <row r="1429" spans="17:18">
      <c r="Q1429">
        <v>1428</v>
      </c>
      <c r="R1429">
        <v>14</v>
      </c>
    </row>
    <row r="1430" spans="17:18">
      <c r="Q1430">
        <v>1429</v>
      </c>
      <c r="R1430">
        <v>12</v>
      </c>
    </row>
    <row r="1431" spans="17:18">
      <c r="Q1431">
        <v>1430</v>
      </c>
      <c r="R1431">
        <v>12</v>
      </c>
    </row>
    <row r="1432" spans="17:18">
      <c r="Q1432">
        <v>1431</v>
      </c>
      <c r="R1432">
        <v>14</v>
      </c>
    </row>
    <row r="1433" spans="17:18">
      <c r="Q1433">
        <v>1432</v>
      </c>
      <c r="R1433">
        <v>13</v>
      </c>
    </row>
    <row r="1434" spans="17:18">
      <c r="Q1434">
        <v>1433</v>
      </c>
      <c r="R1434">
        <v>13</v>
      </c>
    </row>
    <row r="1435" spans="17:18">
      <c r="Q1435">
        <v>1434</v>
      </c>
      <c r="R1435">
        <v>12</v>
      </c>
    </row>
    <row r="1436" spans="17:18">
      <c r="Q1436">
        <v>1435</v>
      </c>
      <c r="R1436">
        <v>15</v>
      </c>
    </row>
    <row r="1437" spans="17:18">
      <c r="Q1437">
        <v>1436</v>
      </c>
      <c r="R1437">
        <v>14</v>
      </c>
    </row>
    <row r="1438" spans="17:18">
      <c r="Q1438">
        <v>1437</v>
      </c>
      <c r="R1438">
        <v>11</v>
      </c>
    </row>
    <row r="1439" spans="17:18">
      <c r="Q1439">
        <v>1438</v>
      </c>
      <c r="R1439">
        <v>14</v>
      </c>
    </row>
    <row r="1440" spans="17:18">
      <c r="Q1440">
        <v>1439</v>
      </c>
      <c r="R1440">
        <v>14</v>
      </c>
    </row>
    <row r="1441" spans="17:18">
      <c r="Q1441">
        <v>1440</v>
      </c>
      <c r="R1441">
        <v>19</v>
      </c>
    </row>
    <row r="1442" spans="17:18">
      <c r="Q1442">
        <v>1441</v>
      </c>
      <c r="R1442">
        <v>10</v>
      </c>
    </row>
    <row r="1443" spans="17:18">
      <c r="Q1443">
        <v>1442</v>
      </c>
      <c r="R1443">
        <v>17</v>
      </c>
    </row>
    <row r="1444" spans="17:18">
      <c r="Q1444">
        <v>1443</v>
      </c>
      <c r="R1444">
        <v>11</v>
      </c>
    </row>
    <row r="1445" spans="17:18">
      <c r="Q1445">
        <v>1444</v>
      </c>
      <c r="R1445">
        <v>13</v>
      </c>
    </row>
    <row r="1446" spans="17:18">
      <c r="Q1446">
        <v>1445</v>
      </c>
      <c r="R1446">
        <v>12</v>
      </c>
    </row>
    <row r="1447" spans="17:18">
      <c r="Q1447">
        <v>1446</v>
      </c>
      <c r="R1447">
        <v>15</v>
      </c>
    </row>
    <row r="1448" spans="17:18">
      <c r="Q1448">
        <v>1447</v>
      </c>
      <c r="R1448">
        <v>11</v>
      </c>
    </row>
    <row r="1449" spans="17:18">
      <c r="Q1449">
        <v>1448</v>
      </c>
      <c r="R1449">
        <v>13</v>
      </c>
    </row>
    <row r="1450" spans="17:18">
      <c r="Q1450">
        <v>1449</v>
      </c>
      <c r="R1450">
        <v>14</v>
      </c>
    </row>
    <row r="1451" spans="17:18">
      <c r="Q1451">
        <v>1450</v>
      </c>
      <c r="R1451">
        <v>13</v>
      </c>
    </row>
    <row r="1452" spans="17:18">
      <c r="Q1452">
        <v>1451</v>
      </c>
      <c r="R1452">
        <v>11</v>
      </c>
    </row>
    <row r="1453" spans="17:18">
      <c r="Q1453">
        <v>1452</v>
      </c>
      <c r="R1453">
        <v>11</v>
      </c>
    </row>
    <row r="1454" spans="17:18">
      <c r="Q1454">
        <v>1453</v>
      </c>
      <c r="R1454">
        <v>13</v>
      </c>
    </row>
    <row r="1455" spans="17:18">
      <c r="Q1455">
        <v>1454</v>
      </c>
      <c r="R1455">
        <v>14</v>
      </c>
    </row>
    <row r="1456" spans="17:18">
      <c r="Q1456">
        <v>1455</v>
      </c>
      <c r="R1456">
        <v>10</v>
      </c>
    </row>
    <row r="1457" spans="17:18">
      <c r="Q1457">
        <v>1456</v>
      </c>
      <c r="R1457">
        <v>18</v>
      </c>
    </row>
    <row r="1458" spans="17:18">
      <c r="Q1458">
        <v>1457</v>
      </c>
      <c r="R1458">
        <v>11</v>
      </c>
    </row>
    <row r="1459" spans="17:18">
      <c r="Q1459">
        <v>1458</v>
      </c>
      <c r="R1459">
        <v>11</v>
      </c>
    </row>
    <row r="1460" spans="17:18">
      <c r="Q1460">
        <v>1459</v>
      </c>
      <c r="R1460">
        <v>10</v>
      </c>
    </row>
    <row r="1461" spans="17:18">
      <c r="Q1461">
        <v>1460</v>
      </c>
      <c r="R1461">
        <v>13</v>
      </c>
    </row>
    <row r="1462" spans="17:18">
      <c r="Q1462">
        <v>1461</v>
      </c>
      <c r="R1462">
        <v>9</v>
      </c>
    </row>
    <row r="1463" spans="17:18">
      <c r="Q1463">
        <v>1462</v>
      </c>
      <c r="R1463">
        <v>13</v>
      </c>
    </row>
    <row r="1464" spans="17:18">
      <c r="Q1464">
        <v>1463</v>
      </c>
      <c r="R1464">
        <v>11</v>
      </c>
    </row>
    <row r="1465" spans="17:18">
      <c r="Q1465">
        <v>1464</v>
      </c>
      <c r="R1465">
        <v>15</v>
      </c>
    </row>
    <row r="1466" spans="17:18">
      <c r="Q1466">
        <v>1465</v>
      </c>
      <c r="R1466">
        <v>16</v>
      </c>
    </row>
    <row r="1467" spans="17:18">
      <c r="Q1467">
        <v>1466</v>
      </c>
      <c r="R1467">
        <v>14</v>
      </c>
    </row>
    <row r="1468" spans="17:18">
      <c r="Q1468">
        <v>1467</v>
      </c>
      <c r="R1468">
        <v>20</v>
      </c>
    </row>
    <row r="1469" spans="17:18">
      <c r="Q1469">
        <v>1468</v>
      </c>
      <c r="R1469">
        <v>10</v>
      </c>
    </row>
    <row r="1470" spans="17:18">
      <c r="Q1470">
        <v>1469</v>
      </c>
      <c r="R1470">
        <v>14</v>
      </c>
    </row>
    <row r="1471" spans="17:18">
      <c r="Q1471">
        <v>1470</v>
      </c>
      <c r="R1471">
        <v>13</v>
      </c>
    </row>
    <row r="1472" spans="17:18">
      <c r="Q1472">
        <v>1471</v>
      </c>
      <c r="R1472">
        <v>14</v>
      </c>
    </row>
    <row r="1473" spans="17:18">
      <c r="Q1473">
        <v>1472</v>
      </c>
      <c r="R1473">
        <v>12</v>
      </c>
    </row>
    <row r="1474" spans="17:18">
      <c r="Q1474">
        <v>1473</v>
      </c>
      <c r="R1474">
        <v>11</v>
      </c>
    </row>
    <row r="1475" spans="17:18">
      <c r="Q1475">
        <v>1474</v>
      </c>
      <c r="R1475">
        <v>11</v>
      </c>
    </row>
    <row r="1476" spans="17:18">
      <c r="Q1476">
        <v>1475</v>
      </c>
      <c r="R1476">
        <v>11</v>
      </c>
    </row>
    <row r="1477" spans="17:18">
      <c r="Q1477">
        <v>1476</v>
      </c>
      <c r="R1477">
        <v>11</v>
      </c>
    </row>
    <row r="1478" spans="17:18">
      <c r="Q1478">
        <v>1477</v>
      </c>
      <c r="R1478">
        <v>13</v>
      </c>
    </row>
    <row r="1479" spans="17:18">
      <c r="Q1479">
        <v>1478</v>
      </c>
      <c r="R1479">
        <v>11</v>
      </c>
    </row>
    <row r="1480" spans="17:18">
      <c r="Q1480">
        <v>1479</v>
      </c>
      <c r="R1480">
        <v>13</v>
      </c>
    </row>
    <row r="1481" spans="17:18">
      <c r="Q1481">
        <v>1480</v>
      </c>
      <c r="R1481">
        <v>14</v>
      </c>
    </row>
    <row r="1482" spans="17:18">
      <c r="Q1482">
        <v>1481</v>
      </c>
      <c r="R1482">
        <v>13</v>
      </c>
    </row>
    <row r="1483" spans="17:18">
      <c r="Q1483">
        <v>1482</v>
      </c>
      <c r="R1483">
        <v>15</v>
      </c>
    </row>
    <row r="1484" spans="17:18">
      <c r="Q1484">
        <v>1483</v>
      </c>
      <c r="R1484">
        <v>12</v>
      </c>
    </row>
    <row r="1485" spans="17:18">
      <c r="Q1485">
        <v>1484</v>
      </c>
      <c r="R1485">
        <v>11</v>
      </c>
    </row>
    <row r="1486" spans="17:18">
      <c r="Q1486">
        <v>1485</v>
      </c>
      <c r="R1486">
        <v>11</v>
      </c>
    </row>
    <row r="1487" spans="17:18">
      <c r="Q1487">
        <v>1486</v>
      </c>
      <c r="R1487">
        <v>12</v>
      </c>
    </row>
    <row r="1488" spans="17:18">
      <c r="Q1488">
        <v>1487</v>
      </c>
      <c r="R1488">
        <v>15</v>
      </c>
    </row>
    <row r="1489" spans="17:18">
      <c r="Q1489">
        <v>1488</v>
      </c>
      <c r="R1489">
        <v>10</v>
      </c>
    </row>
    <row r="1490" spans="17:18">
      <c r="Q1490">
        <v>1489</v>
      </c>
      <c r="R1490">
        <v>11</v>
      </c>
    </row>
    <row r="1491" spans="17:18">
      <c r="Q1491">
        <v>1490</v>
      </c>
      <c r="R1491">
        <v>15</v>
      </c>
    </row>
    <row r="1492" spans="17:18">
      <c r="Q1492">
        <v>1491</v>
      </c>
      <c r="R1492">
        <v>14</v>
      </c>
    </row>
    <row r="1493" spans="17:18">
      <c r="Q1493">
        <v>1492</v>
      </c>
      <c r="R1493">
        <v>11</v>
      </c>
    </row>
    <row r="1494" spans="17:18">
      <c r="Q1494">
        <v>1493</v>
      </c>
      <c r="R1494">
        <v>10</v>
      </c>
    </row>
    <row r="1495" spans="17:18">
      <c r="Q1495">
        <v>1494</v>
      </c>
      <c r="R1495">
        <v>12</v>
      </c>
    </row>
    <row r="1496" spans="17:18">
      <c r="Q1496">
        <v>1495</v>
      </c>
      <c r="R1496">
        <v>20</v>
      </c>
    </row>
    <row r="1497" spans="17:18">
      <c r="Q1497">
        <v>1496</v>
      </c>
      <c r="R1497">
        <v>11</v>
      </c>
    </row>
    <row r="1498" spans="17:18">
      <c r="Q1498">
        <v>1497</v>
      </c>
      <c r="R1498">
        <v>11</v>
      </c>
    </row>
    <row r="1499" spans="17:18">
      <c r="Q1499">
        <v>1498</v>
      </c>
      <c r="R1499">
        <v>12</v>
      </c>
    </row>
    <row r="1500" spans="17:18">
      <c r="Q1500">
        <v>1499</v>
      </c>
      <c r="R1500">
        <v>10</v>
      </c>
    </row>
    <row r="1501" spans="17:18">
      <c r="Q1501">
        <v>1500</v>
      </c>
      <c r="R1501">
        <v>14</v>
      </c>
    </row>
    <row r="1502" spans="17:18">
      <c r="Q1502">
        <v>1501</v>
      </c>
      <c r="R1502">
        <v>13</v>
      </c>
    </row>
    <row r="1503" spans="17:18">
      <c r="Q1503">
        <v>1502</v>
      </c>
      <c r="R1503">
        <v>21</v>
      </c>
    </row>
    <row r="1504" spans="17:18">
      <c r="Q1504">
        <v>1503</v>
      </c>
      <c r="R1504">
        <v>13</v>
      </c>
    </row>
    <row r="1505" spans="17:18">
      <c r="Q1505">
        <v>1504</v>
      </c>
      <c r="R1505">
        <v>12</v>
      </c>
    </row>
    <row r="1506" spans="17:18">
      <c r="Q1506">
        <v>1505</v>
      </c>
      <c r="R1506">
        <v>10</v>
      </c>
    </row>
    <row r="1507" spans="17:18">
      <c r="Q1507">
        <v>1506</v>
      </c>
      <c r="R1507">
        <v>11</v>
      </c>
    </row>
    <row r="1508" spans="17:18">
      <c r="Q1508">
        <v>1507</v>
      </c>
      <c r="R1508">
        <v>13</v>
      </c>
    </row>
    <row r="1509" spans="17:18">
      <c r="Q1509">
        <v>1508</v>
      </c>
      <c r="R1509">
        <v>11</v>
      </c>
    </row>
    <row r="1510" spans="17:18">
      <c r="Q1510">
        <v>1509</v>
      </c>
      <c r="R1510">
        <v>14</v>
      </c>
    </row>
    <row r="1511" spans="17:18">
      <c r="Q1511">
        <v>1510</v>
      </c>
      <c r="R1511">
        <v>11</v>
      </c>
    </row>
    <row r="1512" spans="17:18">
      <c r="Q1512">
        <v>1511</v>
      </c>
      <c r="R1512">
        <v>13</v>
      </c>
    </row>
    <row r="1513" spans="17:18">
      <c r="Q1513">
        <v>1512</v>
      </c>
      <c r="R1513">
        <v>11</v>
      </c>
    </row>
    <row r="1514" spans="17:18">
      <c r="Q1514">
        <v>1513</v>
      </c>
      <c r="R1514">
        <v>17</v>
      </c>
    </row>
    <row r="1515" spans="17:18">
      <c r="Q1515">
        <v>1514</v>
      </c>
      <c r="R1515">
        <v>11</v>
      </c>
    </row>
    <row r="1516" spans="17:18">
      <c r="Q1516">
        <v>1515</v>
      </c>
      <c r="R1516">
        <v>12</v>
      </c>
    </row>
    <row r="1517" spans="17:18">
      <c r="Q1517">
        <v>1516</v>
      </c>
      <c r="R1517">
        <v>11</v>
      </c>
    </row>
    <row r="1518" spans="17:18">
      <c r="Q1518">
        <v>1517</v>
      </c>
      <c r="R1518">
        <v>13</v>
      </c>
    </row>
    <row r="1519" spans="17:18">
      <c r="Q1519">
        <v>1518</v>
      </c>
      <c r="R1519">
        <v>13</v>
      </c>
    </row>
    <row r="1520" spans="17:18">
      <c r="Q1520">
        <v>1519</v>
      </c>
      <c r="R1520">
        <v>11</v>
      </c>
    </row>
    <row r="1521" spans="17:18">
      <c r="Q1521">
        <v>1520</v>
      </c>
      <c r="R1521">
        <v>11</v>
      </c>
    </row>
    <row r="1522" spans="17:18">
      <c r="Q1522">
        <v>1521</v>
      </c>
      <c r="R1522">
        <v>11</v>
      </c>
    </row>
    <row r="1523" spans="17:18">
      <c r="Q1523">
        <v>1522</v>
      </c>
      <c r="R1523">
        <v>10</v>
      </c>
    </row>
    <row r="1524" spans="17:18">
      <c r="Q1524">
        <v>1523</v>
      </c>
      <c r="R1524">
        <v>10</v>
      </c>
    </row>
    <row r="1525" spans="17:18">
      <c r="Q1525">
        <v>1524</v>
      </c>
      <c r="R1525">
        <v>11</v>
      </c>
    </row>
    <row r="1526" spans="17:18">
      <c r="Q1526">
        <v>1525</v>
      </c>
      <c r="R1526">
        <v>13</v>
      </c>
    </row>
    <row r="1527" spans="17:18">
      <c r="Q1527">
        <v>1526</v>
      </c>
      <c r="R1527">
        <v>15</v>
      </c>
    </row>
    <row r="1528" spans="17:18">
      <c r="Q1528">
        <v>1527</v>
      </c>
      <c r="R1528">
        <v>18</v>
      </c>
    </row>
    <row r="1529" spans="17:18">
      <c r="Q1529">
        <v>1528</v>
      </c>
      <c r="R1529">
        <v>9</v>
      </c>
    </row>
    <row r="1530" spans="17:18">
      <c r="Q1530">
        <v>1529</v>
      </c>
      <c r="R1530">
        <v>11</v>
      </c>
    </row>
    <row r="1531" spans="17:18">
      <c r="Q1531">
        <v>1530</v>
      </c>
      <c r="R1531">
        <v>11</v>
      </c>
    </row>
    <row r="1532" spans="17:18">
      <c r="Q1532">
        <v>1531</v>
      </c>
      <c r="R1532">
        <v>17</v>
      </c>
    </row>
    <row r="1533" spans="17:18">
      <c r="Q1533">
        <v>1532</v>
      </c>
      <c r="R1533">
        <v>16</v>
      </c>
    </row>
    <row r="1534" spans="17:18">
      <c r="Q1534">
        <v>1533</v>
      </c>
      <c r="R1534">
        <v>12</v>
      </c>
    </row>
    <row r="1535" spans="17:18">
      <c r="Q1535">
        <v>1534</v>
      </c>
      <c r="R1535">
        <v>13</v>
      </c>
    </row>
    <row r="1536" spans="17:18">
      <c r="Q1536">
        <v>1535</v>
      </c>
      <c r="R1536">
        <v>11</v>
      </c>
    </row>
    <row r="1537" spans="17:18">
      <c r="Q1537">
        <v>1536</v>
      </c>
      <c r="R1537">
        <v>12</v>
      </c>
    </row>
    <row r="1538" spans="17:18">
      <c r="Q1538">
        <v>1537</v>
      </c>
      <c r="R1538">
        <v>14</v>
      </c>
    </row>
    <row r="1539" spans="17:18">
      <c r="Q1539">
        <v>1538</v>
      </c>
      <c r="R1539">
        <v>10</v>
      </c>
    </row>
    <row r="1540" spans="17:18">
      <c r="Q1540">
        <v>1539</v>
      </c>
      <c r="R1540">
        <v>12</v>
      </c>
    </row>
    <row r="1541" spans="17:18">
      <c r="Q1541">
        <v>1540</v>
      </c>
      <c r="R1541">
        <v>11</v>
      </c>
    </row>
    <row r="1542" spans="17:18">
      <c r="Q1542">
        <v>1541</v>
      </c>
      <c r="R1542">
        <v>12</v>
      </c>
    </row>
    <row r="1543" spans="17:18">
      <c r="Q1543">
        <v>1542</v>
      </c>
      <c r="R1543">
        <v>17</v>
      </c>
    </row>
    <row r="1544" spans="17:18">
      <c r="Q1544">
        <v>1543</v>
      </c>
      <c r="R1544">
        <v>12</v>
      </c>
    </row>
    <row r="1545" spans="17:18">
      <c r="Q1545">
        <v>1544</v>
      </c>
      <c r="R1545">
        <v>14</v>
      </c>
    </row>
    <row r="1546" spans="17:18">
      <c r="Q1546">
        <v>1545</v>
      </c>
      <c r="R1546">
        <v>12</v>
      </c>
    </row>
    <row r="1547" spans="17:18">
      <c r="Q1547">
        <v>1546</v>
      </c>
      <c r="R1547">
        <v>15</v>
      </c>
    </row>
    <row r="1548" spans="17:18">
      <c r="Q1548">
        <v>1547</v>
      </c>
      <c r="R1548">
        <v>14</v>
      </c>
    </row>
    <row r="1549" spans="17:18">
      <c r="Q1549">
        <v>1548</v>
      </c>
      <c r="R1549">
        <v>14</v>
      </c>
    </row>
    <row r="1550" spans="17:18">
      <c r="Q1550">
        <v>1549</v>
      </c>
      <c r="R1550">
        <v>11</v>
      </c>
    </row>
    <row r="1551" spans="17:18">
      <c r="Q1551">
        <v>1550</v>
      </c>
      <c r="R1551">
        <v>12</v>
      </c>
    </row>
    <row r="1552" spans="17:18">
      <c r="Q1552">
        <v>1551</v>
      </c>
      <c r="R1552">
        <v>14</v>
      </c>
    </row>
    <row r="1553" spans="17:18">
      <c r="Q1553">
        <v>1552</v>
      </c>
      <c r="R1553">
        <v>12</v>
      </c>
    </row>
    <row r="1554" spans="17:18">
      <c r="Q1554">
        <v>1553</v>
      </c>
      <c r="R1554">
        <v>12</v>
      </c>
    </row>
    <row r="1555" spans="17:18">
      <c r="Q1555">
        <v>1554</v>
      </c>
      <c r="R1555">
        <v>11</v>
      </c>
    </row>
    <row r="1556" spans="17:18">
      <c r="Q1556">
        <v>1555</v>
      </c>
      <c r="R1556">
        <v>11</v>
      </c>
    </row>
    <row r="1557" spans="17:18">
      <c r="Q1557">
        <v>1556</v>
      </c>
      <c r="R1557">
        <v>12</v>
      </c>
    </row>
    <row r="1558" spans="17:18">
      <c r="Q1558">
        <v>1557</v>
      </c>
      <c r="R1558">
        <v>10</v>
      </c>
    </row>
    <row r="1559" spans="17:18">
      <c r="Q1559">
        <v>1558</v>
      </c>
      <c r="R1559">
        <v>12</v>
      </c>
    </row>
    <row r="1560" spans="17:18">
      <c r="Q1560">
        <v>1559</v>
      </c>
      <c r="R1560">
        <v>10</v>
      </c>
    </row>
    <row r="1561" spans="17:18">
      <c r="Q1561">
        <v>1560</v>
      </c>
      <c r="R1561">
        <v>14</v>
      </c>
    </row>
    <row r="1562" spans="17:18">
      <c r="Q1562">
        <v>1561</v>
      </c>
      <c r="R1562">
        <v>16</v>
      </c>
    </row>
    <row r="1563" spans="17:18">
      <c r="Q1563">
        <v>1562</v>
      </c>
      <c r="R1563">
        <v>12</v>
      </c>
    </row>
    <row r="1564" spans="17:18">
      <c r="Q1564">
        <v>1563</v>
      </c>
      <c r="R1564">
        <v>11</v>
      </c>
    </row>
    <row r="1565" spans="17:18">
      <c r="Q1565">
        <v>1564</v>
      </c>
      <c r="R1565">
        <v>11</v>
      </c>
    </row>
    <row r="1566" spans="17:18">
      <c r="Q1566">
        <v>1565</v>
      </c>
      <c r="R1566">
        <v>12</v>
      </c>
    </row>
    <row r="1567" spans="17:18">
      <c r="Q1567">
        <v>1566</v>
      </c>
      <c r="R1567">
        <v>12</v>
      </c>
    </row>
    <row r="1568" spans="17:18">
      <c r="Q1568">
        <v>1567</v>
      </c>
      <c r="R1568">
        <v>12</v>
      </c>
    </row>
    <row r="1569" spans="17:18">
      <c r="Q1569">
        <v>1568</v>
      </c>
      <c r="R1569">
        <v>12</v>
      </c>
    </row>
    <row r="1570" spans="17:18">
      <c r="Q1570">
        <v>1569</v>
      </c>
      <c r="R1570">
        <v>13</v>
      </c>
    </row>
    <row r="1571" spans="17:18">
      <c r="Q1571">
        <v>1570</v>
      </c>
      <c r="R1571">
        <v>16</v>
      </c>
    </row>
    <row r="1572" spans="17:18">
      <c r="Q1572">
        <v>1571</v>
      </c>
      <c r="R1572">
        <v>18</v>
      </c>
    </row>
    <row r="1573" spans="17:18">
      <c r="Q1573">
        <v>1572</v>
      </c>
      <c r="R1573">
        <v>10</v>
      </c>
    </row>
    <row r="1574" spans="17:18">
      <c r="Q1574">
        <v>1573</v>
      </c>
      <c r="R1574">
        <v>14</v>
      </c>
    </row>
    <row r="1575" spans="17:18">
      <c r="Q1575">
        <v>1574</v>
      </c>
      <c r="R1575">
        <v>13</v>
      </c>
    </row>
    <row r="1576" spans="17:18">
      <c r="Q1576">
        <v>1575</v>
      </c>
      <c r="R1576">
        <v>14</v>
      </c>
    </row>
    <row r="1577" spans="17:18">
      <c r="Q1577">
        <v>1576</v>
      </c>
      <c r="R1577">
        <v>20</v>
      </c>
    </row>
    <row r="1578" spans="17:18">
      <c r="Q1578">
        <v>1577</v>
      </c>
      <c r="R1578">
        <v>14</v>
      </c>
    </row>
    <row r="1579" spans="17:18">
      <c r="Q1579">
        <v>1578</v>
      </c>
      <c r="R1579">
        <v>11</v>
      </c>
    </row>
    <row r="1580" spans="17:18">
      <c r="Q1580">
        <v>1579</v>
      </c>
      <c r="R1580">
        <v>18</v>
      </c>
    </row>
    <row r="1581" spans="17:18">
      <c r="Q1581">
        <v>1580</v>
      </c>
      <c r="R1581">
        <v>12</v>
      </c>
    </row>
    <row r="1582" spans="17:18">
      <c r="Q1582">
        <v>1581</v>
      </c>
      <c r="R1582">
        <v>13</v>
      </c>
    </row>
    <row r="1583" spans="17:18">
      <c r="Q1583">
        <v>1582</v>
      </c>
      <c r="R1583">
        <v>11</v>
      </c>
    </row>
    <row r="1584" spans="17:18">
      <c r="Q1584">
        <v>1583</v>
      </c>
      <c r="R1584">
        <v>11</v>
      </c>
    </row>
    <row r="1585" spans="17:18">
      <c r="Q1585">
        <v>1584</v>
      </c>
      <c r="R1585">
        <v>12</v>
      </c>
    </row>
    <row r="1586" spans="17:18">
      <c r="Q1586">
        <v>1585</v>
      </c>
      <c r="R1586">
        <v>14</v>
      </c>
    </row>
    <row r="1587" spans="17:18">
      <c r="Q1587">
        <v>1586</v>
      </c>
      <c r="R1587">
        <v>12</v>
      </c>
    </row>
    <row r="1588" spans="17:18">
      <c r="Q1588">
        <v>1587</v>
      </c>
      <c r="R1588">
        <v>10</v>
      </c>
    </row>
    <row r="1589" spans="17:18">
      <c r="Q1589">
        <v>1588</v>
      </c>
      <c r="R1589">
        <v>18</v>
      </c>
    </row>
    <row r="1590" spans="17:18">
      <c r="Q1590">
        <v>1589</v>
      </c>
      <c r="R1590">
        <v>10</v>
      </c>
    </row>
    <row r="1591" spans="17:18">
      <c r="Q1591">
        <v>1590</v>
      </c>
      <c r="R1591">
        <v>12</v>
      </c>
    </row>
    <row r="1592" spans="17:18">
      <c r="Q1592">
        <v>1591</v>
      </c>
      <c r="R1592">
        <v>13</v>
      </c>
    </row>
    <row r="1593" spans="17:18">
      <c r="Q1593">
        <v>1592</v>
      </c>
      <c r="R1593">
        <v>10</v>
      </c>
    </row>
    <row r="1594" spans="17:18">
      <c r="Q1594">
        <v>1593</v>
      </c>
      <c r="R1594">
        <v>12</v>
      </c>
    </row>
    <row r="1595" spans="17:18">
      <c r="Q1595">
        <v>1594</v>
      </c>
      <c r="R1595">
        <v>11</v>
      </c>
    </row>
    <row r="1596" spans="17:18">
      <c r="Q1596">
        <v>1595</v>
      </c>
      <c r="R1596">
        <v>13</v>
      </c>
    </row>
    <row r="1597" spans="17:18">
      <c r="Q1597">
        <v>1596</v>
      </c>
      <c r="R1597">
        <v>12</v>
      </c>
    </row>
    <row r="1598" spans="17:18">
      <c r="Q1598">
        <v>1597</v>
      </c>
      <c r="R1598">
        <v>11</v>
      </c>
    </row>
    <row r="1599" spans="17:18">
      <c r="Q1599">
        <v>1598</v>
      </c>
      <c r="R1599">
        <v>10</v>
      </c>
    </row>
    <row r="1600" spans="17:18">
      <c r="Q1600">
        <v>1599</v>
      </c>
      <c r="R1600">
        <v>14</v>
      </c>
    </row>
    <row r="1601" spans="17:18">
      <c r="Q1601">
        <v>1600</v>
      </c>
      <c r="R1601">
        <v>11</v>
      </c>
    </row>
    <row r="1602" spans="17:18">
      <c r="Q1602">
        <v>1601</v>
      </c>
      <c r="R1602">
        <v>11</v>
      </c>
    </row>
    <row r="1603" spans="17:18">
      <c r="Q1603">
        <v>1602</v>
      </c>
      <c r="R1603">
        <v>11</v>
      </c>
    </row>
    <row r="1604" spans="17:18">
      <c r="Q1604">
        <v>1603</v>
      </c>
      <c r="R1604">
        <v>12</v>
      </c>
    </row>
    <row r="1605" spans="17:18">
      <c r="Q1605">
        <v>1604</v>
      </c>
      <c r="R1605">
        <v>12</v>
      </c>
    </row>
    <row r="1606" spans="17:18">
      <c r="Q1606">
        <v>1605</v>
      </c>
      <c r="R1606">
        <v>13</v>
      </c>
    </row>
    <row r="1607" spans="17:18">
      <c r="Q1607">
        <v>1606</v>
      </c>
      <c r="R1607">
        <v>16</v>
      </c>
    </row>
    <row r="1608" spans="17:18">
      <c r="Q1608">
        <v>1607</v>
      </c>
      <c r="R1608">
        <v>13</v>
      </c>
    </row>
    <row r="1609" spans="17:18">
      <c r="Q1609">
        <v>1608</v>
      </c>
      <c r="R1609">
        <v>14</v>
      </c>
    </row>
    <row r="1610" spans="17:18">
      <c r="Q1610">
        <v>1609</v>
      </c>
      <c r="R1610">
        <v>10</v>
      </c>
    </row>
    <row r="1611" spans="17:18">
      <c r="Q1611">
        <v>1610</v>
      </c>
      <c r="R1611">
        <v>12</v>
      </c>
    </row>
    <row r="1612" spans="17:18">
      <c r="Q1612">
        <v>1611</v>
      </c>
      <c r="R1612">
        <v>11</v>
      </c>
    </row>
    <row r="1613" spans="17:18">
      <c r="Q1613">
        <v>1612</v>
      </c>
      <c r="R1613">
        <v>10</v>
      </c>
    </row>
    <row r="1614" spans="17:18">
      <c r="Q1614">
        <v>1613</v>
      </c>
      <c r="R1614">
        <v>11</v>
      </c>
    </row>
    <row r="1615" spans="17:18">
      <c r="Q1615">
        <v>1614</v>
      </c>
      <c r="R1615">
        <v>15</v>
      </c>
    </row>
    <row r="1616" spans="17:18">
      <c r="Q1616">
        <v>1615</v>
      </c>
      <c r="R1616">
        <v>12</v>
      </c>
    </row>
    <row r="1617" spans="17:18">
      <c r="Q1617">
        <v>1616</v>
      </c>
      <c r="R1617">
        <v>12</v>
      </c>
    </row>
    <row r="1618" spans="17:18">
      <c r="Q1618">
        <v>1617</v>
      </c>
      <c r="R1618">
        <v>12</v>
      </c>
    </row>
    <row r="1619" spans="17:18">
      <c r="Q1619">
        <v>1618</v>
      </c>
      <c r="R1619">
        <v>10</v>
      </c>
    </row>
    <row r="1620" spans="17:18">
      <c r="Q1620">
        <v>1619</v>
      </c>
      <c r="R1620">
        <v>12</v>
      </c>
    </row>
    <row r="1621" spans="17:18">
      <c r="Q1621">
        <v>1620</v>
      </c>
      <c r="R1621">
        <v>11</v>
      </c>
    </row>
    <row r="1622" spans="17:18">
      <c r="Q1622">
        <v>1621</v>
      </c>
      <c r="R1622">
        <v>12</v>
      </c>
    </row>
    <row r="1623" spans="17:18">
      <c r="Q1623">
        <v>1622</v>
      </c>
      <c r="R1623">
        <v>13</v>
      </c>
    </row>
    <row r="1624" spans="17:18">
      <c r="Q1624">
        <v>1623</v>
      </c>
      <c r="R1624">
        <v>13</v>
      </c>
    </row>
    <row r="1625" spans="17:18">
      <c r="Q1625">
        <v>1624</v>
      </c>
      <c r="R1625">
        <v>11</v>
      </c>
    </row>
    <row r="1626" spans="17:18">
      <c r="Q1626">
        <v>1625</v>
      </c>
      <c r="R1626">
        <v>10</v>
      </c>
    </row>
    <row r="1627" spans="17:18">
      <c r="Q1627">
        <v>1626</v>
      </c>
      <c r="R1627">
        <v>14</v>
      </c>
    </row>
    <row r="1628" spans="17:18">
      <c r="Q1628">
        <v>1627</v>
      </c>
      <c r="R1628">
        <v>12</v>
      </c>
    </row>
    <row r="1629" spans="17:18">
      <c r="Q1629">
        <v>1628</v>
      </c>
      <c r="R1629">
        <v>12</v>
      </c>
    </row>
    <row r="1630" spans="17:18">
      <c r="Q1630">
        <v>1629</v>
      </c>
      <c r="R1630">
        <v>11</v>
      </c>
    </row>
    <row r="1631" spans="17:18">
      <c r="Q1631">
        <v>1630</v>
      </c>
      <c r="R1631">
        <v>18</v>
      </c>
    </row>
    <row r="1632" spans="17:18">
      <c r="Q1632">
        <v>1631</v>
      </c>
      <c r="R1632">
        <v>12</v>
      </c>
    </row>
    <row r="1633" spans="17:18">
      <c r="Q1633">
        <v>1632</v>
      </c>
      <c r="R1633">
        <v>13</v>
      </c>
    </row>
    <row r="1634" spans="17:18">
      <c r="Q1634">
        <v>1633</v>
      </c>
      <c r="R1634">
        <v>15</v>
      </c>
    </row>
    <row r="1635" spans="17:18">
      <c r="Q1635">
        <v>1634</v>
      </c>
      <c r="R1635">
        <v>11</v>
      </c>
    </row>
    <row r="1636" spans="17:18">
      <c r="Q1636">
        <v>1635</v>
      </c>
      <c r="R1636">
        <v>11</v>
      </c>
    </row>
    <row r="1637" spans="17:18">
      <c r="Q1637">
        <v>1636</v>
      </c>
      <c r="R1637">
        <v>14</v>
      </c>
    </row>
    <row r="1638" spans="17:18">
      <c r="Q1638">
        <v>1637</v>
      </c>
      <c r="R1638">
        <v>13</v>
      </c>
    </row>
    <row r="1639" spans="17:18">
      <c r="Q1639">
        <v>1638</v>
      </c>
      <c r="R1639">
        <v>10</v>
      </c>
    </row>
    <row r="1640" spans="17:18">
      <c r="Q1640">
        <v>1639</v>
      </c>
      <c r="R1640">
        <v>12</v>
      </c>
    </row>
    <row r="1641" spans="17:18">
      <c r="Q1641">
        <v>1640</v>
      </c>
      <c r="R1641">
        <v>12</v>
      </c>
    </row>
    <row r="1642" spans="17:18">
      <c r="Q1642">
        <v>1641</v>
      </c>
      <c r="R1642">
        <v>19</v>
      </c>
    </row>
    <row r="1643" spans="17:18">
      <c r="Q1643">
        <v>1642</v>
      </c>
      <c r="R1643">
        <v>14</v>
      </c>
    </row>
    <row r="1644" spans="17:18">
      <c r="Q1644">
        <v>1643</v>
      </c>
      <c r="R1644">
        <v>12</v>
      </c>
    </row>
    <row r="1645" spans="17:18">
      <c r="Q1645">
        <v>1644</v>
      </c>
      <c r="R1645">
        <v>11</v>
      </c>
    </row>
    <row r="1646" spans="17:18">
      <c r="Q1646">
        <v>1645</v>
      </c>
      <c r="R1646">
        <v>18</v>
      </c>
    </row>
    <row r="1647" spans="17:18">
      <c r="Q1647">
        <v>1646</v>
      </c>
      <c r="R1647">
        <v>11</v>
      </c>
    </row>
    <row r="1648" spans="17:18">
      <c r="Q1648">
        <v>1647</v>
      </c>
      <c r="R1648">
        <v>12</v>
      </c>
    </row>
    <row r="1649" spans="17:18">
      <c r="Q1649">
        <v>1648</v>
      </c>
      <c r="R1649">
        <v>14</v>
      </c>
    </row>
    <row r="1650" spans="17:18">
      <c r="Q1650">
        <v>1649</v>
      </c>
      <c r="R1650">
        <v>12</v>
      </c>
    </row>
    <row r="1651" spans="17:18">
      <c r="Q1651">
        <v>1650</v>
      </c>
      <c r="R1651">
        <v>10</v>
      </c>
    </row>
    <row r="1652" spans="17:18">
      <c r="Q1652">
        <v>1651</v>
      </c>
      <c r="R1652">
        <v>12</v>
      </c>
    </row>
    <row r="1653" spans="17:18">
      <c r="Q1653">
        <v>1652</v>
      </c>
      <c r="R1653">
        <v>14</v>
      </c>
    </row>
    <row r="1654" spans="17:18">
      <c r="Q1654">
        <v>1653</v>
      </c>
      <c r="R1654">
        <v>15</v>
      </c>
    </row>
    <row r="1655" spans="17:18">
      <c r="Q1655">
        <v>1654</v>
      </c>
      <c r="R1655">
        <v>11</v>
      </c>
    </row>
    <row r="1656" spans="17:18">
      <c r="Q1656">
        <v>1655</v>
      </c>
      <c r="R1656">
        <v>13</v>
      </c>
    </row>
    <row r="1657" spans="17:18">
      <c r="Q1657">
        <v>1656</v>
      </c>
      <c r="R1657">
        <v>11</v>
      </c>
    </row>
    <row r="1658" spans="17:18">
      <c r="Q1658">
        <v>1657</v>
      </c>
      <c r="R1658">
        <v>14</v>
      </c>
    </row>
    <row r="1659" spans="17:18">
      <c r="Q1659">
        <v>1658</v>
      </c>
      <c r="R1659">
        <v>12</v>
      </c>
    </row>
    <row r="1660" spans="17:18">
      <c r="Q1660">
        <v>1659</v>
      </c>
      <c r="R1660">
        <v>15</v>
      </c>
    </row>
    <row r="1661" spans="17:18">
      <c r="Q1661">
        <v>1660</v>
      </c>
      <c r="R1661">
        <v>11</v>
      </c>
    </row>
    <row r="1662" spans="17:18">
      <c r="Q1662">
        <v>1661</v>
      </c>
      <c r="R1662">
        <v>12</v>
      </c>
    </row>
    <row r="1663" spans="17:18">
      <c r="Q1663">
        <v>1662</v>
      </c>
      <c r="R1663">
        <v>13</v>
      </c>
    </row>
    <row r="1664" spans="17:18">
      <c r="Q1664">
        <v>1663</v>
      </c>
      <c r="R1664">
        <v>15</v>
      </c>
    </row>
    <row r="1665" spans="17:18">
      <c r="Q1665">
        <v>1664</v>
      </c>
      <c r="R1665">
        <v>11</v>
      </c>
    </row>
    <row r="1666" spans="17:18">
      <c r="Q1666">
        <v>1665</v>
      </c>
      <c r="R1666">
        <v>14</v>
      </c>
    </row>
    <row r="1667" spans="17:18">
      <c r="Q1667">
        <v>1666</v>
      </c>
      <c r="R1667">
        <v>18</v>
      </c>
    </row>
    <row r="1668" spans="17:18">
      <c r="Q1668">
        <v>1667</v>
      </c>
      <c r="R1668">
        <v>10</v>
      </c>
    </row>
    <row r="1669" spans="17:18">
      <c r="Q1669">
        <v>1668</v>
      </c>
      <c r="R1669">
        <v>13</v>
      </c>
    </row>
    <row r="1670" spans="17:18">
      <c r="Q1670">
        <v>1669</v>
      </c>
      <c r="R1670">
        <v>12</v>
      </c>
    </row>
    <row r="1671" spans="17:18">
      <c r="Q1671">
        <v>1670</v>
      </c>
      <c r="R1671">
        <v>15</v>
      </c>
    </row>
    <row r="1672" spans="17:18">
      <c r="Q1672">
        <v>1671</v>
      </c>
      <c r="R1672">
        <v>10</v>
      </c>
    </row>
    <row r="1673" spans="17:18">
      <c r="Q1673">
        <v>1672</v>
      </c>
      <c r="R1673">
        <v>10</v>
      </c>
    </row>
    <row r="1674" spans="17:18">
      <c r="Q1674">
        <v>1673</v>
      </c>
      <c r="R1674">
        <v>11</v>
      </c>
    </row>
    <row r="1675" spans="17:18">
      <c r="Q1675">
        <v>1674</v>
      </c>
      <c r="R1675">
        <v>12</v>
      </c>
    </row>
    <row r="1676" spans="17:18">
      <c r="Q1676">
        <v>1675</v>
      </c>
      <c r="R1676">
        <v>10</v>
      </c>
    </row>
    <row r="1677" spans="17:18">
      <c r="Q1677">
        <v>1676</v>
      </c>
      <c r="R1677">
        <v>11</v>
      </c>
    </row>
    <row r="1678" spans="17:18">
      <c r="Q1678">
        <v>1677</v>
      </c>
      <c r="R1678">
        <v>17</v>
      </c>
    </row>
    <row r="1679" spans="17:18">
      <c r="Q1679">
        <v>1678</v>
      </c>
      <c r="R1679">
        <v>15</v>
      </c>
    </row>
    <row r="1680" spans="17:18">
      <c r="Q1680">
        <v>1679</v>
      </c>
      <c r="R1680">
        <v>14</v>
      </c>
    </row>
    <row r="1681" spans="17:18">
      <c r="Q1681">
        <v>1680</v>
      </c>
      <c r="R1681">
        <v>11</v>
      </c>
    </row>
    <row r="1682" spans="17:18">
      <c r="Q1682">
        <v>1681</v>
      </c>
      <c r="R1682">
        <v>12</v>
      </c>
    </row>
    <row r="1683" spans="17:18">
      <c r="Q1683">
        <v>1682</v>
      </c>
      <c r="R1683">
        <v>13</v>
      </c>
    </row>
    <row r="1684" spans="17:18">
      <c r="Q1684">
        <v>1683</v>
      </c>
      <c r="R1684">
        <v>17</v>
      </c>
    </row>
    <row r="1685" spans="17:18">
      <c r="Q1685">
        <v>1684</v>
      </c>
      <c r="R1685">
        <v>13</v>
      </c>
    </row>
    <row r="1686" spans="17:18">
      <c r="Q1686">
        <v>1685</v>
      </c>
      <c r="R1686">
        <v>14</v>
      </c>
    </row>
    <row r="1687" spans="17:18">
      <c r="Q1687">
        <v>1686</v>
      </c>
      <c r="R1687">
        <v>14</v>
      </c>
    </row>
    <row r="1688" spans="17:18">
      <c r="Q1688">
        <v>1687</v>
      </c>
      <c r="R1688">
        <v>12</v>
      </c>
    </row>
    <row r="1689" spans="17:18">
      <c r="Q1689">
        <v>1688</v>
      </c>
      <c r="R1689">
        <v>13</v>
      </c>
    </row>
    <row r="1690" spans="17:18">
      <c r="Q1690">
        <v>1689</v>
      </c>
      <c r="R1690">
        <v>17</v>
      </c>
    </row>
    <row r="1691" spans="17:18">
      <c r="Q1691">
        <v>1690</v>
      </c>
      <c r="R1691">
        <v>11</v>
      </c>
    </row>
    <row r="1692" spans="17:18">
      <c r="Q1692">
        <v>1691</v>
      </c>
      <c r="R1692">
        <v>14</v>
      </c>
    </row>
    <row r="1693" spans="17:18">
      <c r="Q1693">
        <v>1692</v>
      </c>
      <c r="R1693">
        <v>13</v>
      </c>
    </row>
    <row r="1694" spans="17:18">
      <c r="Q1694">
        <v>1693</v>
      </c>
      <c r="R1694">
        <v>14</v>
      </c>
    </row>
    <row r="1695" spans="17:18">
      <c r="Q1695">
        <v>1694</v>
      </c>
      <c r="R1695">
        <v>15</v>
      </c>
    </row>
    <row r="1696" spans="17:18">
      <c r="Q1696">
        <v>1695</v>
      </c>
      <c r="R1696">
        <v>13</v>
      </c>
    </row>
    <row r="1697" spans="17:18">
      <c r="Q1697">
        <v>1696</v>
      </c>
      <c r="R1697">
        <v>10</v>
      </c>
    </row>
    <row r="1698" spans="17:18">
      <c r="Q1698">
        <v>1697</v>
      </c>
      <c r="R1698">
        <v>12</v>
      </c>
    </row>
    <row r="1699" spans="17:18">
      <c r="Q1699">
        <v>1698</v>
      </c>
      <c r="R1699">
        <v>12</v>
      </c>
    </row>
    <row r="1700" spans="17:18">
      <c r="Q1700">
        <v>1699</v>
      </c>
      <c r="R1700">
        <v>12</v>
      </c>
    </row>
    <row r="1701" spans="17:18">
      <c r="Q1701">
        <v>1700</v>
      </c>
      <c r="R1701">
        <v>11</v>
      </c>
    </row>
    <row r="1702" spans="17:18">
      <c r="Q1702">
        <v>1701</v>
      </c>
      <c r="R1702">
        <v>13</v>
      </c>
    </row>
    <row r="1703" spans="17:18">
      <c r="Q1703">
        <v>1702</v>
      </c>
      <c r="R1703">
        <v>10</v>
      </c>
    </row>
    <row r="1704" spans="17:18">
      <c r="Q1704">
        <v>1703</v>
      </c>
      <c r="R1704">
        <v>11</v>
      </c>
    </row>
    <row r="1705" spans="17:18">
      <c r="Q1705">
        <v>1704</v>
      </c>
      <c r="R1705">
        <v>10</v>
      </c>
    </row>
    <row r="1706" spans="17:18">
      <c r="Q1706">
        <v>1705</v>
      </c>
      <c r="R1706">
        <v>11</v>
      </c>
    </row>
    <row r="1707" spans="17:18">
      <c r="Q1707">
        <v>1706</v>
      </c>
      <c r="R1707">
        <v>11</v>
      </c>
    </row>
    <row r="1708" spans="17:18">
      <c r="Q1708">
        <v>1707</v>
      </c>
      <c r="R1708">
        <v>10</v>
      </c>
    </row>
    <row r="1709" spans="17:18">
      <c r="Q1709">
        <v>1708</v>
      </c>
      <c r="R1709">
        <v>11</v>
      </c>
    </row>
    <row r="1710" spans="17:18">
      <c r="Q1710">
        <v>1709</v>
      </c>
      <c r="R1710">
        <v>12</v>
      </c>
    </row>
    <row r="1711" spans="17:18">
      <c r="Q1711">
        <v>1710</v>
      </c>
      <c r="R1711">
        <v>14</v>
      </c>
    </row>
    <row r="1712" spans="17:18">
      <c r="Q1712">
        <v>1711</v>
      </c>
      <c r="R1712">
        <v>14</v>
      </c>
    </row>
    <row r="1713" spans="17:18">
      <c r="Q1713">
        <v>1712</v>
      </c>
      <c r="R1713">
        <v>9</v>
      </c>
    </row>
    <row r="1714" spans="17:18">
      <c r="Q1714">
        <v>1713</v>
      </c>
      <c r="R1714">
        <v>10</v>
      </c>
    </row>
    <row r="1715" spans="17:18">
      <c r="Q1715">
        <v>1714</v>
      </c>
      <c r="R1715">
        <v>12</v>
      </c>
    </row>
    <row r="1716" spans="17:18">
      <c r="Q1716">
        <v>1715</v>
      </c>
      <c r="R1716">
        <v>10</v>
      </c>
    </row>
    <row r="1717" spans="17:18">
      <c r="Q1717">
        <v>1716</v>
      </c>
      <c r="R1717">
        <v>11</v>
      </c>
    </row>
    <row r="1718" spans="17:18">
      <c r="Q1718">
        <v>1717</v>
      </c>
      <c r="R1718">
        <v>13</v>
      </c>
    </row>
    <row r="1719" spans="17:18">
      <c r="Q1719">
        <v>1718</v>
      </c>
      <c r="R1719">
        <v>11</v>
      </c>
    </row>
    <row r="1720" spans="17:18">
      <c r="Q1720">
        <v>1719</v>
      </c>
      <c r="R1720">
        <v>10</v>
      </c>
    </row>
    <row r="1721" spans="17:18">
      <c r="Q1721">
        <v>1720</v>
      </c>
      <c r="R1721">
        <v>16</v>
      </c>
    </row>
    <row r="1722" spans="17:18">
      <c r="Q1722">
        <v>1721</v>
      </c>
      <c r="R1722">
        <v>15</v>
      </c>
    </row>
    <row r="1723" spans="17:18">
      <c r="Q1723">
        <v>1722</v>
      </c>
      <c r="R1723">
        <v>11</v>
      </c>
    </row>
    <row r="1724" spans="17:18">
      <c r="Q1724">
        <v>1723</v>
      </c>
      <c r="R1724">
        <v>11</v>
      </c>
    </row>
    <row r="1725" spans="17:18">
      <c r="Q1725">
        <v>1724</v>
      </c>
      <c r="R1725">
        <v>12</v>
      </c>
    </row>
    <row r="1726" spans="17:18">
      <c r="Q1726">
        <v>1725</v>
      </c>
      <c r="R1726">
        <v>10</v>
      </c>
    </row>
    <row r="1727" spans="17:18">
      <c r="Q1727">
        <v>1726</v>
      </c>
      <c r="R1727">
        <v>11</v>
      </c>
    </row>
    <row r="1728" spans="17:18">
      <c r="Q1728">
        <v>1727</v>
      </c>
      <c r="R1728">
        <v>11</v>
      </c>
    </row>
    <row r="1729" spans="17:18">
      <c r="Q1729">
        <v>1728</v>
      </c>
      <c r="R1729">
        <v>17</v>
      </c>
    </row>
    <row r="1730" spans="17:18">
      <c r="Q1730">
        <v>1729</v>
      </c>
      <c r="R1730">
        <v>11</v>
      </c>
    </row>
    <row r="1731" spans="17:18">
      <c r="Q1731">
        <v>1730</v>
      </c>
      <c r="R1731">
        <v>15</v>
      </c>
    </row>
    <row r="1732" spans="17:18">
      <c r="Q1732">
        <v>1731</v>
      </c>
      <c r="R1732">
        <v>13</v>
      </c>
    </row>
    <row r="1733" spans="17:18">
      <c r="Q1733">
        <v>1732</v>
      </c>
      <c r="R1733">
        <v>13</v>
      </c>
    </row>
    <row r="1734" spans="17:18">
      <c r="Q1734">
        <v>1733</v>
      </c>
      <c r="R1734">
        <v>13</v>
      </c>
    </row>
    <row r="1735" spans="17:18">
      <c r="Q1735">
        <v>1734</v>
      </c>
      <c r="R1735">
        <v>9</v>
      </c>
    </row>
    <row r="1736" spans="17:18">
      <c r="Q1736">
        <v>1735</v>
      </c>
      <c r="R1736">
        <v>18</v>
      </c>
    </row>
    <row r="1737" spans="17:18">
      <c r="Q1737">
        <v>1736</v>
      </c>
      <c r="R1737">
        <v>12</v>
      </c>
    </row>
    <row r="1738" spans="17:18">
      <c r="Q1738">
        <v>1737</v>
      </c>
      <c r="R1738">
        <v>12</v>
      </c>
    </row>
    <row r="1739" spans="17:18">
      <c r="Q1739">
        <v>1738</v>
      </c>
      <c r="R1739">
        <v>14</v>
      </c>
    </row>
    <row r="1740" spans="17:18">
      <c r="Q1740">
        <v>1739</v>
      </c>
      <c r="R1740">
        <v>11</v>
      </c>
    </row>
    <row r="1741" spans="17:18">
      <c r="Q1741">
        <v>1740</v>
      </c>
      <c r="R1741">
        <v>12</v>
      </c>
    </row>
    <row r="1742" spans="17:18">
      <c r="Q1742">
        <v>1741</v>
      </c>
      <c r="R1742">
        <v>11</v>
      </c>
    </row>
    <row r="1743" spans="17:18">
      <c r="Q1743">
        <v>1742</v>
      </c>
      <c r="R1743">
        <v>14</v>
      </c>
    </row>
    <row r="1744" spans="17:18">
      <c r="Q1744">
        <v>1743</v>
      </c>
      <c r="R1744">
        <v>9</v>
      </c>
    </row>
    <row r="1745" spans="17:18">
      <c r="Q1745">
        <v>1744</v>
      </c>
      <c r="R1745">
        <v>9</v>
      </c>
    </row>
    <row r="1746" spans="17:18">
      <c r="Q1746">
        <v>1745</v>
      </c>
      <c r="R1746">
        <v>12</v>
      </c>
    </row>
    <row r="1747" spans="17:18">
      <c r="Q1747">
        <v>1746</v>
      </c>
      <c r="R1747">
        <v>13</v>
      </c>
    </row>
    <row r="1748" spans="17:18">
      <c r="Q1748">
        <v>1747</v>
      </c>
      <c r="R1748">
        <v>13</v>
      </c>
    </row>
    <row r="1749" spans="17:18">
      <c r="Q1749">
        <v>1748</v>
      </c>
      <c r="R1749">
        <v>9</v>
      </c>
    </row>
    <row r="1750" spans="17:18">
      <c r="Q1750">
        <v>1749</v>
      </c>
      <c r="R1750">
        <v>11</v>
      </c>
    </row>
    <row r="1751" spans="17:18">
      <c r="Q1751">
        <v>1750</v>
      </c>
      <c r="R1751">
        <v>11</v>
      </c>
    </row>
    <row r="1752" spans="17:18">
      <c r="Q1752">
        <v>1751</v>
      </c>
      <c r="R1752">
        <v>15</v>
      </c>
    </row>
    <row r="1753" spans="17:18">
      <c r="Q1753">
        <v>1752</v>
      </c>
      <c r="R1753">
        <v>11</v>
      </c>
    </row>
    <row r="1754" spans="17:18">
      <c r="Q1754">
        <v>1753</v>
      </c>
      <c r="R1754">
        <v>10</v>
      </c>
    </row>
    <row r="1755" spans="17:18">
      <c r="Q1755">
        <v>1754</v>
      </c>
      <c r="R1755">
        <v>12</v>
      </c>
    </row>
    <row r="1756" spans="17:18">
      <c r="Q1756">
        <v>1755</v>
      </c>
      <c r="R1756">
        <v>10</v>
      </c>
    </row>
    <row r="1757" spans="17:18">
      <c r="Q1757">
        <v>1756</v>
      </c>
      <c r="R1757">
        <v>12</v>
      </c>
    </row>
    <row r="1758" spans="17:18">
      <c r="Q1758">
        <v>1757</v>
      </c>
      <c r="R1758">
        <v>12</v>
      </c>
    </row>
    <row r="1759" spans="17:18">
      <c r="Q1759">
        <v>1758</v>
      </c>
      <c r="R1759">
        <v>11</v>
      </c>
    </row>
    <row r="1760" spans="17:18">
      <c r="Q1760">
        <v>1759</v>
      </c>
      <c r="R1760">
        <v>11</v>
      </c>
    </row>
    <row r="1761" spans="17:18">
      <c r="Q1761">
        <v>1760</v>
      </c>
      <c r="R1761">
        <v>11</v>
      </c>
    </row>
    <row r="1762" spans="17:18">
      <c r="Q1762">
        <v>1761</v>
      </c>
      <c r="R1762">
        <v>14</v>
      </c>
    </row>
    <row r="1763" spans="17:18">
      <c r="Q1763">
        <v>1762</v>
      </c>
      <c r="R1763">
        <v>16</v>
      </c>
    </row>
    <row r="1764" spans="17:18">
      <c r="Q1764">
        <v>1763</v>
      </c>
      <c r="R1764">
        <v>13</v>
      </c>
    </row>
    <row r="1765" spans="17:18">
      <c r="Q1765">
        <v>1764</v>
      </c>
      <c r="R1765">
        <v>20</v>
      </c>
    </row>
    <row r="1766" spans="17:18">
      <c r="Q1766">
        <v>1765</v>
      </c>
      <c r="R1766">
        <v>14</v>
      </c>
    </row>
    <row r="1767" spans="17:18">
      <c r="Q1767">
        <v>1766</v>
      </c>
      <c r="R1767">
        <v>12</v>
      </c>
    </row>
    <row r="1768" spans="17:18">
      <c r="Q1768">
        <v>1767</v>
      </c>
      <c r="R1768">
        <v>12</v>
      </c>
    </row>
    <row r="1769" spans="17:18">
      <c r="Q1769">
        <v>1768</v>
      </c>
      <c r="R1769">
        <v>13</v>
      </c>
    </row>
    <row r="1770" spans="17:18">
      <c r="Q1770">
        <v>1769</v>
      </c>
      <c r="R1770">
        <v>10</v>
      </c>
    </row>
    <row r="1771" spans="17:18">
      <c r="Q1771">
        <v>1770</v>
      </c>
      <c r="R1771">
        <v>12</v>
      </c>
    </row>
    <row r="1772" spans="17:18">
      <c r="Q1772">
        <v>1771</v>
      </c>
      <c r="R1772">
        <v>12</v>
      </c>
    </row>
    <row r="1773" spans="17:18">
      <c r="Q1773">
        <v>1772</v>
      </c>
      <c r="R1773">
        <v>11</v>
      </c>
    </row>
    <row r="1774" spans="17:18">
      <c r="Q1774">
        <v>1773</v>
      </c>
      <c r="R1774">
        <v>15</v>
      </c>
    </row>
    <row r="1775" spans="17:18">
      <c r="Q1775">
        <v>1774</v>
      </c>
      <c r="R1775">
        <v>12</v>
      </c>
    </row>
    <row r="1776" spans="17:18">
      <c r="Q1776">
        <v>1775</v>
      </c>
      <c r="R1776">
        <v>14</v>
      </c>
    </row>
    <row r="1777" spans="17:18">
      <c r="Q1777">
        <v>1776</v>
      </c>
      <c r="R1777">
        <v>13</v>
      </c>
    </row>
    <row r="1778" spans="17:18">
      <c r="Q1778">
        <v>1777</v>
      </c>
      <c r="R1778">
        <v>11</v>
      </c>
    </row>
    <row r="1779" spans="17:18">
      <c r="Q1779">
        <v>1778</v>
      </c>
      <c r="R1779">
        <v>13</v>
      </c>
    </row>
    <row r="1780" spans="17:18">
      <c r="Q1780">
        <v>1779</v>
      </c>
      <c r="R1780">
        <v>13</v>
      </c>
    </row>
    <row r="1781" spans="17:18">
      <c r="Q1781">
        <v>1780</v>
      </c>
      <c r="R1781">
        <v>14</v>
      </c>
    </row>
    <row r="1782" spans="17:18">
      <c r="Q1782">
        <v>1781</v>
      </c>
      <c r="R1782">
        <v>11</v>
      </c>
    </row>
    <row r="1783" spans="17:18">
      <c r="Q1783">
        <v>1782</v>
      </c>
      <c r="R1783">
        <v>11</v>
      </c>
    </row>
    <row r="1784" spans="17:18">
      <c r="Q1784">
        <v>1783</v>
      </c>
      <c r="R1784">
        <v>9</v>
      </c>
    </row>
    <row r="1785" spans="17:18">
      <c r="Q1785">
        <v>1784</v>
      </c>
      <c r="R1785">
        <v>19</v>
      </c>
    </row>
    <row r="1786" spans="17:18">
      <c r="Q1786">
        <v>1785</v>
      </c>
      <c r="R1786">
        <v>12</v>
      </c>
    </row>
    <row r="1787" spans="17:18">
      <c r="Q1787">
        <v>1786</v>
      </c>
      <c r="R1787">
        <v>14</v>
      </c>
    </row>
    <row r="1788" spans="17:18">
      <c r="Q1788">
        <v>1787</v>
      </c>
      <c r="R1788">
        <v>10</v>
      </c>
    </row>
    <row r="1789" spans="17:18">
      <c r="Q1789">
        <v>1788</v>
      </c>
      <c r="R1789">
        <v>15</v>
      </c>
    </row>
    <row r="1790" spans="17:18">
      <c r="Q1790">
        <v>1789</v>
      </c>
      <c r="R1790">
        <v>12</v>
      </c>
    </row>
    <row r="1791" spans="17:18">
      <c r="Q1791">
        <v>1790</v>
      </c>
      <c r="R1791">
        <v>12</v>
      </c>
    </row>
    <row r="1792" spans="17:18">
      <c r="Q1792">
        <v>1791</v>
      </c>
      <c r="R1792">
        <v>19</v>
      </c>
    </row>
    <row r="1793" spans="17:18">
      <c r="Q1793">
        <v>1792</v>
      </c>
      <c r="R1793">
        <v>12</v>
      </c>
    </row>
    <row r="1794" spans="17:18">
      <c r="Q1794">
        <v>1793</v>
      </c>
      <c r="R1794">
        <v>11</v>
      </c>
    </row>
    <row r="1795" spans="17:18">
      <c r="Q1795">
        <v>1794</v>
      </c>
      <c r="R1795">
        <v>10</v>
      </c>
    </row>
    <row r="1796" spans="17:18">
      <c r="Q1796">
        <v>1795</v>
      </c>
      <c r="R1796">
        <v>12</v>
      </c>
    </row>
    <row r="1797" spans="17:18">
      <c r="Q1797">
        <v>1796</v>
      </c>
      <c r="R1797">
        <v>13</v>
      </c>
    </row>
    <row r="1798" spans="17:18">
      <c r="Q1798">
        <v>1797</v>
      </c>
      <c r="R1798">
        <v>15</v>
      </c>
    </row>
    <row r="1799" spans="17:18">
      <c r="Q1799">
        <v>1798</v>
      </c>
      <c r="R1799">
        <v>10</v>
      </c>
    </row>
    <row r="1800" spans="17:18">
      <c r="Q1800">
        <v>1799</v>
      </c>
      <c r="R1800">
        <v>12</v>
      </c>
    </row>
    <row r="1801" spans="17:18">
      <c r="Q1801">
        <v>1800</v>
      </c>
      <c r="R1801">
        <v>10</v>
      </c>
    </row>
    <row r="1802" spans="17:18">
      <c r="Q1802">
        <v>1801</v>
      </c>
      <c r="R1802">
        <v>16</v>
      </c>
    </row>
    <row r="1803" spans="17:18">
      <c r="Q1803">
        <v>1802</v>
      </c>
      <c r="R1803">
        <v>12</v>
      </c>
    </row>
    <row r="1804" spans="17:18">
      <c r="Q1804">
        <v>1803</v>
      </c>
      <c r="R1804">
        <v>13</v>
      </c>
    </row>
    <row r="1805" spans="17:18">
      <c r="Q1805">
        <v>1804</v>
      </c>
      <c r="R1805">
        <v>15</v>
      </c>
    </row>
    <row r="1806" spans="17:18">
      <c r="Q1806">
        <v>1805</v>
      </c>
      <c r="R1806">
        <v>16</v>
      </c>
    </row>
    <row r="1807" spans="17:18">
      <c r="Q1807">
        <v>1806</v>
      </c>
      <c r="R1807">
        <v>10</v>
      </c>
    </row>
    <row r="1808" spans="17:18">
      <c r="Q1808">
        <v>1807</v>
      </c>
      <c r="R1808">
        <v>11</v>
      </c>
    </row>
    <row r="1809" spans="17:18">
      <c r="Q1809">
        <v>1808</v>
      </c>
      <c r="R1809">
        <v>12</v>
      </c>
    </row>
    <row r="1810" spans="17:18">
      <c r="Q1810">
        <v>1809</v>
      </c>
      <c r="R1810">
        <v>11</v>
      </c>
    </row>
    <row r="1811" spans="17:18">
      <c r="Q1811">
        <v>1810</v>
      </c>
      <c r="R1811">
        <v>15</v>
      </c>
    </row>
    <row r="1812" spans="17:18">
      <c r="Q1812">
        <v>1811</v>
      </c>
      <c r="R1812">
        <v>18</v>
      </c>
    </row>
    <row r="1813" spans="17:18">
      <c r="Q1813">
        <v>1812</v>
      </c>
      <c r="R1813">
        <v>14</v>
      </c>
    </row>
    <row r="1814" spans="17:18">
      <c r="Q1814">
        <v>1813</v>
      </c>
      <c r="R1814">
        <v>13</v>
      </c>
    </row>
    <row r="1815" spans="17:18">
      <c r="Q1815">
        <v>1814</v>
      </c>
      <c r="R1815">
        <v>11</v>
      </c>
    </row>
    <row r="1816" spans="17:18">
      <c r="Q1816">
        <v>1815</v>
      </c>
      <c r="R1816">
        <v>11</v>
      </c>
    </row>
    <row r="1817" spans="17:18">
      <c r="Q1817">
        <v>1816</v>
      </c>
      <c r="R1817">
        <v>14</v>
      </c>
    </row>
    <row r="1818" spans="17:18">
      <c r="Q1818">
        <v>1817</v>
      </c>
      <c r="R1818">
        <v>11</v>
      </c>
    </row>
    <row r="1819" spans="17:18">
      <c r="Q1819">
        <v>1818</v>
      </c>
      <c r="R1819">
        <v>11</v>
      </c>
    </row>
    <row r="1820" spans="17:18">
      <c r="Q1820">
        <v>1819</v>
      </c>
      <c r="R1820">
        <v>10</v>
      </c>
    </row>
    <row r="1821" spans="17:18">
      <c r="Q1821">
        <v>1820</v>
      </c>
      <c r="R1821">
        <v>9</v>
      </c>
    </row>
    <row r="1822" spans="17:18">
      <c r="Q1822">
        <v>1821</v>
      </c>
      <c r="R1822">
        <v>16</v>
      </c>
    </row>
    <row r="1823" spans="17:18">
      <c r="Q1823">
        <v>1822</v>
      </c>
      <c r="R1823">
        <v>12</v>
      </c>
    </row>
    <row r="1824" spans="17:18">
      <c r="Q1824">
        <v>1823</v>
      </c>
      <c r="R1824">
        <v>18</v>
      </c>
    </row>
    <row r="1825" spans="17:18">
      <c r="Q1825">
        <v>1824</v>
      </c>
      <c r="R1825">
        <v>14</v>
      </c>
    </row>
    <row r="1826" spans="17:18">
      <c r="Q1826">
        <v>1825</v>
      </c>
      <c r="R1826">
        <v>10</v>
      </c>
    </row>
    <row r="1827" spans="17:18">
      <c r="Q1827">
        <v>1826</v>
      </c>
      <c r="R1827">
        <v>14</v>
      </c>
    </row>
    <row r="1828" spans="17:18">
      <c r="Q1828">
        <v>1827</v>
      </c>
      <c r="R1828">
        <v>11</v>
      </c>
    </row>
    <row r="1829" spans="17:18">
      <c r="Q1829">
        <v>1828</v>
      </c>
      <c r="R1829">
        <v>12</v>
      </c>
    </row>
    <row r="1830" spans="17:18">
      <c r="Q1830">
        <v>1829</v>
      </c>
      <c r="R1830">
        <v>14</v>
      </c>
    </row>
    <row r="1831" spans="17:18">
      <c r="Q1831">
        <v>1830</v>
      </c>
      <c r="R1831">
        <v>11</v>
      </c>
    </row>
    <row r="1832" spans="17:18">
      <c r="Q1832">
        <v>1831</v>
      </c>
      <c r="R1832">
        <v>12</v>
      </c>
    </row>
    <row r="1833" spans="17:18">
      <c r="Q1833">
        <v>1832</v>
      </c>
      <c r="R1833">
        <v>13</v>
      </c>
    </row>
    <row r="1834" spans="17:18">
      <c r="Q1834">
        <v>1833</v>
      </c>
      <c r="R1834">
        <v>11</v>
      </c>
    </row>
    <row r="1835" spans="17:18">
      <c r="Q1835">
        <v>1834</v>
      </c>
      <c r="R1835">
        <v>19</v>
      </c>
    </row>
    <row r="1836" spans="17:18">
      <c r="Q1836">
        <v>1835</v>
      </c>
      <c r="R1836">
        <v>10</v>
      </c>
    </row>
    <row r="1837" spans="17:18">
      <c r="Q1837">
        <v>1836</v>
      </c>
      <c r="R1837">
        <v>9</v>
      </c>
    </row>
    <row r="1838" spans="17:18">
      <c r="Q1838">
        <v>1837</v>
      </c>
      <c r="R1838">
        <v>11</v>
      </c>
    </row>
    <row r="1839" spans="17:18">
      <c r="Q1839">
        <v>1838</v>
      </c>
      <c r="R1839">
        <v>12</v>
      </c>
    </row>
    <row r="1840" spans="17:18">
      <c r="Q1840">
        <v>1839</v>
      </c>
      <c r="R1840">
        <v>10</v>
      </c>
    </row>
    <row r="1841" spans="17:18">
      <c r="Q1841">
        <v>1840</v>
      </c>
      <c r="R1841">
        <v>13</v>
      </c>
    </row>
    <row r="1842" spans="17:18">
      <c r="Q1842">
        <v>1841</v>
      </c>
      <c r="R1842">
        <v>12</v>
      </c>
    </row>
    <row r="1843" spans="17:18">
      <c r="Q1843">
        <v>1842</v>
      </c>
      <c r="R1843">
        <v>19</v>
      </c>
    </row>
    <row r="1844" spans="17:18">
      <c r="Q1844">
        <v>1843</v>
      </c>
      <c r="R1844">
        <v>13</v>
      </c>
    </row>
    <row r="1845" spans="17:18">
      <c r="Q1845">
        <v>1844</v>
      </c>
      <c r="R1845">
        <v>13</v>
      </c>
    </row>
    <row r="1846" spans="17:18">
      <c r="Q1846">
        <v>1845</v>
      </c>
      <c r="R1846">
        <v>13</v>
      </c>
    </row>
    <row r="1847" spans="17:18">
      <c r="Q1847">
        <v>1846</v>
      </c>
      <c r="R1847">
        <v>13</v>
      </c>
    </row>
    <row r="1848" spans="17:18">
      <c r="Q1848">
        <v>1847</v>
      </c>
      <c r="R1848">
        <v>10</v>
      </c>
    </row>
    <row r="1849" spans="17:18">
      <c r="Q1849">
        <v>1848</v>
      </c>
      <c r="R1849">
        <v>11</v>
      </c>
    </row>
    <row r="1850" spans="17:18">
      <c r="Q1850">
        <v>1849</v>
      </c>
      <c r="R1850">
        <v>14</v>
      </c>
    </row>
    <row r="1851" spans="17:18">
      <c r="Q1851">
        <v>1850</v>
      </c>
      <c r="R1851">
        <v>13</v>
      </c>
    </row>
    <row r="1852" spans="17:18">
      <c r="Q1852">
        <v>1851</v>
      </c>
      <c r="R1852">
        <v>12</v>
      </c>
    </row>
    <row r="1853" spans="17:18">
      <c r="Q1853">
        <v>1852</v>
      </c>
      <c r="R1853">
        <v>14</v>
      </c>
    </row>
    <row r="1854" spans="17:18">
      <c r="Q1854">
        <v>1853</v>
      </c>
      <c r="R1854">
        <v>15</v>
      </c>
    </row>
    <row r="1855" spans="17:18">
      <c r="Q1855">
        <v>1854</v>
      </c>
      <c r="R1855">
        <v>11</v>
      </c>
    </row>
    <row r="1856" spans="17:18">
      <c r="Q1856">
        <v>1855</v>
      </c>
      <c r="R1856">
        <v>11</v>
      </c>
    </row>
    <row r="1857" spans="17:18">
      <c r="Q1857">
        <v>1856</v>
      </c>
      <c r="R1857">
        <v>11</v>
      </c>
    </row>
    <row r="1858" spans="17:18">
      <c r="Q1858">
        <v>1857</v>
      </c>
      <c r="R1858">
        <v>11</v>
      </c>
    </row>
    <row r="1859" spans="17:18">
      <c r="Q1859">
        <v>1858</v>
      </c>
      <c r="R1859">
        <v>12</v>
      </c>
    </row>
    <row r="1860" spans="17:18">
      <c r="Q1860">
        <v>1859</v>
      </c>
      <c r="R1860">
        <v>16</v>
      </c>
    </row>
    <row r="1861" spans="17:18">
      <c r="Q1861">
        <v>1860</v>
      </c>
      <c r="R1861">
        <v>10</v>
      </c>
    </row>
    <row r="1862" spans="17:18">
      <c r="Q1862">
        <v>1861</v>
      </c>
      <c r="R1862">
        <v>11</v>
      </c>
    </row>
    <row r="1863" spans="17:18">
      <c r="Q1863">
        <v>1862</v>
      </c>
      <c r="R1863">
        <v>13</v>
      </c>
    </row>
    <row r="1864" spans="17:18">
      <c r="Q1864">
        <v>1863</v>
      </c>
      <c r="R1864">
        <v>11</v>
      </c>
    </row>
    <row r="1865" spans="17:18">
      <c r="Q1865">
        <v>1864</v>
      </c>
      <c r="R1865">
        <v>11</v>
      </c>
    </row>
    <row r="1866" spans="17:18">
      <c r="Q1866">
        <v>1865</v>
      </c>
      <c r="R1866">
        <v>14</v>
      </c>
    </row>
    <row r="1867" spans="17:18">
      <c r="Q1867">
        <v>1866</v>
      </c>
      <c r="R1867">
        <v>13</v>
      </c>
    </row>
    <row r="1868" spans="17:18">
      <c r="Q1868">
        <v>1867</v>
      </c>
      <c r="R1868">
        <v>11</v>
      </c>
    </row>
    <row r="1869" spans="17:18">
      <c r="Q1869">
        <v>1868</v>
      </c>
      <c r="R1869">
        <v>14</v>
      </c>
    </row>
    <row r="1870" spans="17:18">
      <c r="Q1870">
        <v>1869</v>
      </c>
      <c r="R1870">
        <v>14</v>
      </c>
    </row>
    <row r="1871" spans="17:18">
      <c r="Q1871">
        <v>1870</v>
      </c>
      <c r="R1871">
        <v>10</v>
      </c>
    </row>
    <row r="1872" spans="17:18">
      <c r="Q1872">
        <v>1871</v>
      </c>
      <c r="R1872">
        <v>16</v>
      </c>
    </row>
    <row r="1873" spans="17:18">
      <c r="Q1873">
        <v>1872</v>
      </c>
      <c r="R1873">
        <v>17</v>
      </c>
    </row>
    <row r="1874" spans="17:18">
      <c r="Q1874">
        <v>1873</v>
      </c>
      <c r="R1874">
        <v>18</v>
      </c>
    </row>
    <row r="1875" spans="17:18">
      <c r="Q1875">
        <v>1874</v>
      </c>
      <c r="R1875">
        <v>10</v>
      </c>
    </row>
    <row r="1876" spans="17:18">
      <c r="Q1876">
        <v>1875</v>
      </c>
      <c r="R1876">
        <v>11</v>
      </c>
    </row>
    <row r="1877" spans="17:18">
      <c r="Q1877">
        <v>1876</v>
      </c>
      <c r="R1877">
        <v>12</v>
      </c>
    </row>
    <row r="1878" spans="17:18">
      <c r="Q1878">
        <v>1877</v>
      </c>
      <c r="R1878">
        <v>13</v>
      </c>
    </row>
    <row r="1879" spans="17:18">
      <c r="Q1879">
        <v>1878</v>
      </c>
      <c r="R1879">
        <v>10</v>
      </c>
    </row>
    <row r="1880" spans="17:18">
      <c r="Q1880">
        <v>1879</v>
      </c>
      <c r="R1880">
        <v>13</v>
      </c>
    </row>
    <row r="1881" spans="17:18">
      <c r="Q1881">
        <v>1880</v>
      </c>
      <c r="R1881">
        <v>14</v>
      </c>
    </row>
    <row r="1882" spans="17:18">
      <c r="Q1882">
        <v>1881</v>
      </c>
      <c r="R1882">
        <v>12</v>
      </c>
    </row>
    <row r="1883" spans="17:18">
      <c r="Q1883">
        <v>1882</v>
      </c>
      <c r="R1883">
        <v>12</v>
      </c>
    </row>
    <row r="1884" spans="17:18">
      <c r="Q1884">
        <v>1883</v>
      </c>
      <c r="R1884">
        <v>14</v>
      </c>
    </row>
    <row r="1885" spans="17:18">
      <c r="Q1885">
        <v>1884</v>
      </c>
      <c r="R1885">
        <v>13</v>
      </c>
    </row>
    <row r="1886" spans="17:18">
      <c r="Q1886">
        <v>1885</v>
      </c>
      <c r="R1886">
        <v>16</v>
      </c>
    </row>
    <row r="1887" spans="17:18">
      <c r="Q1887">
        <v>1886</v>
      </c>
      <c r="R1887">
        <v>11</v>
      </c>
    </row>
    <row r="1888" spans="17:18">
      <c r="Q1888">
        <v>1887</v>
      </c>
      <c r="R1888">
        <v>11</v>
      </c>
    </row>
    <row r="1889" spans="17:18">
      <c r="Q1889">
        <v>1888</v>
      </c>
      <c r="R1889">
        <v>13</v>
      </c>
    </row>
    <row r="1890" spans="17:18">
      <c r="Q1890">
        <v>1889</v>
      </c>
      <c r="R1890">
        <v>12</v>
      </c>
    </row>
    <row r="1891" spans="17:18">
      <c r="Q1891">
        <v>1890</v>
      </c>
      <c r="R1891">
        <v>12</v>
      </c>
    </row>
    <row r="1892" spans="17:18">
      <c r="Q1892">
        <v>1891</v>
      </c>
      <c r="R1892">
        <v>15</v>
      </c>
    </row>
    <row r="1893" spans="17:18">
      <c r="Q1893">
        <v>1892</v>
      </c>
      <c r="R1893">
        <v>10</v>
      </c>
    </row>
    <row r="1894" spans="17:18">
      <c r="Q1894">
        <v>1893</v>
      </c>
      <c r="R1894">
        <v>16</v>
      </c>
    </row>
    <row r="1895" spans="17:18">
      <c r="Q1895">
        <v>1894</v>
      </c>
      <c r="R1895">
        <v>16</v>
      </c>
    </row>
    <row r="1896" spans="17:18">
      <c r="Q1896">
        <v>1895</v>
      </c>
      <c r="R1896">
        <v>16</v>
      </c>
    </row>
    <row r="1897" spans="17:18">
      <c r="Q1897">
        <v>1896</v>
      </c>
      <c r="R1897">
        <v>13</v>
      </c>
    </row>
    <row r="1898" spans="17:18">
      <c r="Q1898">
        <v>1897</v>
      </c>
      <c r="R1898">
        <v>14</v>
      </c>
    </row>
    <row r="1899" spans="17:18">
      <c r="Q1899">
        <v>1898</v>
      </c>
      <c r="R1899">
        <v>13</v>
      </c>
    </row>
    <row r="1900" spans="17:18">
      <c r="Q1900">
        <v>1899</v>
      </c>
      <c r="R1900">
        <v>20</v>
      </c>
    </row>
    <row r="1901" spans="17:18">
      <c r="Q1901">
        <v>1900</v>
      </c>
      <c r="R1901">
        <v>12</v>
      </c>
    </row>
    <row r="1902" spans="17:18">
      <c r="Q1902">
        <v>1901</v>
      </c>
      <c r="R1902">
        <v>11</v>
      </c>
    </row>
    <row r="1903" spans="17:18">
      <c r="Q1903">
        <v>1902</v>
      </c>
      <c r="R1903">
        <v>13</v>
      </c>
    </row>
    <row r="1904" spans="17:18">
      <c r="Q1904">
        <v>1903</v>
      </c>
      <c r="R1904">
        <v>15</v>
      </c>
    </row>
    <row r="1905" spans="17:18">
      <c r="Q1905">
        <v>1904</v>
      </c>
      <c r="R1905">
        <v>11</v>
      </c>
    </row>
    <row r="1906" spans="17:18">
      <c r="Q1906">
        <v>1905</v>
      </c>
      <c r="R1906">
        <v>15</v>
      </c>
    </row>
    <row r="1907" spans="17:18">
      <c r="Q1907">
        <v>1906</v>
      </c>
      <c r="R1907">
        <v>18</v>
      </c>
    </row>
    <row r="1908" spans="17:18">
      <c r="Q1908">
        <v>1907</v>
      </c>
      <c r="R1908">
        <v>13</v>
      </c>
    </row>
    <row r="1909" spans="17:18">
      <c r="Q1909">
        <v>1908</v>
      </c>
      <c r="R1909">
        <v>12</v>
      </c>
    </row>
    <row r="1910" spans="17:18">
      <c r="Q1910">
        <v>1909</v>
      </c>
      <c r="R1910">
        <v>11</v>
      </c>
    </row>
    <row r="1911" spans="17:18">
      <c r="Q1911">
        <v>1910</v>
      </c>
      <c r="R1911">
        <v>12</v>
      </c>
    </row>
    <row r="1912" spans="17:18">
      <c r="Q1912">
        <v>1911</v>
      </c>
      <c r="R1912">
        <v>14</v>
      </c>
    </row>
    <row r="1913" spans="17:18">
      <c r="Q1913">
        <v>1912</v>
      </c>
      <c r="R1913">
        <v>12</v>
      </c>
    </row>
    <row r="1914" spans="17:18">
      <c r="Q1914">
        <v>1913</v>
      </c>
      <c r="R1914">
        <v>10</v>
      </c>
    </row>
    <row r="1915" spans="17:18">
      <c r="Q1915">
        <v>1914</v>
      </c>
      <c r="R1915">
        <v>18</v>
      </c>
    </row>
    <row r="1916" spans="17:18">
      <c r="Q1916">
        <v>1915</v>
      </c>
      <c r="R1916">
        <v>12</v>
      </c>
    </row>
    <row r="1917" spans="17:18">
      <c r="Q1917">
        <v>1916</v>
      </c>
      <c r="R1917">
        <v>13</v>
      </c>
    </row>
    <row r="1918" spans="17:18">
      <c r="Q1918">
        <v>1917</v>
      </c>
      <c r="R1918">
        <v>11</v>
      </c>
    </row>
    <row r="1919" spans="17:18">
      <c r="Q1919">
        <v>1918</v>
      </c>
      <c r="R1919">
        <v>12</v>
      </c>
    </row>
    <row r="1920" spans="17:18">
      <c r="Q1920">
        <v>1919</v>
      </c>
      <c r="R1920">
        <v>11</v>
      </c>
    </row>
    <row r="1921" spans="17:18">
      <c r="Q1921">
        <v>1920</v>
      </c>
      <c r="R1921">
        <v>12</v>
      </c>
    </row>
    <row r="1922" spans="17:18">
      <c r="Q1922">
        <v>1921</v>
      </c>
      <c r="R1922">
        <v>13</v>
      </c>
    </row>
    <row r="1923" spans="17:18">
      <c r="Q1923">
        <v>1922</v>
      </c>
      <c r="R1923">
        <v>11</v>
      </c>
    </row>
    <row r="1924" spans="17:18">
      <c r="Q1924">
        <v>1923</v>
      </c>
      <c r="R1924">
        <v>18</v>
      </c>
    </row>
    <row r="1925" spans="17:18">
      <c r="Q1925">
        <v>1924</v>
      </c>
      <c r="R1925">
        <v>12</v>
      </c>
    </row>
    <row r="1926" spans="17:18">
      <c r="Q1926">
        <v>1925</v>
      </c>
      <c r="R1926">
        <v>13</v>
      </c>
    </row>
    <row r="1927" spans="17:18">
      <c r="Q1927">
        <v>1926</v>
      </c>
      <c r="R1927">
        <v>14</v>
      </c>
    </row>
    <row r="1928" spans="17:18">
      <c r="Q1928">
        <v>1927</v>
      </c>
      <c r="R1928">
        <v>13</v>
      </c>
    </row>
    <row r="1929" spans="17:18">
      <c r="Q1929">
        <v>1928</v>
      </c>
      <c r="R1929">
        <v>12</v>
      </c>
    </row>
    <row r="1930" spans="17:18">
      <c r="Q1930">
        <v>1929</v>
      </c>
      <c r="R1930">
        <v>15</v>
      </c>
    </row>
    <row r="1931" spans="17:18">
      <c r="Q1931">
        <v>1930</v>
      </c>
      <c r="R1931">
        <v>15</v>
      </c>
    </row>
    <row r="1932" spans="17:18">
      <c r="Q1932">
        <v>1931</v>
      </c>
      <c r="R1932">
        <v>11</v>
      </c>
    </row>
    <row r="1933" spans="17:18">
      <c r="Q1933">
        <v>1932</v>
      </c>
      <c r="R1933">
        <v>11</v>
      </c>
    </row>
    <row r="1934" spans="17:18">
      <c r="Q1934">
        <v>1933</v>
      </c>
      <c r="R1934">
        <v>13</v>
      </c>
    </row>
    <row r="1935" spans="17:18">
      <c r="Q1935">
        <v>1934</v>
      </c>
      <c r="R1935">
        <v>12</v>
      </c>
    </row>
    <row r="1936" spans="17:18">
      <c r="Q1936">
        <v>1935</v>
      </c>
      <c r="R1936">
        <v>11</v>
      </c>
    </row>
    <row r="1937" spans="17:18">
      <c r="Q1937">
        <v>1936</v>
      </c>
      <c r="R1937">
        <v>15</v>
      </c>
    </row>
    <row r="1938" spans="17:18">
      <c r="Q1938">
        <v>1937</v>
      </c>
      <c r="R1938">
        <v>11</v>
      </c>
    </row>
    <row r="1939" spans="17:18">
      <c r="Q1939">
        <v>1938</v>
      </c>
      <c r="R1939">
        <v>10</v>
      </c>
    </row>
    <row r="1940" spans="17:18">
      <c r="Q1940">
        <v>1939</v>
      </c>
      <c r="R1940">
        <v>15</v>
      </c>
    </row>
    <row r="1941" spans="17:18">
      <c r="Q1941">
        <v>1940</v>
      </c>
      <c r="R1941">
        <v>12</v>
      </c>
    </row>
    <row r="1942" spans="17:18">
      <c r="Q1942">
        <v>1941</v>
      </c>
      <c r="R1942">
        <v>12</v>
      </c>
    </row>
    <row r="1943" spans="17:18">
      <c r="Q1943">
        <v>1942</v>
      </c>
      <c r="R1943">
        <v>14</v>
      </c>
    </row>
    <row r="1944" spans="17:18">
      <c r="Q1944">
        <v>1943</v>
      </c>
      <c r="R1944">
        <v>14</v>
      </c>
    </row>
    <row r="1945" spans="17:18">
      <c r="Q1945">
        <v>1944</v>
      </c>
      <c r="R1945">
        <v>16</v>
      </c>
    </row>
    <row r="1946" spans="17:18">
      <c r="Q1946">
        <v>1945</v>
      </c>
      <c r="R1946">
        <v>12</v>
      </c>
    </row>
    <row r="1947" spans="17:18">
      <c r="Q1947">
        <v>1946</v>
      </c>
      <c r="R1947">
        <v>14</v>
      </c>
    </row>
    <row r="1948" spans="17:18">
      <c r="Q1948">
        <v>1947</v>
      </c>
      <c r="R1948">
        <v>13</v>
      </c>
    </row>
    <row r="1949" spans="17:18">
      <c r="Q1949">
        <v>1948</v>
      </c>
      <c r="R1949">
        <v>15</v>
      </c>
    </row>
    <row r="1950" spans="17:18">
      <c r="Q1950">
        <v>1949</v>
      </c>
      <c r="R1950">
        <v>13</v>
      </c>
    </row>
    <row r="1951" spans="17:18">
      <c r="Q1951">
        <v>1950</v>
      </c>
      <c r="R1951">
        <v>15</v>
      </c>
    </row>
    <row r="1952" spans="17:18">
      <c r="Q1952">
        <v>1951</v>
      </c>
      <c r="R1952">
        <v>11</v>
      </c>
    </row>
    <row r="1953" spans="17:18">
      <c r="Q1953">
        <v>1952</v>
      </c>
      <c r="R1953">
        <v>10</v>
      </c>
    </row>
    <row r="1954" spans="17:18">
      <c r="Q1954">
        <v>1953</v>
      </c>
      <c r="R1954">
        <v>11</v>
      </c>
    </row>
    <row r="1955" spans="17:18">
      <c r="Q1955">
        <v>1954</v>
      </c>
      <c r="R1955">
        <v>11</v>
      </c>
    </row>
    <row r="1956" spans="17:18">
      <c r="Q1956">
        <v>1955</v>
      </c>
      <c r="R1956">
        <v>14</v>
      </c>
    </row>
    <row r="1957" spans="17:18">
      <c r="Q1957">
        <v>1956</v>
      </c>
      <c r="R1957">
        <v>11</v>
      </c>
    </row>
    <row r="1958" spans="17:18">
      <c r="Q1958">
        <v>1957</v>
      </c>
      <c r="R1958">
        <v>14</v>
      </c>
    </row>
    <row r="1959" spans="17:18">
      <c r="Q1959">
        <v>1958</v>
      </c>
      <c r="R1959">
        <v>11</v>
      </c>
    </row>
    <row r="1960" spans="17:18">
      <c r="Q1960">
        <v>1959</v>
      </c>
      <c r="R1960">
        <v>13</v>
      </c>
    </row>
    <row r="1961" spans="17:18">
      <c r="Q1961">
        <v>1960</v>
      </c>
      <c r="R1961">
        <v>16</v>
      </c>
    </row>
    <row r="1962" spans="17:18">
      <c r="Q1962">
        <v>1961</v>
      </c>
      <c r="R1962">
        <v>13</v>
      </c>
    </row>
    <row r="1963" spans="17:18">
      <c r="Q1963">
        <v>1962</v>
      </c>
      <c r="R1963">
        <v>15</v>
      </c>
    </row>
    <row r="1964" spans="17:18">
      <c r="Q1964">
        <v>1963</v>
      </c>
      <c r="R1964">
        <v>24</v>
      </c>
    </row>
    <row r="1965" spans="17:18">
      <c r="Q1965">
        <v>1964</v>
      </c>
      <c r="R1965">
        <v>12</v>
      </c>
    </row>
    <row r="1966" spans="17:18">
      <c r="Q1966">
        <v>1965</v>
      </c>
      <c r="R1966">
        <v>16</v>
      </c>
    </row>
    <row r="1967" spans="17:18">
      <c r="Q1967">
        <v>1966</v>
      </c>
      <c r="R1967">
        <v>10</v>
      </c>
    </row>
    <row r="1968" spans="17:18">
      <c r="Q1968">
        <v>1967</v>
      </c>
      <c r="R1968">
        <v>13</v>
      </c>
    </row>
    <row r="1969" spans="17:18">
      <c r="Q1969">
        <v>1968</v>
      </c>
      <c r="R1969">
        <v>15</v>
      </c>
    </row>
    <row r="1970" spans="17:18">
      <c r="Q1970">
        <v>1969</v>
      </c>
      <c r="R1970">
        <v>14</v>
      </c>
    </row>
    <row r="1971" spans="17:18">
      <c r="Q1971">
        <v>1970</v>
      </c>
      <c r="R1971">
        <v>11</v>
      </c>
    </row>
    <row r="1972" spans="17:18">
      <c r="Q1972">
        <v>1971</v>
      </c>
      <c r="R1972">
        <v>16</v>
      </c>
    </row>
    <row r="1973" spans="17:18">
      <c r="Q1973">
        <v>1972</v>
      </c>
      <c r="R1973">
        <v>11</v>
      </c>
    </row>
    <row r="1974" spans="17:18">
      <c r="Q1974">
        <v>1973</v>
      </c>
      <c r="R1974">
        <v>12</v>
      </c>
    </row>
    <row r="1975" spans="17:18">
      <c r="Q1975">
        <v>1974</v>
      </c>
      <c r="R1975">
        <v>11</v>
      </c>
    </row>
    <row r="1976" spans="17:18">
      <c r="Q1976">
        <v>1975</v>
      </c>
      <c r="R1976">
        <v>12</v>
      </c>
    </row>
    <row r="1977" spans="17:18">
      <c r="Q1977">
        <v>1976</v>
      </c>
      <c r="R1977">
        <v>11</v>
      </c>
    </row>
    <row r="1978" spans="17:18">
      <c r="Q1978">
        <v>1977</v>
      </c>
      <c r="R1978">
        <v>14</v>
      </c>
    </row>
    <row r="1979" spans="17:18">
      <c r="Q1979">
        <v>1978</v>
      </c>
      <c r="R1979">
        <v>10</v>
      </c>
    </row>
    <row r="1980" spans="17:18">
      <c r="Q1980">
        <v>1979</v>
      </c>
      <c r="R1980">
        <v>11</v>
      </c>
    </row>
    <row r="1981" spans="17:18">
      <c r="Q1981">
        <v>1980</v>
      </c>
      <c r="R1981">
        <v>10</v>
      </c>
    </row>
    <row r="1982" spans="17:18">
      <c r="Q1982">
        <v>1981</v>
      </c>
      <c r="R1982">
        <v>11</v>
      </c>
    </row>
    <row r="1983" spans="17:18">
      <c r="Q1983">
        <v>1982</v>
      </c>
      <c r="R1983">
        <v>12</v>
      </c>
    </row>
    <row r="1984" spans="17:18">
      <c r="Q1984">
        <v>1983</v>
      </c>
      <c r="R1984">
        <v>13</v>
      </c>
    </row>
    <row r="1985" spans="17:18">
      <c r="Q1985">
        <v>1984</v>
      </c>
      <c r="R1985">
        <v>12</v>
      </c>
    </row>
    <row r="1986" spans="17:18">
      <c r="Q1986">
        <v>1985</v>
      </c>
      <c r="R1986">
        <v>11</v>
      </c>
    </row>
    <row r="1987" spans="17:18">
      <c r="Q1987">
        <v>1986</v>
      </c>
      <c r="R1987">
        <v>10</v>
      </c>
    </row>
    <row r="1988" spans="17:18">
      <c r="Q1988">
        <v>1987</v>
      </c>
      <c r="R1988">
        <v>10</v>
      </c>
    </row>
    <row r="1989" spans="17:18">
      <c r="Q1989">
        <v>1988</v>
      </c>
      <c r="R1989">
        <v>12</v>
      </c>
    </row>
    <row r="1990" spans="17:18">
      <c r="Q1990">
        <v>1989</v>
      </c>
      <c r="R1990">
        <v>12</v>
      </c>
    </row>
    <row r="1991" spans="17:18">
      <c r="Q1991">
        <v>1990</v>
      </c>
      <c r="R1991">
        <v>12</v>
      </c>
    </row>
    <row r="1992" spans="17:18">
      <c r="Q1992">
        <v>1991</v>
      </c>
      <c r="R1992">
        <v>11</v>
      </c>
    </row>
    <row r="1993" spans="17:18">
      <c r="Q1993">
        <v>1992</v>
      </c>
      <c r="R1993">
        <v>14</v>
      </c>
    </row>
    <row r="1994" spans="17:18">
      <c r="Q1994">
        <v>1993</v>
      </c>
      <c r="R1994">
        <v>10</v>
      </c>
    </row>
    <row r="1995" spans="17:18">
      <c r="Q1995">
        <v>1994</v>
      </c>
      <c r="R1995">
        <v>10</v>
      </c>
    </row>
    <row r="1996" spans="17:18">
      <c r="Q1996">
        <v>1995</v>
      </c>
      <c r="R1996">
        <v>11</v>
      </c>
    </row>
    <row r="1997" spans="17:18">
      <c r="Q1997">
        <v>1996</v>
      </c>
      <c r="R1997">
        <v>12</v>
      </c>
    </row>
    <row r="1998" spans="17:18">
      <c r="Q1998">
        <v>1997</v>
      </c>
      <c r="R1998">
        <v>12</v>
      </c>
    </row>
    <row r="1999" spans="17:18">
      <c r="Q1999">
        <v>1998</v>
      </c>
      <c r="R1999">
        <v>11</v>
      </c>
    </row>
    <row r="2000" spans="17:18">
      <c r="Q2000">
        <v>1999</v>
      </c>
      <c r="R2000">
        <v>13</v>
      </c>
    </row>
    <row r="2001" spans="17:18">
      <c r="Q2001">
        <v>2000</v>
      </c>
      <c r="R2001">
        <v>14</v>
      </c>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0"/>
  <sheetViews>
    <sheetView topLeftCell="A37" workbookViewId="0">
      <selection activeCell="G49" sqref="G49"/>
    </sheetView>
  </sheetViews>
  <sheetFormatPr defaultColWidth="9" defaultRowHeight="17.6"/>
  <cols>
    <col min="1" max="1" width="22" customWidth="1"/>
    <col min="2" max="2" width="32" customWidth="1"/>
    <col min="3" max="4" width="18" customWidth="1"/>
    <col min="5" max="5" width="28" customWidth="1"/>
    <col min="6" max="6" width="3" customWidth="1"/>
    <col min="7" max="8" width="16" customWidth="1"/>
    <col min="9" max="9" width="22" customWidth="1"/>
    <col min="10" max="10" width="18" customWidth="1"/>
  </cols>
  <sheetData>
    <row r="1" ht="30" customHeight="1" spans="1:10">
      <c r="A1" s="1" t="s">
        <v>136</v>
      </c>
      <c r="B1" s="1"/>
      <c r="C1" s="1"/>
      <c r="D1" s="1"/>
      <c r="E1" s="1"/>
      <c r="F1" s="1"/>
      <c r="G1" s="1"/>
      <c r="H1" s="1"/>
      <c r="I1" s="1"/>
      <c r="J1" s="1"/>
    </row>
    <row r="2" spans="1:10">
      <c r="A2" s="1"/>
      <c r="B2" s="1"/>
      <c r="C2" s="1"/>
      <c r="D2" s="1"/>
      <c r="E2" s="1"/>
      <c r="F2" s="1"/>
      <c r="G2" s="1"/>
      <c r="H2" s="1"/>
      <c r="I2" s="1"/>
      <c r="J2" s="1"/>
    </row>
    <row r="3" spans="1:10">
      <c r="A3" s="2"/>
      <c r="B3" s="2"/>
      <c r="C3" s="2"/>
      <c r="D3" s="2"/>
      <c r="E3" s="2"/>
      <c r="F3" s="2"/>
      <c r="G3" s="2"/>
      <c r="H3" s="2"/>
      <c r="I3" s="2"/>
      <c r="J3" s="2"/>
    </row>
    <row r="4" ht="22" customHeight="1" spans="1:10">
      <c r="A4" s="4" t="s">
        <v>41</v>
      </c>
      <c r="B4" s="4"/>
      <c r="C4" s="4"/>
      <c r="D4" s="4"/>
      <c r="E4" s="4"/>
      <c r="F4" s="4"/>
      <c r="G4" s="4"/>
      <c r="H4" s="4"/>
      <c r="I4" s="4"/>
      <c r="J4" s="4"/>
    </row>
    <row r="5" ht="55" customHeight="1" spans="1:10">
      <c r="A5" s="3" t="s">
        <v>137</v>
      </c>
      <c r="B5" s="3"/>
      <c r="C5" s="3"/>
      <c r="D5" s="3"/>
      <c r="E5" s="3"/>
      <c r="F5" s="3"/>
      <c r="G5" s="3"/>
      <c r="H5" s="3"/>
      <c r="I5" s="3"/>
      <c r="J5" s="3"/>
    </row>
    <row r="6" spans="1:10">
      <c r="A6" s="3"/>
      <c r="B6" s="3"/>
      <c r="C6" s="3"/>
      <c r="D6" s="3"/>
      <c r="E6" s="3"/>
      <c r="F6" s="3"/>
      <c r="G6" s="3"/>
      <c r="H6" s="3"/>
      <c r="I6" s="3"/>
      <c r="J6" s="3"/>
    </row>
    <row r="7" spans="1:10">
      <c r="A7" s="2"/>
      <c r="B7" s="2"/>
      <c r="C7" s="2"/>
      <c r="D7" s="2"/>
      <c r="E7" s="2"/>
      <c r="F7" s="2"/>
      <c r="G7" s="2"/>
      <c r="H7" s="2"/>
      <c r="I7" s="2"/>
      <c r="J7" s="2"/>
    </row>
    <row r="8" ht="22" customHeight="1" spans="1:10">
      <c r="A8" s="4" t="s">
        <v>43</v>
      </c>
      <c r="B8" s="4"/>
      <c r="C8" s="4"/>
      <c r="D8" s="4"/>
      <c r="E8" s="4"/>
      <c r="F8" s="4"/>
      <c r="G8" s="4"/>
      <c r="H8" s="4"/>
      <c r="I8" s="4"/>
      <c r="J8" s="4"/>
    </row>
    <row r="9" ht="55" customHeight="1" spans="1:10">
      <c r="A9" s="3" t="s">
        <v>138</v>
      </c>
      <c r="B9" s="3"/>
      <c r="C9" s="3"/>
      <c r="D9" s="3"/>
      <c r="E9" s="3"/>
      <c r="F9" s="3"/>
      <c r="G9" s="3"/>
      <c r="H9" s="3"/>
      <c r="I9" s="3"/>
      <c r="J9" s="3"/>
    </row>
    <row r="10" spans="1:10">
      <c r="A10" s="3"/>
      <c r="B10" s="3"/>
      <c r="C10" s="3"/>
      <c r="D10" s="3"/>
      <c r="E10" s="3"/>
      <c r="F10" s="3"/>
      <c r="G10" s="3"/>
      <c r="H10" s="3"/>
      <c r="I10" s="3"/>
      <c r="J10" s="3"/>
    </row>
    <row r="11" spans="1:10">
      <c r="A11" s="2"/>
      <c r="B11" s="2"/>
      <c r="C11" s="2"/>
      <c r="D11" s="2"/>
      <c r="E11" s="2"/>
      <c r="F11" s="2"/>
      <c r="G11" s="2"/>
      <c r="H11" s="2"/>
      <c r="I11" s="2"/>
      <c r="J11" s="2"/>
    </row>
    <row r="12" ht="22" customHeight="1" spans="1:10">
      <c r="A12" s="4" t="s">
        <v>45</v>
      </c>
      <c r="B12" s="4"/>
      <c r="C12" s="4"/>
      <c r="D12" s="4"/>
      <c r="E12" s="4"/>
      <c r="F12" s="4"/>
      <c r="G12" s="4"/>
      <c r="H12" s="4"/>
      <c r="I12" s="4"/>
      <c r="J12" s="4"/>
    </row>
    <row r="13" ht="62" customHeight="1" spans="1:10">
      <c r="A13" s="3" t="str">
        <f>"A simulated year generates policy count, coverage choices, premiums, claim events, and claim severities, then computes R=TL/TP. The original model replicates "&amp;TEXT('2_Insurance'!C5,"#,##0")&amp;" years. Four frequency-severity scenarios are defined by (r_c,p_c)=(5,.16),(10,.08),(20,.04),(80,.01), with r_c×p_c held at 0.80. All result-dependent narrative below is linked dynamically to the original simulation outputs."</f>
        <v>A simulated year generates policy count, coverage choices, premiums, claim events, and claim severities, then computes R=TL/TP. The original model replicates 500 years. Four frequency-severity scenarios are defined by (r_c,p_c)=(5,.16),(10,.08),(20,.04),(80,.01), with r_c×p_c held at 0.80. All result-dependent narrative below is linked dynamically to the original simulation outputs.</v>
      </c>
      <c r="B13" s="3"/>
      <c r="C13" s="3"/>
      <c r="D13" s="3"/>
      <c r="E13" s="3"/>
      <c r="F13" s="3"/>
      <c r="G13" s="3"/>
      <c r="H13" s="3"/>
      <c r="I13" s="3"/>
      <c r="J13" s="3"/>
    </row>
    <row r="14" spans="1:10">
      <c r="A14" s="3"/>
      <c r="B14" s="3"/>
      <c r="C14" s="3"/>
      <c r="D14" s="3"/>
      <c r="E14" s="3"/>
      <c r="F14" s="3"/>
      <c r="G14" s="3"/>
      <c r="H14" s="3"/>
      <c r="I14" s="3"/>
      <c r="J14" s="3"/>
    </row>
    <row r="15" spans="1:10">
      <c r="A15" s="2"/>
      <c r="B15" s="2"/>
      <c r="C15" s="2"/>
      <c r="D15" s="2"/>
      <c r="E15" s="2"/>
      <c r="F15" s="2"/>
      <c r="G15" s="2"/>
      <c r="H15" s="2"/>
      <c r="I15" s="2"/>
      <c r="J15" s="2"/>
    </row>
    <row r="16" ht="22" customHeight="1" spans="1:10">
      <c r="A16" s="4" t="s">
        <v>139</v>
      </c>
      <c r="B16" s="4"/>
      <c r="C16" s="4"/>
      <c r="D16" s="4"/>
      <c r="E16" s="4"/>
      <c r="F16" s="2"/>
      <c r="G16" s="4" t="s">
        <v>140</v>
      </c>
      <c r="H16" s="4"/>
      <c r="I16" s="4"/>
      <c r="J16" s="4"/>
    </row>
    <row r="17" ht="32" customHeight="1" spans="1:10">
      <c r="A17" s="5" t="s">
        <v>141</v>
      </c>
      <c r="B17" s="5" t="s">
        <v>49</v>
      </c>
      <c r="C17" s="5" t="s">
        <v>50</v>
      </c>
      <c r="D17" s="5" t="s">
        <v>51</v>
      </c>
      <c r="E17" s="5" t="s">
        <v>142</v>
      </c>
      <c r="F17" s="2"/>
      <c r="G17" s="5" t="s">
        <v>143</v>
      </c>
      <c r="H17" s="5" t="s">
        <v>144</v>
      </c>
      <c r="I17" s="5" t="s">
        <v>145</v>
      </c>
      <c r="J17" s="5" t="s">
        <v>146</v>
      </c>
    </row>
    <row r="18" ht="26" customHeight="1" spans="1:10">
      <c r="A18" s="6" t="s">
        <v>65</v>
      </c>
      <c r="B18" s="6" t="s">
        <v>147</v>
      </c>
      <c r="C18" s="13">
        <f>'2_Insurance'!C1</f>
        <v>100</v>
      </c>
      <c r="D18" s="6" t="s">
        <v>148</v>
      </c>
      <c r="E18" s="6" t="s">
        <v>149</v>
      </c>
      <c r="F18" s="2"/>
      <c r="G18" s="6">
        <v>1</v>
      </c>
      <c r="H18" s="6">
        <v>5</v>
      </c>
      <c r="I18" s="7">
        <v>0.16</v>
      </c>
      <c r="J18" s="7">
        <f>H18*I18</f>
        <v>0.8</v>
      </c>
    </row>
    <row r="19" ht="26" customHeight="1" spans="1:10">
      <c r="A19" s="6" t="s">
        <v>70</v>
      </c>
      <c r="B19" s="6" t="s">
        <v>150</v>
      </c>
      <c r="C19" s="13">
        <f>'2_Insurance'!C2</f>
        <v>10</v>
      </c>
      <c r="D19" s="6" t="s">
        <v>148</v>
      </c>
      <c r="E19" s="6" t="s">
        <v>149</v>
      </c>
      <c r="F19" s="2"/>
      <c r="G19" s="6">
        <v>2</v>
      </c>
      <c r="H19" s="6">
        <v>10</v>
      </c>
      <c r="I19" s="7">
        <v>0.08</v>
      </c>
      <c r="J19" s="7">
        <f>H19*I19</f>
        <v>0.8</v>
      </c>
    </row>
    <row r="20" ht="26" customHeight="1" spans="1:10">
      <c r="A20" s="6" t="s">
        <v>151</v>
      </c>
      <c r="B20" s="6" t="s">
        <v>152</v>
      </c>
      <c r="C20" s="13">
        <f>'2_Insurance'!C3</f>
        <v>50</v>
      </c>
      <c r="D20" s="6" t="s">
        <v>153</v>
      </c>
      <c r="E20" s="6" t="s">
        <v>154</v>
      </c>
      <c r="F20" s="2"/>
      <c r="G20" s="6">
        <v>3</v>
      </c>
      <c r="H20" s="6">
        <v>20</v>
      </c>
      <c r="I20" s="7">
        <v>0.04</v>
      </c>
      <c r="J20" s="7">
        <f>H20*I20</f>
        <v>0.8</v>
      </c>
    </row>
    <row r="21" ht="26" customHeight="1" spans="1:10">
      <c r="A21" s="6" t="s">
        <v>155</v>
      </c>
      <c r="B21" s="6" t="s">
        <v>156</v>
      </c>
      <c r="C21" s="13">
        <f>'2_Insurance'!C4</f>
        <v>200</v>
      </c>
      <c r="D21" s="6" t="s">
        <v>153</v>
      </c>
      <c r="E21" s="6" t="s">
        <v>154</v>
      </c>
      <c r="F21" s="2"/>
      <c r="G21" s="6">
        <v>4</v>
      </c>
      <c r="H21" s="6">
        <v>80</v>
      </c>
      <c r="I21" s="7">
        <v>0.01</v>
      </c>
      <c r="J21" s="7">
        <f>H21*I21</f>
        <v>0.8</v>
      </c>
    </row>
    <row r="22" ht="26" customHeight="1" spans="1:10">
      <c r="A22" s="6" t="s">
        <v>157</v>
      </c>
      <c r="B22" s="6" t="s">
        <v>158</v>
      </c>
      <c r="C22" s="13">
        <f>'2_Insurance'!C7</f>
        <v>0.4</v>
      </c>
      <c r="D22" s="6" t="s">
        <v>159</v>
      </c>
      <c r="E22" s="6" t="s">
        <v>160</v>
      </c>
      <c r="F22" s="2"/>
      <c r="G22" s="2"/>
      <c r="H22" s="2"/>
      <c r="I22" s="2"/>
      <c r="J22" s="2"/>
    </row>
    <row r="23" ht="26" customHeight="1" spans="1:10">
      <c r="A23" s="6" t="s">
        <v>77</v>
      </c>
      <c r="B23" s="6" t="s">
        <v>161</v>
      </c>
      <c r="C23" s="13">
        <f>'2_Insurance'!C5</f>
        <v>500</v>
      </c>
      <c r="D23" s="6" t="s">
        <v>93</v>
      </c>
      <c r="E23" s="6" t="s">
        <v>162</v>
      </c>
      <c r="F23" s="2"/>
      <c r="G23" s="2"/>
      <c r="H23" s="2"/>
      <c r="I23" s="2"/>
      <c r="J23" s="2"/>
    </row>
    <row r="24" spans="1:10">
      <c r="A24" s="2"/>
      <c r="B24" s="2"/>
      <c r="C24" s="2"/>
      <c r="D24" s="2"/>
      <c r="E24" s="2"/>
      <c r="F24" s="2"/>
      <c r="G24" s="2"/>
      <c r="H24" s="2"/>
      <c r="I24" s="2"/>
      <c r="J24" s="2"/>
    </row>
    <row r="25" ht="22" customHeight="1" spans="1:10">
      <c r="A25" s="4" t="s">
        <v>163</v>
      </c>
      <c r="B25" s="4"/>
      <c r="C25" s="4"/>
      <c r="D25" s="4"/>
      <c r="E25" s="4"/>
      <c r="F25" s="4"/>
      <c r="G25" s="4" t="s">
        <v>164</v>
      </c>
      <c r="H25" s="4"/>
      <c r="I25" s="4"/>
      <c r="J25" s="4"/>
    </row>
    <row r="26" ht="32" customHeight="1" spans="1:10">
      <c r="A26" s="5" t="s">
        <v>52</v>
      </c>
      <c r="B26" s="5" t="s">
        <v>50</v>
      </c>
      <c r="C26" s="5" t="s">
        <v>34</v>
      </c>
      <c r="D26" s="2"/>
      <c r="E26" s="2"/>
      <c r="F26" s="2"/>
      <c r="G26" s="5" t="s">
        <v>84</v>
      </c>
      <c r="H26" s="5" t="s">
        <v>165</v>
      </c>
      <c r="I26" s="5" t="s">
        <v>166</v>
      </c>
      <c r="J26" s="2"/>
    </row>
    <row r="27" ht="26" customHeight="1" spans="1:10">
      <c r="A27" s="6" t="s">
        <v>167</v>
      </c>
      <c r="B27" s="8">
        <f ca="1">AVERAGE('2_Insurance'!U2:U501)</f>
        <v>0.836728620108733</v>
      </c>
      <c r="C27" s="6" t="s">
        <v>168</v>
      </c>
      <c r="D27" s="2"/>
      <c r="E27" s="2"/>
      <c r="F27" s="2"/>
      <c r="G27" s="6">
        <v>0</v>
      </c>
      <c r="H27" s="9">
        <f ca="1">COUNTIF('2_Insurance'!$U$2:$U$501,"&lt;=0")/'2_Insurance'!C5</f>
        <v>0</v>
      </c>
      <c r="I27" s="6" t="str">
        <f ca="1" t="shared" ref="I27:I33" si="0">REPT("|",ROUND(H27*40,0))</f>
        <v/>
      </c>
      <c r="J27" s="2"/>
    </row>
    <row r="28" ht="26" customHeight="1" spans="1:10">
      <c r="A28" s="6" t="s">
        <v>169</v>
      </c>
      <c r="B28" s="8">
        <f ca="1">_xlfn.STDEV.S('2_Insurance'!U2:U501)</f>
        <v>0.890498472402892</v>
      </c>
      <c r="C28" s="6" t="s">
        <v>170</v>
      </c>
      <c r="D28" s="2"/>
      <c r="E28" s="2"/>
      <c r="F28" s="2"/>
      <c r="G28" s="6">
        <v>1</v>
      </c>
      <c r="H28" s="9">
        <f ca="1">COUNTIFS('2_Insurance'!$U$2:$U$501,"&gt;0",'2_Insurance'!$U$2:$U$501,"&lt;=1")/'2_Insurance'!C5</f>
        <v>0.706</v>
      </c>
      <c r="I28" s="6" t="str">
        <f ca="1" t="shared" si="0"/>
        <v>||||||||||||||||||||||||||||</v>
      </c>
      <c r="J28" s="2"/>
    </row>
    <row r="29" ht="26" customHeight="1" spans="1:10">
      <c r="A29" s="6" t="s">
        <v>171</v>
      </c>
      <c r="B29" s="8">
        <f ca="1">MAX('2_Insurance'!U2:U501)</f>
        <v>7.3910058599093</v>
      </c>
      <c r="C29" s="6" t="s">
        <v>172</v>
      </c>
      <c r="D29" s="2"/>
      <c r="E29" s="2"/>
      <c r="F29" s="2"/>
      <c r="G29" s="6">
        <v>2</v>
      </c>
      <c r="H29" s="9">
        <f ca="1">COUNTIFS('2_Insurance'!$U$2:$U$501,"&gt;1",'2_Insurance'!$U$2:$U$501,"&lt;=2")/'2_Insurance'!C5</f>
        <v>0.204</v>
      </c>
      <c r="I29" s="6" t="str">
        <f ca="1" t="shared" si="0"/>
        <v>||||||||</v>
      </c>
      <c r="J29" s="2"/>
    </row>
    <row r="30" ht="26" customHeight="1" spans="1:10">
      <c r="A30" s="6" t="s">
        <v>173</v>
      </c>
      <c r="B30" s="8">
        <f ca="1">MIN('2_Insurance'!U2:U501)</f>
        <v>0.000656444254812084</v>
      </c>
      <c r="C30" s="6" t="s">
        <v>174</v>
      </c>
      <c r="D30" s="2"/>
      <c r="E30" s="2"/>
      <c r="F30" s="2"/>
      <c r="G30" s="6">
        <v>3</v>
      </c>
      <c r="H30" s="9">
        <f ca="1">COUNTIFS('2_Insurance'!$U$2:$U$501,"&gt;2",'2_Insurance'!$U$2:$U$501,"&lt;=3")/'2_Insurance'!C5</f>
        <v>0.064</v>
      </c>
      <c r="I30" s="6" t="str">
        <f ca="1" t="shared" si="0"/>
        <v>|||</v>
      </c>
      <c r="J30" s="2"/>
    </row>
    <row r="31" ht="26" customHeight="1" spans="1:10">
      <c r="A31" s="6" t="s">
        <v>175</v>
      </c>
      <c r="B31" s="9">
        <f ca="1">AVERAGE('2_Insurance'!V2:V501)</f>
        <v>0.294</v>
      </c>
      <c r="C31" s="6" t="s">
        <v>176</v>
      </c>
      <c r="D31" s="2"/>
      <c r="E31" s="2"/>
      <c r="F31" s="2"/>
      <c r="G31" s="6">
        <v>4</v>
      </c>
      <c r="H31" s="9">
        <f ca="1">COUNTIFS('2_Insurance'!$U$2:$U$501,"&gt;3",'2_Insurance'!$U$2:$U$501,"&lt;=4")/'2_Insurance'!C5</f>
        <v>0.014</v>
      </c>
      <c r="I31" s="6" t="str">
        <f ca="1" t="shared" si="0"/>
        <v>|</v>
      </c>
      <c r="J31" s="2"/>
    </row>
    <row r="32" ht="26" customHeight="1" spans="1:10">
      <c r="A32" s="6" t="s">
        <v>177</v>
      </c>
      <c r="B32" s="8">
        <f ca="1">_xlfn.STDEV.S('2_Insurance'!U2:U501)/SQRT('2_Insurance'!C5)</f>
        <v>0.0398243023630517</v>
      </c>
      <c r="C32" s="6" t="s">
        <v>178</v>
      </c>
      <c r="D32" s="2"/>
      <c r="E32" s="2"/>
      <c r="F32" s="2"/>
      <c r="G32" s="6">
        <v>5</v>
      </c>
      <c r="H32" s="9">
        <f ca="1">COUNTIFS('2_Insurance'!$U$2:$U$501,"&gt;4",'2_Insurance'!$U$2:$U$501,"&lt;=5")/'2_Insurance'!C5</f>
        <v>0.004</v>
      </c>
      <c r="I32" s="6" t="str">
        <f ca="1" t="shared" si="0"/>
        <v/>
      </c>
      <c r="J32" s="2"/>
    </row>
    <row r="33" ht="24" customHeight="1" spans="1:10">
      <c r="A33" s="2"/>
      <c r="B33" s="2"/>
      <c r="C33" s="2"/>
      <c r="D33" s="2"/>
      <c r="E33" s="2"/>
      <c r="F33" s="2"/>
      <c r="G33" s="6">
        <v>6</v>
      </c>
      <c r="H33" s="9">
        <f ca="1">COUNTIFS('2_Insurance'!$U$2:$U$501,"&gt;5",'2_Insurance'!$U$2:$U$501,"&lt;=6")/'2_Insurance'!C5</f>
        <v>0.004</v>
      </c>
      <c r="I33" s="6" t="str">
        <f ca="1" t="shared" si="0"/>
        <v/>
      </c>
      <c r="J33" s="2"/>
    </row>
    <row r="34" spans="1:10">
      <c r="A34" s="2"/>
      <c r="B34" s="2"/>
      <c r="C34" s="2"/>
      <c r="D34" s="2"/>
      <c r="E34" s="2"/>
      <c r="F34" s="2"/>
      <c r="G34" s="2"/>
      <c r="H34" s="2"/>
      <c r="I34" s="2"/>
      <c r="J34" s="2"/>
    </row>
    <row r="35" ht="22" customHeight="1" spans="1:10">
      <c r="A35" s="4" t="s">
        <v>82</v>
      </c>
      <c r="B35" s="4"/>
      <c r="C35" s="4"/>
      <c r="D35" s="4"/>
      <c r="E35" s="4"/>
      <c r="F35" s="4"/>
      <c r="G35" s="2"/>
      <c r="H35" s="2"/>
      <c r="I35" s="2"/>
      <c r="J35" s="2"/>
    </row>
    <row r="36" ht="72" customHeight="1" spans="1:10">
      <c r="A36" s="3" t="str">
        <f ca="1">"Across the current "&amp;TEXT(C23,"#,##0")&amp;"-year simulation, the estimated mean loss ratio is "&amp;TEXT(B27,"0.000")&amp;", with a standard deviation of "&amp;TEXT(B28,"0.000")&amp;". The estimated probability of R&gt;1 is "&amp;TEXT(B31,"0.0%")&amp;", while the observed range is "&amp;TEXT(B30,"0.000")&amp;" to "&amp;TEXT(B29,"0.000")&amp;". These values update whenever the original simulation output changes."</f>
        <v>Across the current 500-year simulation, the estimated mean loss ratio is 0.837, with a standard deviation of 0.890. The estimated probability of R&gt;1 is 29.4%, while the observed range is 0.001 to 7.391. These values update whenever the original simulation output changes.</v>
      </c>
      <c r="B36" s="3"/>
      <c r="C36" s="3"/>
      <c r="D36" s="3"/>
      <c r="E36" s="3"/>
      <c r="F36" s="3"/>
      <c r="G36" s="2"/>
      <c r="H36" s="2"/>
      <c r="I36" s="2"/>
      <c r="J36" s="2"/>
    </row>
    <row r="37" spans="1:10">
      <c r="A37" s="3"/>
      <c r="B37" s="3"/>
      <c r="C37" s="3"/>
      <c r="D37" s="3"/>
      <c r="E37" s="3"/>
      <c r="F37" s="3"/>
      <c r="G37" s="2"/>
      <c r="H37" s="2"/>
      <c r="I37" s="2"/>
      <c r="J37" s="2"/>
    </row>
    <row r="38" spans="1:10">
      <c r="A38" s="3"/>
      <c r="B38" s="3"/>
      <c r="C38" s="3"/>
      <c r="D38" s="3"/>
      <c r="E38" s="3"/>
      <c r="F38" s="3"/>
      <c r="G38" s="2"/>
      <c r="H38" s="2"/>
      <c r="I38" s="2"/>
      <c r="J38" s="2"/>
    </row>
    <row r="39" spans="1:10">
      <c r="A39" s="3"/>
      <c r="B39" s="3"/>
      <c r="C39" s="3"/>
      <c r="D39" s="3"/>
      <c r="E39" s="3"/>
      <c r="F39" s="3"/>
      <c r="G39" s="2"/>
      <c r="H39" s="2"/>
      <c r="I39" s="2"/>
      <c r="J39" s="2"/>
    </row>
    <row r="40" spans="1:10">
      <c r="A40" s="3"/>
      <c r="B40" s="3"/>
      <c r="C40" s="3"/>
      <c r="D40" s="3"/>
      <c r="E40" s="3"/>
      <c r="F40" s="3"/>
      <c r="G40" s="2"/>
      <c r="H40" s="2"/>
      <c r="I40" s="2"/>
      <c r="J40" s="2"/>
    </row>
    <row r="41" spans="1:10">
      <c r="A41" s="2"/>
      <c r="B41" s="2"/>
      <c r="C41" s="2"/>
      <c r="D41" s="2"/>
      <c r="E41" s="2"/>
      <c r="F41" s="2"/>
      <c r="G41" s="2"/>
      <c r="H41" s="2"/>
      <c r="I41" s="2"/>
      <c r="J41" s="2"/>
    </row>
    <row r="42" ht="22" customHeight="1" spans="1:10">
      <c r="A42" s="4" t="s">
        <v>89</v>
      </c>
      <c r="B42" s="4"/>
      <c r="C42" s="4"/>
      <c r="D42" s="4"/>
      <c r="E42" s="4"/>
      <c r="F42" s="4"/>
      <c r="G42" s="2"/>
      <c r="H42" s="2"/>
      <c r="I42" s="2"/>
      <c r="J42" s="2"/>
    </row>
    <row r="43" ht="72" customHeight="1" spans="1:10">
      <c r="A43" s="3" t="str">
        <f ca="1">"The current simulation estimates P(R&gt;1) at "&amp;TEXT(B31,"0.0%")&amp;" and a standard deviation of "&amp;TEXT(B28,"0.000")&amp;". This indicates that performance evaluation should consider dispersion and tail probability in addition to the mean loss ratio of "&amp;TEXT(B27,"0.000")&amp;". The scenario design separately varies claim frequency and severity while holding r_c×p_c constant."</f>
        <v>The current simulation estimates P(R&gt;1) at 29.4% and a standard deviation of 0.890. This indicates that performance evaluation should consider dispersion and tail probability in addition to the mean loss ratio of 0.837. The scenario design separately varies claim frequency and severity while holding r_c×p_c constant.</v>
      </c>
      <c r="B43" s="3"/>
      <c r="C43" s="3"/>
      <c r="D43" s="3"/>
      <c r="E43" s="3"/>
      <c r="F43" s="3"/>
      <c r="G43" s="2"/>
      <c r="H43" s="2"/>
      <c r="I43" s="2"/>
      <c r="J43" s="2"/>
    </row>
    <row r="44" spans="1:10">
      <c r="A44" s="3"/>
      <c r="B44" s="3"/>
      <c r="C44" s="3"/>
      <c r="D44" s="3"/>
      <c r="E44" s="3"/>
      <c r="F44" s="3"/>
      <c r="G44" s="2"/>
      <c r="H44" s="2"/>
      <c r="I44" s="2"/>
      <c r="J44" s="2"/>
    </row>
    <row r="45" spans="1:10">
      <c r="A45" s="3"/>
      <c r="B45" s="3"/>
      <c r="C45" s="3"/>
      <c r="D45" s="3"/>
      <c r="E45" s="3"/>
      <c r="F45" s="3"/>
      <c r="G45" s="2"/>
      <c r="H45" s="2"/>
      <c r="I45" s="2"/>
      <c r="J45" s="2"/>
    </row>
    <row r="46" spans="1:10">
      <c r="A46" s="3"/>
      <c r="B46" s="3"/>
      <c r="C46" s="3"/>
      <c r="D46" s="3"/>
      <c r="E46" s="3"/>
      <c r="F46" s="3"/>
      <c r="G46" s="2"/>
      <c r="H46" s="2"/>
      <c r="I46" s="2"/>
      <c r="J46" s="2"/>
    </row>
    <row r="47" spans="1:10">
      <c r="A47" s="3"/>
      <c r="B47" s="3"/>
      <c r="C47" s="3"/>
      <c r="D47" s="3"/>
      <c r="E47" s="3"/>
      <c r="F47" s="3"/>
      <c r="G47" s="2"/>
      <c r="H47" s="2"/>
      <c r="I47" s="2"/>
      <c r="J47" s="2"/>
    </row>
    <row r="48" spans="1:10">
      <c r="A48" s="3"/>
      <c r="B48" s="3"/>
      <c r="C48" s="3"/>
      <c r="D48" s="3"/>
      <c r="E48" s="3"/>
      <c r="F48" s="3"/>
      <c r="G48" s="2"/>
      <c r="H48" s="2"/>
      <c r="I48" s="2"/>
      <c r="J48" s="2"/>
    </row>
    <row r="49" spans="1:10">
      <c r="A49" s="2"/>
      <c r="B49" s="2"/>
      <c r="C49" s="2"/>
      <c r="D49" s="2"/>
      <c r="E49" s="2"/>
      <c r="F49" s="2"/>
      <c r="G49" s="2"/>
      <c r="H49" s="2"/>
      <c r="I49" s="2"/>
      <c r="J49" s="2"/>
    </row>
    <row r="50" ht="22" customHeight="1" spans="1:10">
      <c r="A50" s="4" t="s">
        <v>90</v>
      </c>
      <c r="B50" s="4"/>
      <c r="C50" s="4"/>
      <c r="D50" s="4"/>
      <c r="E50" s="4"/>
      <c r="F50" s="4"/>
      <c r="G50" s="2"/>
      <c r="H50" s="2"/>
      <c r="I50" s="2"/>
      <c r="J50" s="2"/>
    </row>
    <row r="51" ht="72" customHeight="1" spans="1:10">
      <c r="A51" s="3" t="s">
        <v>179</v>
      </c>
      <c r="B51" s="3"/>
      <c r="C51" s="3"/>
      <c r="D51" s="3"/>
      <c r="E51" s="3"/>
      <c r="F51" s="3"/>
      <c r="G51" s="2"/>
      <c r="H51" s="2"/>
      <c r="I51" s="2"/>
      <c r="J51" s="2"/>
    </row>
    <row r="52" spans="1:10">
      <c r="A52" s="3"/>
      <c r="B52" s="3"/>
      <c r="C52" s="3"/>
      <c r="D52" s="3"/>
      <c r="E52" s="3"/>
      <c r="F52" s="3"/>
      <c r="G52" s="2"/>
      <c r="H52" s="2"/>
      <c r="I52" s="2"/>
      <c r="J52" s="2"/>
    </row>
    <row r="53" spans="1:10">
      <c r="A53" s="3"/>
      <c r="B53" s="3"/>
      <c r="C53" s="3"/>
      <c r="D53" s="3"/>
      <c r="E53" s="3"/>
      <c r="F53" s="3"/>
      <c r="G53" s="2"/>
      <c r="H53" s="2"/>
      <c r="I53" s="2"/>
      <c r="J53" s="2"/>
    </row>
    <row r="54" spans="1:10">
      <c r="A54" s="3"/>
      <c r="B54" s="3"/>
      <c r="C54" s="3"/>
      <c r="D54" s="3"/>
      <c r="E54" s="3"/>
      <c r="F54" s="3"/>
      <c r="G54" s="2"/>
      <c r="H54" s="2"/>
      <c r="I54" s="2"/>
      <c r="J54" s="2"/>
    </row>
    <row r="55" spans="1:10">
      <c r="A55" s="3"/>
      <c r="B55" s="3"/>
      <c r="C55" s="3"/>
      <c r="D55" s="3"/>
      <c r="E55" s="3"/>
      <c r="F55" s="3"/>
      <c r="G55" s="2"/>
      <c r="H55" s="2"/>
      <c r="I55" s="2"/>
      <c r="J55" s="2"/>
    </row>
    <row r="56" spans="1:10">
      <c r="A56" s="3"/>
      <c r="B56" s="3"/>
      <c r="C56" s="3"/>
      <c r="D56" s="3"/>
      <c r="E56" s="3"/>
      <c r="F56" s="3"/>
      <c r="G56" s="2"/>
      <c r="H56" s="2"/>
      <c r="I56" s="2"/>
      <c r="J56" s="2"/>
    </row>
    <row r="57" spans="1:10">
      <c r="A57" s="2"/>
      <c r="B57" s="2"/>
      <c r="C57" s="2"/>
      <c r="D57" s="2"/>
      <c r="E57" s="2"/>
      <c r="F57" s="2"/>
      <c r="G57" s="2"/>
      <c r="H57" s="2"/>
      <c r="I57" s="2"/>
      <c r="J57" s="2"/>
    </row>
    <row r="58" spans="1:10">
      <c r="A58" s="2"/>
      <c r="B58" s="2"/>
      <c r="C58" s="2"/>
      <c r="D58" s="2"/>
      <c r="E58" s="2"/>
      <c r="F58" s="2"/>
      <c r="G58" s="2"/>
      <c r="H58" s="2"/>
      <c r="I58" s="2"/>
      <c r="J58" s="2"/>
    </row>
    <row r="59" spans="1:10">
      <c r="A59" s="2"/>
      <c r="B59" s="2"/>
      <c r="C59" s="2"/>
      <c r="D59" s="2"/>
      <c r="E59" s="2"/>
      <c r="F59" s="2"/>
      <c r="G59" s="2"/>
      <c r="H59" s="2"/>
      <c r="I59" s="2"/>
      <c r="J59" s="2"/>
    </row>
    <row r="60" spans="1:10">
      <c r="A60" s="2"/>
      <c r="B60" s="2"/>
      <c r="C60" s="2"/>
      <c r="D60" s="2"/>
      <c r="E60" s="2"/>
      <c r="F60" s="2"/>
      <c r="G60" s="2"/>
      <c r="H60" s="2"/>
      <c r="I60" s="2"/>
      <c r="J60" s="2"/>
    </row>
  </sheetData>
  <mergeCells count="17">
    <mergeCell ref="A4:J4"/>
    <mergeCell ref="A8:J8"/>
    <mergeCell ref="A12:J12"/>
    <mergeCell ref="A16:E16"/>
    <mergeCell ref="G16:J16"/>
    <mergeCell ref="A25:F25"/>
    <mergeCell ref="G25:J25"/>
    <mergeCell ref="A35:F35"/>
    <mergeCell ref="A42:F42"/>
    <mergeCell ref="A50:F50"/>
    <mergeCell ref="A1:J2"/>
    <mergeCell ref="A5:J6"/>
    <mergeCell ref="A9:J10"/>
    <mergeCell ref="A13:J14"/>
    <mergeCell ref="A36:F40"/>
    <mergeCell ref="A43:F48"/>
    <mergeCell ref="A51:F5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501"/>
  <sheetViews>
    <sheetView workbookViewId="0">
      <selection activeCell="A1" sqref="A1"/>
    </sheetView>
  </sheetViews>
  <sheetFormatPr defaultColWidth="11" defaultRowHeight="17.6"/>
  <cols>
    <col min="13" max="13" width="12.8308823529412" customWidth="1"/>
    <col min="25" max="25" width="13.3308823529412" customWidth="1"/>
    <col min="28" max="28" width="19.5" customWidth="1"/>
    <col min="37" max="37" width="18.5" customWidth="1"/>
  </cols>
  <sheetData>
    <row r="1" spans="1:37">
      <c r="A1" t="s">
        <v>91</v>
      </c>
      <c r="B1" t="s">
        <v>180</v>
      </c>
      <c r="C1">
        <v>100</v>
      </c>
      <c r="F1" t="s">
        <v>92</v>
      </c>
      <c r="G1" t="s">
        <v>181</v>
      </c>
      <c r="H1" t="s">
        <v>182</v>
      </c>
      <c r="I1" t="s">
        <v>183</v>
      </c>
      <c r="J1" t="s">
        <v>184</v>
      </c>
      <c r="K1" t="s">
        <v>185</v>
      </c>
      <c r="L1" t="s">
        <v>186</v>
      </c>
      <c r="M1" t="s">
        <v>187</v>
      </c>
      <c r="N1" t="s">
        <v>188</v>
      </c>
      <c r="P1" t="s">
        <v>189</v>
      </c>
      <c r="Q1">
        <f ca="1">SUM(real_premium)</f>
        <v>11533.7625124968</v>
      </c>
      <c r="S1" t="s">
        <v>101</v>
      </c>
      <c r="T1" t="s">
        <v>93</v>
      </c>
      <c r="U1" t="s">
        <v>190</v>
      </c>
      <c r="V1" t="s">
        <v>191</v>
      </c>
      <c r="X1" t="s">
        <v>104</v>
      </c>
      <c r="Y1" t="s">
        <v>192</v>
      </c>
      <c r="Z1">
        <f ca="1">AVERAGE(R_)</f>
        <v>0.836728620108733</v>
      </c>
      <c r="AB1" t="s">
        <v>193</v>
      </c>
      <c r="AC1" t="s">
        <v>194</v>
      </c>
      <c r="AD1" t="s">
        <v>195</v>
      </c>
      <c r="AE1" t="s">
        <v>196</v>
      </c>
      <c r="AF1" t="s">
        <v>192</v>
      </c>
      <c r="AG1" t="s">
        <v>197</v>
      </c>
      <c r="AH1" t="s">
        <v>198</v>
      </c>
      <c r="AI1" t="s">
        <v>199</v>
      </c>
      <c r="AJ1" t="s">
        <v>175</v>
      </c>
      <c r="AK1" t="s">
        <v>200</v>
      </c>
    </row>
    <row r="2" spans="2:37">
      <c r="B2" t="s">
        <v>201</v>
      </c>
      <c r="C2">
        <v>10</v>
      </c>
      <c r="G2">
        <f t="array" ref="G2:G201">_xlfn.SEQUENCE(200)</f>
        <v>1</v>
      </c>
      <c r="H2">
        <f ca="1">a+(b-a)*RAND()</f>
        <v>53.6066820967646</v>
      </c>
      <c r="I2">
        <f ca="1" t="array" ref="I2:I201">-rc_*premium*LN(RAND())</f>
        <v>47.258016375753</v>
      </c>
      <c r="J2">
        <f ca="1" t="array" ref="J2:J201">IF(_xlfn.BINOM.INV(1,pe,RAND()),1.2*X,X)</f>
        <v>64.3280185161175</v>
      </c>
      <c r="K2">
        <f ca="1">IF(_xlfn.BINOM.INV(1,pc_,RAND()),Y,0)</f>
        <v>0</v>
      </c>
      <c r="L2">
        <f ca="1" t="array" ref="L2:L201">IF(ID&lt;=S,1,0)</f>
        <v>1</v>
      </c>
      <c r="M2">
        <f ca="1" t="array" ref="M2:M201">pick*premium</f>
        <v>64.3280185161175</v>
      </c>
      <c r="N2">
        <f ca="1" t="array" ref="N2:N201">pick*loss</f>
        <v>0</v>
      </c>
      <c r="P2" t="s">
        <v>202</v>
      </c>
      <c r="Q2">
        <f ca="1">SUM(real_loss)</f>
        <v>7458.63722983655</v>
      </c>
      <c r="T2">
        <f t="array" ref="T2:T501">_xlfn.SEQUENCE(500)</f>
        <v>1</v>
      </c>
      <c r="U2">
        <f ca="1">ratio</f>
        <v>0.646678585739487</v>
      </c>
      <c r="V2">
        <f ca="1" t="array" ref="V2:V501">IF(R_&gt;1,1,0)</f>
        <v>0</v>
      </c>
      <c r="Y2" t="s">
        <v>197</v>
      </c>
      <c r="Z2">
        <f ca="1">STDEV(R_)</f>
        <v>0.890498472402892</v>
      </c>
      <c r="AE2" s="11"/>
      <c r="AF2">
        <f ca="1">E_R</f>
        <v>0.836728620108733</v>
      </c>
      <c r="AG2">
        <f ca="1">s_R</f>
        <v>0.890498472402892</v>
      </c>
      <c r="AH2">
        <f ca="1">max_R</f>
        <v>7.3910058599093</v>
      </c>
      <c r="AI2">
        <f ca="1">min_R</f>
        <v>0.000656444254812084</v>
      </c>
      <c r="AJ2">
        <f ca="1">P_R_1</f>
        <v>0.294</v>
      </c>
      <c r="AK2">
        <f ca="1">Z6</f>
        <v>0.0398243023630517</v>
      </c>
    </row>
    <row r="3" spans="2:37">
      <c r="B3" t="s">
        <v>151</v>
      </c>
      <c r="C3">
        <v>50</v>
      </c>
      <c r="G3">
        <v>2</v>
      </c>
      <c r="H3">
        <f ca="1">a+(b-a)*RAND()</f>
        <v>145.746238777837</v>
      </c>
      <c r="I3">
        <v>172.165899583257</v>
      </c>
      <c r="J3">
        <v>145.746238777837</v>
      </c>
      <c r="K3">
        <f ca="1">IF(_xlfn.BINOM.INV(1,pc_,RAND()),Y,0)</f>
        <v>0</v>
      </c>
      <c r="L3">
        <v>1</v>
      </c>
      <c r="M3">
        <v>145.746238777837</v>
      </c>
      <c r="N3">
        <v>0</v>
      </c>
      <c r="P3" t="s">
        <v>203</v>
      </c>
      <c r="Q3">
        <f ca="1">TL/TP</f>
        <v>0.646678585739487</v>
      </c>
      <c r="T3">
        <v>2</v>
      </c>
      <c r="U3">
        <v>0.119032761104582</v>
      </c>
      <c r="V3">
        <v>0</v>
      </c>
      <c r="Y3" t="s">
        <v>198</v>
      </c>
      <c r="Z3">
        <f ca="1">MAX(R_)</f>
        <v>7.3910058599093</v>
      </c>
      <c r="AC3" s="10">
        <v>5</v>
      </c>
      <c r="AD3" s="10">
        <v>0.16</v>
      </c>
      <c r="AE3" s="11">
        <v>1</v>
      </c>
      <c r="AF3">
        <v>0.815600382221088</v>
      </c>
      <c r="AG3">
        <v>0.781687962457545</v>
      </c>
      <c r="AH3">
        <v>6.3363910432409</v>
      </c>
      <c r="AI3">
        <v>0.00709998151891802</v>
      </c>
      <c r="AJ3">
        <v>0.322</v>
      </c>
      <c r="AK3">
        <v>0.0349581484249675</v>
      </c>
    </row>
    <row r="4" spans="2:37">
      <c r="B4" t="s">
        <v>155</v>
      </c>
      <c r="C4">
        <v>200</v>
      </c>
      <c r="G4">
        <v>3</v>
      </c>
      <c r="H4">
        <f ca="1">a+(b-a)*RAND()</f>
        <v>190.90795617008</v>
      </c>
      <c r="I4">
        <v>910.363052144161</v>
      </c>
      <c r="J4">
        <v>190.90795617008</v>
      </c>
      <c r="K4">
        <f ca="1">IF(_xlfn.BINOM.INV(1,pc_,RAND()),Y,0)</f>
        <v>0</v>
      </c>
      <c r="L4">
        <v>1</v>
      </c>
      <c r="M4">
        <v>190.90795617008</v>
      </c>
      <c r="N4">
        <v>0</v>
      </c>
      <c r="T4">
        <v>3</v>
      </c>
      <c r="U4">
        <v>2.05402532856286</v>
      </c>
      <c r="V4">
        <v>1</v>
      </c>
      <c r="Y4" t="s">
        <v>199</v>
      </c>
      <c r="Z4">
        <f ca="1">MIN(R_)</f>
        <v>0.000656444254812084</v>
      </c>
      <c r="AC4" s="10">
        <v>10</v>
      </c>
      <c r="AD4" s="10">
        <v>0.08</v>
      </c>
      <c r="AE4" s="11">
        <v>2</v>
      </c>
      <c r="AF4">
        <v>0.815085106688974</v>
      </c>
      <c r="AG4">
        <v>0.782085720800295</v>
      </c>
      <c r="AH4">
        <v>6.3363910432409</v>
      </c>
      <c r="AI4">
        <v>0.00709998151891802</v>
      </c>
      <c r="AJ4">
        <v>0.322</v>
      </c>
      <c r="AK4">
        <v>0.0349759367188276</v>
      </c>
    </row>
    <row r="5" spans="2:37">
      <c r="B5" t="s">
        <v>204</v>
      </c>
      <c r="C5">
        <v>500</v>
      </c>
      <c r="G5">
        <v>4</v>
      </c>
      <c r="H5">
        <f ca="1">a+(b-a)*RAND()</f>
        <v>155.276674464311</v>
      </c>
      <c r="I5">
        <v>2464.39401631628</v>
      </c>
      <c r="J5">
        <v>155.276674464311</v>
      </c>
      <c r="K5">
        <f ca="1">IF(_xlfn.BINOM.INV(1,pc_,RAND()),Y,0)</f>
        <v>0</v>
      </c>
      <c r="L5">
        <v>1</v>
      </c>
      <c r="M5">
        <v>155.276674464311</v>
      </c>
      <c r="N5">
        <v>0</v>
      </c>
      <c r="T5">
        <v>4</v>
      </c>
      <c r="U5">
        <v>0.162008491120343</v>
      </c>
      <c r="V5">
        <v>0</v>
      </c>
      <c r="Y5" t="s">
        <v>175</v>
      </c>
      <c r="Z5">
        <f ca="1">AVERAGE(R_1)</f>
        <v>0.294</v>
      </c>
      <c r="AC5" s="10">
        <v>20</v>
      </c>
      <c r="AD5" s="10">
        <v>0.04</v>
      </c>
      <c r="AE5" s="12">
        <v>3</v>
      </c>
      <c r="AF5">
        <v>0.816454488923509</v>
      </c>
      <c r="AG5">
        <v>0.781402491017847</v>
      </c>
      <c r="AH5">
        <v>6.3363910432409</v>
      </c>
      <c r="AI5">
        <v>0.00709998151891802</v>
      </c>
      <c r="AJ5">
        <v>0.322</v>
      </c>
      <c r="AK5">
        <v>0.0349453817540715</v>
      </c>
    </row>
    <row r="6" spans="2:37">
      <c r="B6" t="s">
        <v>205</v>
      </c>
      <c r="C6">
        <v>1</v>
      </c>
      <c r="G6">
        <v>5</v>
      </c>
      <c r="H6">
        <f ca="1">a+(b-a)*RAND()</f>
        <v>175.731015825035</v>
      </c>
      <c r="I6">
        <v>2462.40599813945</v>
      </c>
      <c r="J6">
        <v>210.877218990043</v>
      </c>
      <c r="K6">
        <f ca="1">IF(_xlfn.BINOM.INV(1,pc_,RAND()),Y,0)</f>
        <v>0</v>
      </c>
      <c r="L6">
        <v>1</v>
      </c>
      <c r="M6">
        <v>210.877218990043</v>
      </c>
      <c r="N6">
        <v>0</v>
      </c>
      <c r="T6">
        <v>5</v>
      </c>
      <c r="U6">
        <v>0.552218910047426</v>
      </c>
      <c r="V6">
        <v>0</v>
      </c>
      <c r="Y6" t="s">
        <v>200</v>
      </c>
      <c r="Z6">
        <f ca="1">s_R/SQRT(N_insur)</f>
        <v>0.0398243023630517</v>
      </c>
      <c r="AC6" s="10">
        <v>80</v>
      </c>
      <c r="AD6" s="10">
        <v>0.01</v>
      </c>
      <c r="AE6" s="12">
        <v>4</v>
      </c>
      <c r="AF6">
        <v>0.815024705118703</v>
      </c>
      <c r="AG6">
        <v>0.78214344788296</v>
      </c>
      <c r="AH6">
        <v>6.3363910432409</v>
      </c>
      <c r="AI6">
        <v>0.00709998151891802</v>
      </c>
      <c r="AJ6">
        <v>0.322</v>
      </c>
      <c r="AK6">
        <v>0.0349785183524473</v>
      </c>
    </row>
    <row r="7" spans="2:22">
      <c r="B7" t="s">
        <v>206</v>
      </c>
      <c r="C7">
        <v>0.4</v>
      </c>
      <c r="G7">
        <v>6</v>
      </c>
      <c r="H7">
        <f ca="1">a+(b-a)*RAND()</f>
        <v>128.711693934747</v>
      </c>
      <c r="I7">
        <v>264.600241595549</v>
      </c>
      <c r="J7">
        <v>154.454032721697</v>
      </c>
      <c r="K7">
        <f ca="1">IF(_xlfn.BINOM.INV(1,pc_,RAND()),Y,0)</f>
        <v>0</v>
      </c>
      <c r="L7">
        <v>1</v>
      </c>
      <c r="M7">
        <v>154.454032721697</v>
      </c>
      <c r="N7">
        <v>0</v>
      </c>
      <c r="T7">
        <v>6</v>
      </c>
      <c r="U7">
        <v>0.781763901579116</v>
      </c>
      <c r="V7">
        <v>0</v>
      </c>
    </row>
    <row r="8" spans="2:30">
      <c r="B8" t="s">
        <v>207</v>
      </c>
      <c r="C8">
        <f ca="1">INT(_xlfn.NORM.INV(RAND(),mu_insur,sigma_insur))</f>
        <v>85</v>
      </c>
      <c r="G8">
        <v>7</v>
      </c>
      <c r="H8">
        <f ca="1">a+(b-a)*RAND()</f>
        <v>147.59521953789</v>
      </c>
      <c r="I8">
        <v>1971.38870685894</v>
      </c>
      <c r="J8">
        <v>147.59521953789</v>
      </c>
      <c r="K8">
        <f ca="1">IF(_xlfn.BINOM.INV(1,pc_,RAND()),Y,0)</f>
        <v>0</v>
      </c>
      <c r="L8">
        <v>1</v>
      </c>
      <c r="M8">
        <v>147.59521953789</v>
      </c>
      <c r="N8">
        <v>0</v>
      </c>
      <c r="T8">
        <v>7</v>
      </c>
      <c r="U8">
        <v>0.19415811072833</v>
      </c>
      <c r="V8">
        <v>0</v>
      </c>
      <c r="AC8" t="s">
        <v>208</v>
      </c>
      <c r="AD8" t="s">
        <v>209</v>
      </c>
    </row>
    <row r="9" spans="2:30">
      <c r="B9" s="10" t="s">
        <v>196</v>
      </c>
      <c r="C9" s="10" t="s">
        <v>194</v>
      </c>
      <c r="D9" s="10" t="s">
        <v>195</v>
      </c>
      <c r="G9">
        <v>8</v>
      </c>
      <c r="H9">
        <f ca="1">a+(b-a)*RAND()</f>
        <v>175.359343580068</v>
      </c>
      <c r="I9">
        <v>19.8077710804174</v>
      </c>
      <c r="J9">
        <v>175.359343580068</v>
      </c>
      <c r="K9">
        <f ca="1">IF(_xlfn.BINOM.INV(1,pc_,RAND()),Y,0)</f>
        <v>0</v>
      </c>
      <c r="L9">
        <v>1</v>
      </c>
      <c r="M9">
        <v>175.359343580068</v>
      </c>
      <c r="N9">
        <v>0</v>
      </c>
      <c r="T9">
        <v>8</v>
      </c>
      <c r="U9">
        <v>1.25667140888231</v>
      </c>
      <c r="V9">
        <v>1</v>
      </c>
      <c r="AC9">
        <v>0</v>
      </c>
      <c r="AD9">
        <f ca="1" t="array" ref="AD9:AD16">FREQUENCY(R_,bin_1)/N_insur</f>
        <v>0</v>
      </c>
    </row>
    <row r="10" spans="2:30">
      <c r="B10" s="10">
        <v>1</v>
      </c>
      <c r="C10" s="10">
        <v>5</v>
      </c>
      <c r="D10" s="10">
        <v>0.16</v>
      </c>
      <c r="G10">
        <v>9</v>
      </c>
      <c r="H10">
        <f ca="1">a+(b-a)*RAND()</f>
        <v>81.1576552451616</v>
      </c>
      <c r="I10">
        <v>220.82350048029</v>
      </c>
      <c r="J10">
        <v>81.1576552451616</v>
      </c>
      <c r="K10">
        <f ca="1">IF(_xlfn.BINOM.INV(1,pc_,RAND()),Y,0)</f>
        <v>0</v>
      </c>
      <c r="L10">
        <v>1</v>
      </c>
      <c r="M10">
        <v>81.1576552451616</v>
      </c>
      <c r="N10">
        <v>0</v>
      </c>
      <c r="T10">
        <v>9</v>
      </c>
      <c r="U10">
        <v>0.988376183358278</v>
      </c>
      <c r="V10">
        <v>0</v>
      </c>
      <c r="AC10">
        <v>1</v>
      </c>
      <c r="AD10">
        <v>0.706</v>
      </c>
    </row>
    <row r="11" spans="2:30">
      <c r="B11" s="10">
        <v>2</v>
      </c>
      <c r="C11" s="10">
        <v>10</v>
      </c>
      <c r="D11" s="10">
        <v>0.08</v>
      </c>
      <c r="G11">
        <v>10</v>
      </c>
      <c r="H11">
        <f ca="1">a+(b-a)*RAND()</f>
        <v>199.020736279209</v>
      </c>
      <c r="I11">
        <v>205.845429261077</v>
      </c>
      <c r="J11">
        <v>238.824883535051</v>
      </c>
      <c r="K11">
        <f ca="1">IF(_xlfn.BINOM.INV(1,pc_,RAND()),Y,0)</f>
        <v>0</v>
      </c>
      <c r="L11">
        <v>1</v>
      </c>
      <c r="M11">
        <v>238.824883535051</v>
      </c>
      <c r="N11">
        <v>0</v>
      </c>
      <c r="T11">
        <v>10</v>
      </c>
      <c r="U11">
        <v>0.200580138472927</v>
      </c>
      <c r="V11">
        <v>0</v>
      </c>
      <c r="AC11">
        <v>2</v>
      </c>
      <c r="AD11">
        <v>0.204</v>
      </c>
    </row>
    <row r="12" spans="2:30">
      <c r="B12" s="10">
        <v>3</v>
      </c>
      <c r="C12" s="10">
        <v>20</v>
      </c>
      <c r="D12" s="10">
        <v>0.04</v>
      </c>
      <c r="G12">
        <v>11</v>
      </c>
      <c r="H12">
        <f ca="1">a+(b-a)*RAND()</f>
        <v>192.990509267732</v>
      </c>
      <c r="I12">
        <v>239.300683991007</v>
      </c>
      <c r="J12">
        <v>192.990509267732</v>
      </c>
      <c r="K12">
        <f ca="1">IF(_xlfn.BINOM.INV(1,pc_,RAND()),Y,0)</f>
        <v>0</v>
      </c>
      <c r="L12">
        <v>1</v>
      </c>
      <c r="M12">
        <v>192.990509267732</v>
      </c>
      <c r="N12">
        <v>0</v>
      </c>
      <c r="T12">
        <v>11</v>
      </c>
      <c r="U12">
        <v>2.22628454260242</v>
      </c>
      <c r="V12">
        <v>1</v>
      </c>
      <c r="AC12">
        <v>3</v>
      </c>
      <c r="AD12">
        <v>0.064</v>
      </c>
    </row>
    <row r="13" spans="2:30">
      <c r="B13" s="10">
        <v>4</v>
      </c>
      <c r="C13" s="10">
        <v>80</v>
      </c>
      <c r="D13" s="10">
        <v>0.01</v>
      </c>
      <c r="G13">
        <v>12</v>
      </c>
      <c r="H13">
        <f ca="1">a+(b-a)*RAND()</f>
        <v>169.235353864257</v>
      </c>
      <c r="I13">
        <v>220.797808587141</v>
      </c>
      <c r="J13">
        <v>169.235353864257</v>
      </c>
      <c r="K13">
        <f ca="1">IF(_xlfn.BINOM.INV(1,pc_,RAND()),Y,0)</f>
        <v>0</v>
      </c>
      <c r="L13">
        <v>1</v>
      </c>
      <c r="M13">
        <v>169.235353864257</v>
      </c>
      <c r="N13">
        <v>0</v>
      </c>
      <c r="T13">
        <v>12</v>
      </c>
      <c r="U13">
        <v>4.83360744547221</v>
      </c>
      <c r="V13">
        <v>1</v>
      </c>
      <c r="AC13">
        <v>4</v>
      </c>
      <c r="AD13">
        <v>0.014</v>
      </c>
    </row>
    <row r="14" spans="2:30">
      <c r="B14" t="s">
        <v>194</v>
      </c>
      <c r="C14">
        <f t="array" ref="C14">INDEX(P,k,1)</f>
        <v>5</v>
      </c>
      <c r="G14">
        <v>13</v>
      </c>
      <c r="H14">
        <f ca="1">a+(b-a)*RAND()</f>
        <v>153.334784053065</v>
      </c>
      <c r="I14">
        <v>13.3267959352247</v>
      </c>
      <c r="J14">
        <v>153.334784053065</v>
      </c>
      <c r="K14">
        <f ca="1">IF(_xlfn.BINOM.INV(1,pc_,RAND()),Y,0)</f>
        <v>0</v>
      </c>
      <c r="L14">
        <v>1</v>
      </c>
      <c r="M14">
        <v>153.334784053065</v>
      </c>
      <c r="N14">
        <v>0</v>
      </c>
      <c r="T14">
        <v>13</v>
      </c>
      <c r="U14">
        <v>1.73134423956973</v>
      </c>
      <c r="V14">
        <v>1</v>
      </c>
      <c r="AC14">
        <v>5</v>
      </c>
      <c r="AD14">
        <v>0.004</v>
      </c>
    </row>
    <row r="15" spans="2:30">
      <c r="B15" t="s">
        <v>195</v>
      </c>
      <c r="C15">
        <f t="array" ref="C15">INDEX(P,k,2)</f>
        <v>0.16</v>
      </c>
      <c r="G15">
        <v>14</v>
      </c>
      <c r="H15">
        <f ca="1">a+(b-a)*RAND()</f>
        <v>183.121788491322</v>
      </c>
      <c r="I15">
        <v>1235.25071185967</v>
      </c>
      <c r="J15">
        <v>183.121788491322</v>
      </c>
      <c r="K15">
        <f ca="1">IF(_xlfn.BINOM.INV(1,pc_,RAND()),Y,0)</f>
        <v>0</v>
      </c>
      <c r="L15">
        <v>1</v>
      </c>
      <c r="M15">
        <v>183.121788491322</v>
      </c>
      <c r="N15">
        <v>0</v>
      </c>
      <c r="T15">
        <v>14</v>
      </c>
      <c r="U15">
        <v>0.332150449031547</v>
      </c>
      <c r="V15">
        <v>0</v>
      </c>
      <c r="AC15">
        <v>6</v>
      </c>
      <c r="AD15">
        <v>0.004</v>
      </c>
    </row>
    <row r="16" spans="2:30">
      <c r="B16" t="s">
        <v>196</v>
      </c>
      <c r="C16">
        <v>1</v>
      </c>
      <c r="G16">
        <v>15</v>
      </c>
      <c r="H16">
        <f ca="1">a+(b-a)*RAND()</f>
        <v>166.793256502851</v>
      </c>
      <c r="I16">
        <v>1246.98630915596</v>
      </c>
      <c r="J16">
        <v>200.151907803421</v>
      </c>
      <c r="K16">
        <f ca="1">IF(_xlfn.BINOM.INV(1,pc_,RAND()),Y,0)</f>
        <v>0</v>
      </c>
      <c r="L16">
        <v>1</v>
      </c>
      <c r="M16">
        <v>200.151907803421</v>
      </c>
      <c r="N16">
        <v>0</v>
      </c>
      <c r="T16">
        <v>15</v>
      </c>
      <c r="U16">
        <v>0.455098101078417</v>
      </c>
      <c r="V16">
        <v>0</v>
      </c>
      <c r="AD16">
        <v>0.004</v>
      </c>
    </row>
    <row r="17" spans="7:22">
      <c r="G17">
        <v>16</v>
      </c>
      <c r="H17">
        <f ca="1">a+(b-a)*RAND()</f>
        <v>102.035184658894</v>
      </c>
      <c r="I17">
        <v>1276.64641997868</v>
      </c>
      <c r="J17">
        <v>122.442221590672</v>
      </c>
      <c r="K17">
        <f ca="1">IF(_xlfn.BINOM.INV(1,pc_,RAND()),Y,0)</f>
        <v>0</v>
      </c>
      <c r="L17">
        <v>1</v>
      </c>
      <c r="M17">
        <v>122.442221590672</v>
      </c>
      <c r="N17">
        <v>0</v>
      </c>
      <c r="T17">
        <v>16</v>
      </c>
      <c r="U17">
        <v>0.99899653977961</v>
      </c>
      <c r="V17">
        <v>0</v>
      </c>
    </row>
    <row r="18" spans="7:22">
      <c r="G18">
        <v>17</v>
      </c>
      <c r="H18">
        <f ca="1">a+(b-a)*RAND()</f>
        <v>146.138222158297</v>
      </c>
      <c r="I18">
        <v>1423.03132484942</v>
      </c>
      <c r="J18">
        <v>146.138222158297</v>
      </c>
      <c r="K18">
        <f ca="1">IF(_xlfn.BINOM.INV(1,pc_,RAND()),Y,0)</f>
        <v>0</v>
      </c>
      <c r="L18">
        <v>1</v>
      </c>
      <c r="M18">
        <v>146.138222158297</v>
      </c>
      <c r="N18">
        <v>0</v>
      </c>
      <c r="T18">
        <v>17</v>
      </c>
      <c r="U18">
        <v>0.72593240594138</v>
      </c>
      <c r="V18">
        <v>0</v>
      </c>
    </row>
    <row r="19" spans="7:22">
      <c r="G19">
        <v>18</v>
      </c>
      <c r="H19">
        <f ca="1">a+(b-a)*RAND()</f>
        <v>174.783287060107</v>
      </c>
      <c r="I19">
        <v>29.9100045749958</v>
      </c>
      <c r="J19">
        <v>174.783287060107</v>
      </c>
      <c r="K19">
        <f ca="1">IF(_xlfn.BINOM.INV(1,pc_,RAND()),Y,0)</f>
        <v>0</v>
      </c>
      <c r="L19">
        <v>1</v>
      </c>
      <c r="M19">
        <v>174.783287060107</v>
      </c>
      <c r="N19">
        <v>0</v>
      </c>
      <c r="T19">
        <v>18</v>
      </c>
      <c r="U19">
        <v>0.640339233790046</v>
      </c>
      <c r="V19">
        <v>0</v>
      </c>
    </row>
    <row r="20" spans="7:22">
      <c r="G20">
        <v>19</v>
      </c>
      <c r="H20">
        <f ca="1">a+(b-a)*RAND()</f>
        <v>88.1501199564594</v>
      </c>
      <c r="I20">
        <v>49.2655523440618</v>
      </c>
      <c r="J20">
        <v>88.1501199564594</v>
      </c>
      <c r="K20">
        <f ca="1">IF(_xlfn.BINOM.INV(1,pc_,RAND()),Y,0)</f>
        <v>0</v>
      </c>
      <c r="L20">
        <v>1</v>
      </c>
      <c r="M20">
        <v>88.1501199564594</v>
      </c>
      <c r="N20">
        <v>0</v>
      </c>
      <c r="T20">
        <v>19</v>
      </c>
      <c r="U20">
        <v>2.33486797710716</v>
      </c>
      <c r="V20">
        <v>1</v>
      </c>
    </row>
    <row r="21" spans="7:22">
      <c r="G21">
        <v>20</v>
      </c>
      <c r="H21">
        <f ca="1">a+(b-a)*RAND()</f>
        <v>118.842384353782</v>
      </c>
      <c r="I21">
        <v>76.4149913122924</v>
      </c>
      <c r="J21">
        <v>118.842384353782</v>
      </c>
      <c r="K21">
        <f ca="1">IF(_xlfn.BINOM.INV(1,pc_,RAND()),Y,0)</f>
        <v>76.4149913122924</v>
      </c>
      <c r="L21">
        <v>1</v>
      </c>
      <c r="M21">
        <v>118.842384353782</v>
      </c>
      <c r="N21">
        <v>76.4149913122924</v>
      </c>
      <c r="T21">
        <v>20</v>
      </c>
      <c r="U21">
        <v>0.734340039268548</v>
      </c>
      <c r="V21">
        <v>0</v>
      </c>
    </row>
    <row r="22" spans="7:22">
      <c r="G22">
        <v>21</v>
      </c>
      <c r="H22">
        <f ca="1">a+(b-a)*RAND()</f>
        <v>76.2877630807386</v>
      </c>
      <c r="I22">
        <v>60.8998425321258</v>
      </c>
      <c r="J22">
        <v>91.5453156968864</v>
      </c>
      <c r="K22">
        <f ca="1">IF(_xlfn.BINOM.INV(1,pc_,RAND()),Y,0)</f>
        <v>60.8998425321258</v>
      </c>
      <c r="L22">
        <v>1</v>
      </c>
      <c r="M22">
        <v>91.5453156968864</v>
      </c>
      <c r="N22">
        <v>60.8998425321258</v>
      </c>
      <c r="T22">
        <v>21</v>
      </c>
      <c r="U22">
        <v>3.39610011370459</v>
      </c>
      <c r="V22">
        <v>1</v>
      </c>
    </row>
    <row r="23" spans="7:22">
      <c r="G23">
        <v>22</v>
      </c>
      <c r="H23">
        <f ca="1">a+(b-a)*RAND()</f>
        <v>133.826256364036</v>
      </c>
      <c r="I23">
        <v>835.804562864872</v>
      </c>
      <c r="J23">
        <v>133.826256364036</v>
      </c>
      <c r="K23">
        <f ca="1">IF(_xlfn.BINOM.INV(1,pc_,RAND()),Y,0)</f>
        <v>0</v>
      </c>
      <c r="L23">
        <v>1</v>
      </c>
      <c r="M23">
        <v>133.826256364036</v>
      </c>
      <c r="N23">
        <v>0</v>
      </c>
      <c r="T23">
        <v>22</v>
      </c>
      <c r="U23">
        <v>2.25709227736364</v>
      </c>
      <c r="V23">
        <v>1</v>
      </c>
    </row>
    <row r="24" spans="7:22">
      <c r="G24">
        <v>23</v>
      </c>
      <c r="H24">
        <f ca="1">a+(b-a)*RAND()</f>
        <v>76.5060969352963</v>
      </c>
      <c r="I24">
        <v>235.578376954911</v>
      </c>
      <c r="J24">
        <v>76.5060969352963</v>
      </c>
      <c r="K24">
        <f ca="1">IF(_xlfn.BINOM.INV(1,pc_,RAND()),Y,0)</f>
        <v>0</v>
      </c>
      <c r="L24">
        <v>1</v>
      </c>
      <c r="M24">
        <v>76.5060969352963</v>
      </c>
      <c r="N24">
        <v>0</v>
      </c>
      <c r="T24">
        <v>23</v>
      </c>
      <c r="U24">
        <v>0.205603228058037</v>
      </c>
      <c r="V24">
        <v>0</v>
      </c>
    </row>
    <row r="25" spans="7:22">
      <c r="G25">
        <v>24</v>
      </c>
      <c r="H25">
        <f ca="1">a+(b-a)*RAND()</f>
        <v>53.6154395460478</v>
      </c>
      <c r="I25">
        <v>153.184183915095</v>
      </c>
      <c r="J25">
        <v>53.6154395460478</v>
      </c>
      <c r="K25">
        <f ca="1">IF(_xlfn.BINOM.INV(1,pc_,RAND()),Y,0)</f>
        <v>0</v>
      </c>
      <c r="L25">
        <v>1</v>
      </c>
      <c r="M25">
        <v>53.6154395460478</v>
      </c>
      <c r="N25">
        <v>0</v>
      </c>
      <c r="T25">
        <v>24</v>
      </c>
      <c r="U25">
        <v>0.988252345737463</v>
      </c>
      <c r="V25">
        <v>0</v>
      </c>
    </row>
    <row r="26" spans="7:22">
      <c r="G26">
        <v>25</v>
      </c>
      <c r="H26">
        <f ca="1">a+(b-a)*RAND()</f>
        <v>139.517698339433</v>
      </c>
      <c r="I26">
        <v>2635.14905652148</v>
      </c>
      <c r="J26">
        <v>139.517698339433</v>
      </c>
      <c r="K26">
        <f ca="1">IF(_xlfn.BINOM.INV(1,pc_,RAND()),Y,0)</f>
        <v>0</v>
      </c>
      <c r="L26">
        <v>1</v>
      </c>
      <c r="M26">
        <v>139.517698339433</v>
      </c>
      <c r="N26">
        <v>0</v>
      </c>
      <c r="T26">
        <v>25</v>
      </c>
      <c r="U26">
        <v>0.127649898295857</v>
      </c>
      <c r="V26">
        <v>0</v>
      </c>
    </row>
    <row r="27" spans="7:22">
      <c r="G27">
        <v>26</v>
      </c>
      <c r="H27">
        <f ca="1">a+(b-a)*RAND()</f>
        <v>115.150696177218</v>
      </c>
      <c r="I27">
        <v>5.68523718964149</v>
      </c>
      <c r="J27">
        <v>115.150696177218</v>
      </c>
      <c r="K27">
        <f ca="1">IF(_xlfn.BINOM.INV(1,pc_,RAND()),Y,0)</f>
        <v>5.68523718964149</v>
      </c>
      <c r="L27">
        <v>1</v>
      </c>
      <c r="M27">
        <v>115.150696177218</v>
      </c>
      <c r="N27">
        <v>5.68523718964149</v>
      </c>
      <c r="T27">
        <v>26</v>
      </c>
      <c r="U27">
        <v>0.0017068359307503</v>
      </c>
      <c r="V27">
        <v>0</v>
      </c>
    </row>
    <row r="28" spans="7:22">
      <c r="G28">
        <v>27</v>
      </c>
      <c r="H28">
        <f ca="1">a+(b-a)*RAND()</f>
        <v>58.3984243836213</v>
      </c>
      <c r="I28">
        <v>41.4533684860136</v>
      </c>
      <c r="J28">
        <v>58.3984243836213</v>
      </c>
      <c r="K28">
        <f ca="1">IF(_xlfn.BINOM.INV(1,pc_,RAND()),Y,0)</f>
        <v>0</v>
      </c>
      <c r="L28">
        <v>1</v>
      </c>
      <c r="M28">
        <v>58.3984243836213</v>
      </c>
      <c r="N28">
        <v>0</v>
      </c>
      <c r="T28">
        <v>27</v>
      </c>
      <c r="U28">
        <v>0.247483530173894</v>
      </c>
      <c r="V28">
        <v>0</v>
      </c>
    </row>
    <row r="29" spans="7:22">
      <c r="G29">
        <v>28</v>
      </c>
      <c r="H29">
        <f ca="1">a+(b-a)*RAND()</f>
        <v>172.196109468246</v>
      </c>
      <c r="I29">
        <v>94.250499538042</v>
      </c>
      <c r="J29">
        <v>172.196109468246</v>
      </c>
      <c r="K29">
        <f ca="1">IF(_xlfn.BINOM.INV(1,pc_,RAND()),Y,0)</f>
        <v>0</v>
      </c>
      <c r="L29">
        <v>1</v>
      </c>
      <c r="M29">
        <v>172.196109468246</v>
      </c>
      <c r="N29">
        <v>0</v>
      </c>
      <c r="T29">
        <v>28</v>
      </c>
      <c r="U29">
        <v>0.418792797357946</v>
      </c>
      <c r="V29">
        <v>0</v>
      </c>
    </row>
    <row r="30" spans="7:22">
      <c r="G30">
        <v>29</v>
      </c>
      <c r="H30">
        <f ca="1">a+(b-a)*RAND()</f>
        <v>68.2721197616181</v>
      </c>
      <c r="I30">
        <v>1353.38394620005</v>
      </c>
      <c r="J30">
        <v>81.9265437139417</v>
      </c>
      <c r="K30">
        <f ca="1">IF(_xlfn.BINOM.INV(1,pc_,RAND()),Y,0)</f>
        <v>0</v>
      </c>
      <c r="L30">
        <v>1</v>
      </c>
      <c r="M30">
        <v>81.9265437139417</v>
      </c>
      <c r="N30">
        <v>0</v>
      </c>
      <c r="T30">
        <v>29</v>
      </c>
      <c r="U30">
        <v>0.750848887102495</v>
      </c>
      <c r="V30">
        <v>0</v>
      </c>
    </row>
    <row r="31" spans="7:22">
      <c r="G31">
        <v>30</v>
      </c>
      <c r="H31">
        <f ca="1">a+(b-a)*RAND()</f>
        <v>137.024229587908</v>
      </c>
      <c r="I31">
        <v>1057.69404785913</v>
      </c>
      <c r="J31">
        <v>137.024229587908</v>
      </c>
      <c r="K31">
        <f ca="1">IF(_xlfn.BINOM.INV(1,pc_,RAND()),Y,0)</f>
        <v>0</v>
      </c>
      <c r="L31">
        <v>1</v>
      </c>
      <c r="M31">
        <v>137.024229587908</v>
      </c>
      <c r="N31">
        <v>0</v>
      </c>
      <c r="T31">
        <v>30</v>
      </c>
      <c r="U31">
        <v>0.0415339966185543</v>
      </c>
      <c r="V31">
        <v>0</v>
      </c>
    </row>
    <row r="32" spans="7:22">
      <c r="G32">
        <v>31</v>
      </c>
      <c r="H32">
        <f ca="1">a+(b-a)*RAND()</f>
        <v>75.2528996390074</v>
      </c>
      <c r="I32">
        <v>1597.7228518898</v>
      </c>
      <c r="J32">
        <v>75.2528996390074</v>
      </c>
      <c r="K32">
        <f ca="1">IF(_xlfn.BINOM.INV(1,pc_,RAND()),Y,0)</f>
        <v>0</v>
      </c>
      <c r="L32">
        <v>1</v>
      </c>
      <c r="M32">
        <v>75.2528996390074</v>
      </c>
      <c r="N32">
        <v>0</v>
      </c>
      <c r="T32">
        <v>31</v>
      </c>
      <c r="U32">
        <v>0.00661444820266472</v>
      </c>
      <c r="V32">
        <v>0</v>
      </c>
    </row>
    <row r="33" spans="7:22">
      <c r="G33">
        <v>32</v>
      </c>
      <c r="H33">
        <f ca="1">a+(b-a)*RAND()</f>
        <v>153.774633184486</v>
      </c>
      <c r="I33">
        <v>1887.99244048473</v>
      </c>
      <c r="J33">
        <v>184.529559821384</v>
      </c>
      <c r="K33">
        <f ca="1">IF(_xlfn.BINOM.INV(1,pc_,RAND()),Y,0)</f>
        <v>0</v>
      </c>
      <c r="L33">
        <v>1</v>
      </c>
      <c r="M33">
        <v>184.529559821384</v>
      </c>
      <c r="N33">
        <v>0</v>
      </c>
      <c r="T33">
        <v>32</v>
      </c>
      <c r="U33">
        <v>2.89086646406742</v>
      </c>
      <c r="V33">
        <v>1</v>
      </c>
    </row>
    <row r="34" spans="7:22">
      <c r="G34">
        <v>33</v>
      </c>
      <c r="H34">
        <f ca="1">a+(b-a)*RAND()</f>
        <v>130.111264728003</v>
      </c>
      <c r="I34">
        <v>1443.46440978781</v>
      </c>
      <c r="J34">
        <v>156.133517673603</v>
      </c>
      <c r="K34">
        <f ca="1">IF(_xlfn.BINOM.INV(1,pc_,RAND()),Y,0)</f>
        <v>0</v>
      </c>
      <c r="L34">
        <v>1</v>
      </c>
      <c r="M34">
        <v>156.133517673603</v>
      </c>
      <c r="N34">
        <v>0</v>
      </c>
      <c r="T34">
        <v>33</v>
      </c>
      <c r="U34">
        <v>2.34274519296589</v>
      </c>
      <c r="V34">
        <v>1</v>
      </c>
    </row>
    <row r="35" spans="7:22">
      <c r="G35">
        <v>34</v>
      </c>
      <c r="H35">
        <f ca="1">a+(b-a)*RAND()</f>
        <v>79.0793311082605</v>
      </c>
      <c r="I35">
        <v>670.778707737289</v>
      </c>
      <c r="J35">
        <v>94.8951973299126</v>
      </c>
      <c r="K35">
        <f ca="1">IF(_xlfn.BINOM.INV(1,pc_,RAND()),Y,0)</f>
        <v>670.778707737289</v>
      </c>
      <c r="L35">
        <v>1</v>
      </c>
      <c r="M35">
        <v>94.8951973299126</v>
      </c>
      <c r="N35">
        <v>670.778707737289</v>
      </c>
      <c r="T35">
        <v>34</v>
      </c>
      <c r="U35">
        <v>1.70798473226398</v>
      </c>
      <c r="V35">
        <v>1</v>
      </c>
    </row>
    <row r="36" spans="7:22">
      <c r="G36">
        <v>35</v>
      </c>
      <c r="H36">
        <f ca="1">a+(b-a)*RAND()</f>
        <v>94.4302052675754</v>
      </c>
      <c r="I36">
        <v>8.90660110648936</v>
      </c>
      <c r="J36">
        <v>113.316246321091</v>
      </c>
      <c r="K36">
        <f ca="1">IF(_xlfn.BINOM.INV(1,pc_,RAND()),Y,0)</f>
        <v>0</v>
      </c>
      <c r="L36">
        <v>1</v>
      </c>
      <c r="M36">
        <v>113.316246321091</v>
      </c>
      <c r="N36">
        <v>0</v>
      </c>
      <c r="T36">
        <v>35</v>
      </c>
      <c r="U36">
        <v>0.189785878012078</v>
      </c>
      <c r="V36">
        <v>0</v>
      </c>
    </row>
    <row r="37" spans="7:22">
      <c r="G37">
        <v>36</v>
      </c>
      <c r="H37">
        <f ca="1">a+(b-a)*RAND()</f>
        <v>57.3612923581902</v>
      </c>
      <c r="I37">
        <v>95.7321246584176</v>
      </c>
      <c r="J37">
        <v>57.3612923581902</v>
      </c>
      <c r="K37">
        <f ca="1">IF(_xlfn.BINOM.INV(1,pc_,RAND()),Y,0)</f>
        <v>0</v>
      </c>
      <c r="L37">
        <v>1</v>
      </c>
      <c r="M37">
        <v>57.3612923581902</v>
      </c>
      <c r="N37">
        <v>0</v>
      </c>
      <c r="T37">
        <v>36</v>
      </c>
      <c r="U37">
        <v>0.206774996416414</v>
      </c>
      <c r="V37">
        <v>0</v>
      </c>
    </row>
    <row r="38" spans="7:22">
      <c r="G38">
        <v>37</v>
      </c>
      <c r="H38">
        <f ca="1">a+(b-a)*RAND()</f>
        <v>183.473703293484</v>
      </c>
      <c r="I38">
        <v>350.874078246388</v>
      </c>
      <c r="J38">
        <v>183.473703293484</v>
      </c>
      <c r="K38">
        <f ca="1">IF(_xlfn.BINOM.INV(1,pc_,RAND()),Y,0)</f>
        <v>0</v>
      </c>
      <c r="L38">
        <v>1</v>
      </c>
      <c r="M38">
        <v>183.473703293484</v>
      </c>
      <c r="N38">
        <v>0</v>
      </c>
      <c r="T38">
        <v>37</v>
      </c>
      <c r="U38">
        <v>0.347369441766072</v>
      </c>
      <c r="V38">
        <v>0</v>
      </c>
    </row>
    <row r="39" spans="7:22">
      <c r="G39">
        <v>38</v>
      </c>
      <c r="H39">
        <f ca="1">a+(b-a)*RAND()</f>
        <v>84.6929000074806</v>
      </c>
      <c r="I39">
        <v>184.451664599781</v>
      </c>
      <c r="J39">
        <v>84.6929000074806</v>
      </c>
      <c r="K39">
        <f ca="1">IF(_xlfn.BINOM.INV(1,pc_,RAND()),Y,0)</f>
        <v>0</v>
      </c>
      <c r="L39">
        <v>1</v>
      </c>
      <c r="M39">
        <v>84.6929000074806</v>
      </c>
      <c r="N39">
        <v>0</v>
      </c>
      <c r="T39">
        <v>38</v>
      </c>
      <c r="U39">
        <v>0.553035314861949</v>
      </c>
      <c r="V39">
        <v>0</v>
      </c>
    </row>
    <row r="40" spans="7:22">
      <c r="G40">
        <v>39</v>
      </c>
      <c r="H40">
        <f ca="1">a+(b-a)*RAND()</f>
        <v>97.591567788522</v>
      </c>
      <c r="I40">
        <v>372.255615614655</v>
      </c>
      <c r="J40">
        <v>117.109881346226</v>
      </c>
      <c r="K40">
        <f ca="1">IF(_xlfn.BINOM.INV(1,pc_,RAND()),Y,0)</f>
        <v>372.255615614655</v>
      </c>
      <c r="L40">
        <v>1</v>
      </c>
      <c r="M40">
        <v>117.109881346226</v>
      </c>
      <c r="N40">
        <v>372.255615614655</v>
      </c>
      <c r="T40">
        <v>39</v>
      </c>
      <c r="U40">
        <v>0.659443425969507</v>
      </c>
      <c r="V40">
        <v>0</v>
      </c>
    </row>
    <row r="41" spans="7:22">
      <c r="G41">
        <v>40</v>
      </c>
      <c r="H41">
        <f ca="1">a+(b-a)*RAND()</f>
        <v>84.0034728191493</v>
      </c>
      <c r="I41">
        <v>204.765440530105</v>
      </c>
      <c r="J41">
        <v>84.0034728191493</v>
      </c>
      <c r="K41">
        <f ca="1">IF(_xlfn.BINOM.INV(1,pc_,RAND()),Y,0)</f>
        <v>204.765440530105</v>
      </c>
      <c r="L41">
        <v>1</v>
      </c>
      <c r="M41">
        <v>84.0034728191493</v>
      </c>
      <c r="N41">
        <v>204.765440530105</v>
      </c>
      <c r="T41">
        <v>40</v>
      </c>
      <c r="U41">
        <v>0.401145923583957</v>
      </c>
      <c r="V41">
        <v>0</v>
      </c>
    </row>
    <row r="42" spans="7:22">
      <c r="G42">
        <v>41</v>
      </c>
      <c r="H42">
        <f ca="1">a+(b-a)*RAND()</f>
        <v>134.415132899575</v>
      </c>
      <c r="I42">
        <v>218.345143711198</v>
      </c>
      <c r="J42">
        <v>134.415132899575</v>
      </c>
      <c r="K42">
        <f ca="1">IF(_xlfn.BINOM.INV(1,pc_,RAND()),Y,0)</f>
        <v>218.345143711198</v>
      </c>
      <c r="L42">
        <v>1</v>
      </c>
      <c r="M42">
        <v>134.415132899575</v>
      </c>
      <c r="N42">
        <v>218.345143711198</v>
      </c>
      <c r="T42">
        <v>41</v>
      </c>
      <c r="U42">
        <v>1.31090437029629</v>
      </c>
      <c r="V42">
        <v>1</v>
      </c>
    </row>
    <row r="43" spans="7:22">
      <c r="G43">
        <v>42</v>
      </c>
      <c r="H43">
        <f ca="1">a+(b-a)*RAND()</f>
        <v>105.738267887162</v>
      </c>
      <c r="I43">
        <v>716.181402991828</v>
      </c>
      <c r="J43">
        <v>105.738267887162</v>
      </c>
      <c r="K43">
        <f ca="1">IF(_xlfn.BINOM.INV(1,pc_,RAND()),Y,0)</f>
        <v>0</v>
      </c>
      <c r="L43">
        <v>1</v>
      </c>
      <c r="M43">
        <v>105.738267887162</v>
      </c>
      <c r="N43">
        <v>0</v>
      </c>
      <c r="T43">
        <v>42</v>
      </c>
      <c r="U43">
        <v>0.0262539984433515</v>
      </c>
      <c r="V43">
        <v>0</v>
      </c>
    </row>
    <row r="44" spans="7:22">
      <c r="G44">
        <v>43</v>
      </c>
      <c r="H44">
        <f ca="1">a+(b-a)*RAND()</f>
        <v>132.205462778321</v>
      </c>
      <c r="I44">
        <v>288.227484815263</v>
      </c>
      <c r="J44">
        <v>132.205462778321</v>
      </c>
      <c r="K44">
        <f ca="1">IF(_xlfn.BINOM.INV(1,pc_,RAND()),Y,0)</f>
        <v>0</v>
      </c>
      <c r="L44">
        <v>1</v>
      </c>
      <c r="M44">
        <v>132.205462778321</v>
      </c>
      <c r="N44">
        <v>0</v>
      </c>
      <c r="T44">
        <v>43</v>
      </c>
      <c r="U44">
        <v>2.92964720853843</v>
      </c>
      <c r="V44">
        <v>1</v>
      </c>
    </row>
    <row r="45" spans="7:22">
      <c r="G45">
        <v>44</v>
      </c>
      <c r="H45">
        <f ca="1">a+(b-a)*RAND()</f>
        <v>59.3293361272329</v>
      </c>
      <c r="I45">
        <v>186.521202270307</v>
      </c>
      <c r="J45">
        <v>59.3293361272329</v>
      </c>
      <c r="K45">
        <f ca="1">IF(_xlfn.BINOM.INV(1,pc_,RAND()),Y,0)</f>
        <v>0</v>
      </c>
      <c r="L45">
        <v>1</v>
      </c>
      <c r="M45">
        <v>59.3293361272329</v>
      </c>
      <c r="N45">
        <v>0</v>
      </c>
      <c r="T45">
        <v>44</v>
      </c>
      <c r="U45">
        <v>0.425534157538874</v>
      </c>
      <c r="V45">
        <v>0</v>
      </c>
    </row>
    <row r="46" spans="7:22">
      <c r="G46">
        <v>45</v>
      </c>
      <c r="H46">
        <f ca="1">a+(b-a)*RAND()</f>
        <v>69.6857916351456</v>
      </c>
      <c r="I46">
        <v>31.1512902149451</v>
      </c>
      <c r="J46">
        <v>69.6857916351456</v>
      </c>
      <c r="K46">
        <f ca="1">IF(_xlfn.BINOM.INV(1,pc_,RAND()),Y,0)</f>
        <v>0</v>
      </c>
      <c r="L46">
        <v>1</v>
      </c>
      <c r="M46">
        <v>69.6857916351456</v>
      </c>
      <c r="N46">
        <v>0</v>
      </c>
      <c r="T46">
        <v>45</v>
      </c>
      <c r="U46">
        <v>0.197965385941872</v>
      </c>
      <c r="V46">
        <v>0</v>
      </c>
    </row>
    <row r="47" spans="7:22">
      <c r="G47">
        <v>46</v>
      </c>
      <c r="H47">
        <f ca="1">a+(b-a)*RAND()</f>
        <v>178.194759582859</v>
      </c>
      <c r="I47">
        <v>83.8545660400107</v>
      </c>
      <c r="J47">
        <v>178.194759582859</v>
      </c>
      <c r="K47">
        <f ca="1">IF(_xlfn.BINOM.INV(1,pc_,RAND()),Y,0)</f>
        <v>0</v>
      </c>
      <c r="L47">
        <v>1</v>
      </c>
      <c r="M47">
        <v>178.194759582859</v>
      </c>
      <c r="N47">
        <v>0</v>
      </c>
      <c r="T47">
        <v>46</v>
      </c>
      <c r="U47">
        <v>1.05505153518822</v>
      </c>
      <c r="V47">
        <v>1</v>
      </c>
    </row>
    <row r="48" spans="7:22">
      <c r="G48">
        <v>47</v>
      </c>
      <c r="H48">
        <f ca="1">a+(b-a)*RAND()</f>
        <v>95.0342480892307</v>
      </c>
      <c r="I48">
        <v>0.114534250617003</v>
      </c>
      <c r="J48">
        <v>95.0342480892307</v>
      </c>
      <c r="K48">
        <f ca="1">IF(_xlfn.BINOM.INV(1,pc_,RAND()),Y,0)</f>
        <v>0</v>
      </c>
      <c r="L48">
        <v>1</v>
      </c>
      <c r="M48">
        <v>95.0342480892307</v>
      </c>
      <c r="N48">
        <v>0</v>
      </c>
      <c r="T48">
        <v>47</v>
      </c>
      <c r="U48">
        <v>0.624077184857404</v>
      </c>
      <c r="V48">
        <v>0</v>
      </c>
    </row>
    <row r="49" spans="7:22">
      <c r="G49">
        <v>48</v>
      </c>
      <c r="H49">
        <f ca="1">a+(b-a)*RAND()</f>
        <v>90.15703876366</v>
      </c>
      <c r="I49">
        <v>152.635819442963</v>
      </c>
      <c r="J49">
        <v>90.15703876366</v>
      </c>
      <c r="K49">
        <f ca="1">IF(_xlfn.BINOM.INV(1,pc_,RAND()),Y,0)</f>
        <v>0</v>
      </c>
      <c r="L49">
        <v>1</v>
      </c>
      <c r="M49">
        <v>90.15703876366</v>
      </c>
      <c r="N49">
        <v>0</v>
      </c>
      <c r="T49">
        <v>48</v>
      </c>
      <c r="U49">
        <v>2.01834789732135</v>
      </c>
      <c r="V49">
        <v>1</v>
      </c>
    </row>
    <row r="50" spans="7:22">
      <c r="G50">
        <v>49</v>
      </c>
      <c r="H50">
        <f ca="1">a+(b-a)*RAND()</f>
        <v>150.736140291022</v>
      </c>
      <c r="I50">
        <v>2000.76856103007</v>
      </c>
      <c r="J50">
        <v>180.883368349226</v>
      </c>
      <c r="K50">
        <f ca="1">IF(_xlfn.BINOM.INV(1,pc_,RAND()),Y,0)</f>
        <v>0</v>
      </c>
      <c r="L50">
        <v>1</v>
      </c>
      <c r="M50">
        <v>180.883368349226</v>
      </c>
      <c r="N50">
        <v>0</v>
      </c>
      <c r="T50">
        <v>49</v>
      </c>
      <c r="U50">
        <v>0.528831848149421</v>
      </c>
      <c r="V50">
        <v>0</v>
      </c>
    </row>
    <row r="51" spans="7:22">
      <c r="G51">
        <v>50</v>
      </c>
      <c r="H51">
        <f ca="1">a+(b-a)*RAND()</f>
        <v>74.3744374962617</v>
      </c>
      <c r="I51">
        <v>336.089794025838</v>
      </c>
      <c r="J51">
        <v>74.3744374962617</v>
      </c>
      <c r="K51">
        <f ca="1">IF(_xlfn.BINOM.INV(1,pc_,RAND()),Y,0)</f>
        <v>0</v>
      </c>
      <c r="L51">
        <v>1</v>
      </c>
      <c r="M51">
        <v>74.3744374962617</v>
      </c>
      <c r="N51">
        <v>0</v>
      </c>
      <c r="T51">
        <v>50</v>
      </c>
      <c r="U51">
        <v>0.268086916681454</v>
      </c>
      <c r="V51">
        <v>0</v>
      </c>
    </row>
    <row r="52" spans="7:22">
      <c r="G52">
        <v>51</v>
      </c>
      <c r="H52">
        <f ca="1">a+(b-a)*RAND()</f>
        <v>193.113796229415</v>
      </c>
      <c r="I52">
        <v>126.882091988399</v>
      </c>
      <c r="J52">
        <v>193.113796229415</v>
      </c>
      <c r="K52">
        <f ca="1">IF(_xlfn.BINOM.INV(1,pc_,RAND()),Y,0)</f>
        <v>0</v>
      </c>
      <c r="L52">
        <v>1</v>
      </c>
      <c r="M52">
        <v>193.113796229415</v>
      </c>
      <c r="N52">
        <v>0</v>
      </c>
      <c r="T52">
        <v>51</v>
      </c>
      <c r="U52">
        <v>1.32150997480446</v>
      </c>
      <c r="V52">
        <v>1</v>
      </c>
    </row>
    <row r="53" spans="7:22">
      <c r="G53">
        <v>52</v>
      </c>
      <c r="H53">
        <f ca="1">a+(b-a)*RAND()</f>
        <v>143.219032647298</v>
      </c>
      <c r="I53">
        <v>1638.93689015751</v>
      </c>
      <c r="J53">
        <v>171.862839176757</v>
      </c>
      <c r="K53">
        <f ca="1">IF(_xlfn.BINOM.INV(1,pc_,RAND()),Y,0)</f>
        <v>0</v>
      </c>
      <c r="L53">
        <v>1</v>
      </c>
      <c r="M53">
        <v>171.862839176757</v>
      </c>
      <c r="N53">
        <v>0</v>
      </c>
      <c r="T53">
        <v>52</v>
      </c>
      <c r="U53">
        <v>2.02708059528788</v>
      </c>
      <c r="V53">
        <v>1</v>
      </c>
    </row>
    <row r="54" spans="7:22">
      <c r="G54">
        <v>53</v>
      </c>
      <c r="H54">
        <f ca="1">a+(b-a)*RAND()</f>
        <v>125.665727905444</v>
      </c>
      <c r="I54">
        <v>428.455081985215</v>
      </c>
      <c r="J54">
        <v>125.665727905444</v>
      </c>
      <c r="K54">
        <f ca="1">IF(_xlfn.BINOM.INV(1,pc_,RAND()),Y,0)</f>
        <v>0</v>
      </c>
      <c r="L54">
        <v>1</v>
      </c>
      <c r="M54">
        <v>125.665727905444</v>
      </c>
      <c r="N54">
        <v>0</v>
      </c>
      <c r="T54">
        <v>53</v>
      </c>
      <c r="U54">
        <v>0.405208331024925</v>
      </c>
      <c r="V54">
        <v>0</v>
      </c>
    </row>
    <row r="55" spans="7:22">
      <c r="G55">
        <v>54</v>
      </c>
      <c r="H55">
        <f ca="1">a+(b-a)*RAND()</f>
        <v>120.941538699924</v>
      </c>
      <c r="I55">
        <v>1985.87682290609</v>
      </c>
      <c r="J55">
        <v>145.129846439908</v>
      </c>
      <c r="K55">
        <f ca="1">IF(_xlfn.BINOM.INV(1,pc_,RAND()),Y,0)</f>
        <v>0</v>
      </c>
      <c r="L55">
        <v>1</v>
      </c>
      <c r="M55">
        <v>145.129846439908</v>
      </c>
      <c r="N55">
        <v>0</v>
      </c>
      <c r="T55">
        <v>54</v>
      </c>
      <c r="U55">
        <v>0.326890711823593</v>
      </c>
      <c r="V55">
        <v>0</v>
      </c>
    </row>
    <row r="56" spans="7:22">
      <c r="G56">
        <v>55</v>
      </c>
      <c r="H56">
        <f ca="1">a+(b-a)*RAND()</f>
        <v>154.450292141224</v>
      </c>
      <c r="I56">
        <v>653.767710385653</v>
      </c>
      <c r="J56">
        <v>154.450292141224</v>
      </c>
      <c r="K56">
        <f ca="1">IF(_xlfn.BINOM.INV(1,pc_,RAND()),Y,0)</f>
        <v>653.767710385653</v>
      </c>
      <c r="L56">
        <v>1</v>
      </c>
      <c r="M56">
        <v>154.450292141224</v>
      </c>
      <c r="N56">
        <v>653.767710385653</v>
      </c>
      <c r="T56">
        <v>55</v>
      </c>
      <c r="U56">
        <v>0.0346117317516649</v>
      </c>
      <c r="V56">
        <v>0</v>
      </c>
    </row>
    <row r="57" spans="7:22">
      <c r="G57">
        <v>56</v>
      </c>
      <c r="H57">
        <f ca="1">a+(b-a)*RAND()</f>
        <v>99.9580365041236</v>
      </c>
      <c r="I57">
        <v>3432.1532917054</v>
      </c>
      <c r="J57">
        <v>99.9580365041236</v>
      </c>
      <c r="K57">
        <f ca="1">IF(_xlfn.BINOM.INV(1,pc_,RAND()),Y,0)</f>
        <v>3432.1532917054</v>
      </c>
      <c r="L57">
        <v>1</v>
      </c>
      <c r="M57">
        <v>99.9580365041236</v>
      </c>
      <c r="N57">
        <v>3432.1532917054</v>
      </c>
      <c r="T57">
        <v>56</v>
      </c>
      <c r="U57">
        <v>0.266935812693571</v>
      </c>
      <c r="V57">
        <v>0</v>
      </c>
    </row>
    <row r="58" spans="7:22">
      <c r="G58">
        <v>57</v>
      </c>
      <c r="H58">
        <f ca="1">a+(b-a)*RAND()</f>
        <v>64.6488880256778</v>
      </c>
      <c r="I58">
        <v>258.531625834975</v>
      </c>
      <c r="J58">
        <v>64.6488880256778</v>
      </c>
      <c r="K58">
        <f ca="1">IF(_xlfn.BINOM.INV(1,pc_,RAND()),Y,0)</f>
        <v>0</v>
      </c>
      <c r="L58">
        <v>1</v>
      </c>
      <c r="M58">
        <v>64.6488880256778</v>
      </c>
      <c r="N58">
        <v>0</v>
      </c>
      <c r="T58">
        <v>57</v>
      </c>
      <c r="U58">
        <v>0.669875084485556</v>
      </c>
      <c r="V58">
        <v>0</v>
      </c>
    </row>
    <row r="59" spans="7:22">
      <c r="G59">
        <v>58</v>
      </c>
      <c r="H59">
        <f ca="1">a+(b-a)*RAND()</f>
        <v>102.83350739157</v>
      </c>
      <c r="I59">
        <v>621.226205348752</v>
      </c>
      <c r="J59">
        <v>102.83350739157</v>
      </c>
      <c r="K59">
        <f ca="1">IF(_xlfn.BINOM.INV(1,pc_,RAND()),Y,0)</f>
        <v>0</v>
      </c>
      <c r="L59">
        <v>1</v>
      </c>
      <c r="M59">
        <v>102.83350739157</v>
      </c>
      <c r="N59">
        <v>0</v>
      </c>
      <c r="T59">
        <v>58</v>
      </c>
      <c r="U59">
        <v>1.13623180965953</v>
      </c>
      <c r="V59">
        <v>1</v>
      </c>
    </row>
    <row r="60" spans="7:22">
      <c r="G60">
        <v>59</v>
      </c>
      <c r="H60">
        <f ca="1">a+(b-a)*RAND()</f>
        <v>64.8476269654252</v>
      </c>
      <c r="I60">
        <v>387.416627584743</v>
      </c>
      <c r="J60">
        <v>64.8476269654252</v>
      </c>
      <c r="K60">
        <f ca="1">IF(_xlfn.BINOM.INV(1,pc_,RAND()),Y,0)</f>
        <v>0</v>
      </c>
      <c r="L60">
        <v>1</v>
      </c>
      <c r="M60">
        <v>64.8476269654252</v>
      </c>
      <c r="N60">
        <v>0</v>
      </c>
      <c r="T60">
        <v>59</v>
      </c>
      <c r="U60">
        <v>0.235882895071897</v>
      </c>
      <c r="V60">
        <v>0</v>
      </c>
    </row>
    <row r="61" spans="7:22">
      <c r="G61">
        <v>60</v>
      </c>
      <c r="H61">
        <f ca="1">a+(b-a)*RAND()</f>
        <v>161.109925918982</v>
      </c>
      <c r="I61">
        <v>717.692194198673</v>
      </c>
      <c r="J61">
        <v>193.331911102779</v>
      </c>
      <c r="K61">
        <f ca="1">IF(_xlfn.BINOM.INV(1,pc_,RAND()),Y,0)</f>
        <v>717.692194198673</v>
      </c>
      <c r="L61">
        <v>1</v>
      </c>
      <c r="M61">
        <v>193.331911102779</v>
      </c>
      <c r="N61">
        <v>717.692194198673</v>
      </c>
      <c r="T61">
        <v>60</v>
      </c>
      <c r="U61">
        <v>0.645729581341849</v>
      </c>
      <c r="V61">
        <v>0</v>
      </c>
    </row>
    <row r="62" spans="7:22">
      <c r="G62">
        <v>61</v>
      </c>
      <c r="H62">
        <f ca="1">a+(b-a)*RAND()</f>
        <v>115.895838119979</v>
      </c>
      <c r="I62">
        <v>362.860224501685</v>
      </c>
      <c r="J62">
        <v>115.895838119979</v>
      </c>
      <c r="K62">
        <f ca="1">IF(_xlfn.BINOM.INV(1,pc_,RAND()),Y,0)</f>
        <v>0</v>
      </c>
      <c r="L62">
        <v>1</v>
      </c>
      <c r="M62">
        <v>115.895838119979</v>
      </c>
      <c r="N62">
        <v>0</v>
      </c>
      <c r="T62">
        <v>61</v>
      </c>
      <c r="U62">
        <v>2.08243780718526</v>
      </c>
      <c r="V62">
        <v>1</v>
      </c>
    </row>
    <row r="63" spans="7:22">
      <c r="G63">
        <v>62</v>
      </c>
      <c r="H63">
        <f ca="1">a+(b-a)*RAND()</f>
        <v>165.380792613711</v>
      </c>
      <c r="I63">
        <v>1458.64577618631</v>
      </c>
      <c r="J63">
        <v>198.456951136453</v>
      </c>
      <c r="K63">
        <f ca="1">IF(_xlfn.BINOM.INV(1,pc_,RAND()),Y,0)</f>
        <v>0</v>
      </c>
      <c r="L63">
        <v>1</v>
      </c>
      <c r="M63">
        <v>198.456951136453</v>
      </c>
      <c r="N63">
        <v>0</v>
      </c>
      <c r="T63">
        <v>62</v>
      </c>
      <c r="U63">
        <v>0.639741467774079</v>
      </c>
      <c r="V63">
        <v>0</v>
      </c>
    </row>
    <row r="64" spans="7:22">
      <c r="G64">
        <v>63</v>
      </c>
      <c r="H64">
        <f ca="1">a+(b-a)*RAND()</f>
        <v>155.083326416844</v>
      </c>
      <c r="I64">
        <v>623.479899878177</v>
      </c>
      <c r="J64">
        <v>155.083326416844</v>
      </c>
      <c r="K64">
        <f ca="1">IF(_xlfn.BINOM.INV(1,pc_,RAND()),Y,0)</f>
        <v>0</v>
      </c>
      <c r="L64">
        <v>1</v>
      </c>
      <c r="M64">
        <v>155.083326416844</v>
      </c>
      <c r="N64">
        <v>0</v>
      </c>
      <c r="T64">
        <v>63</v>
      </c>
      <c r="U64">
        <v>0.154752064347383</v>
      </c>
      <c r="V64">
        <v>0</v>
      </c>
    </row>
    <row r="65" spans="7:22">
      <c r="G65">
        <v>64</v>
      </c>
      <c r="H65">
        <f ca="1">a+(b-a)*RAND()</f>
        <v>140.107605270338</v>
      </c>
      <c r="I65">
        <v>339.943459499846</v>
      </c>
      <c r="J65">
        <v>140.107605270338</v>
      </c>
      <c r="K65">
        <f ca="1">IF(_xlfn.BINOM.INV(1,pc_,RAND()),Y,0)</f>
        <v>0</v>
      </c>
      <c r="L65">
        <v>1</v>
      </c>
      <c r="M65">
        <v>140.107605270338</v>
      </c>
      <c r="N65">
        <v>0</v>
      </c>
      <c r="T65">
        <v>64</v>
      </c>
      <c r="U65">
        <v>3.98583653186097</v>
      </c>
      <c r="V65">
        <v>1</v>
      </c>
    </row>
    <row r="66" spans="7:22">
      <c r="G66">
        <v>65</v>
      </c>
      <c r="H66">
        <f ca="1">a+(b-a)*RAND()</f>
        <v>143.480153691429</v>
      </c>
      <c r="I66">
        <v>814.471794471004</v>
      </c>
      <c r="J66">
        <v>172.176184429715</v>
      </c>
      <c r="K66">
        <f ca="1">IF(_xlfn.BINOM.INV(1,pc_,RAND()),Y,0)</f>
        <v>0</v>
      </c>
      <c r="L66">
        <v>1</v>
      </c>
      <c r="M66">
        <v>172.176184429715</v>
      </c>
      <c r="N66">
        <v>0</v>
      </c>
      <c r="T66">
        <v>65</v>
      </c>
      <c r="U66">
        <v>1.74634825229168</v>
      </c>
      <c r="V66">
        <v>1</v>
      </c>
    </row>
    <row r="67" spans="7:22">
      <c r="G67">
        <v>66</v>
      </c>
      <c r="H67">
        <f ca="1">a+(b-a)*RAND()</f>
        <v>54.716793168554</v>
      </c>
      <c r="I67">
        <v>405.654748541746</v>
      </c>
      <c r="J67">
        <v>65.6601518022648</v>
      </c>
      <c r="K67">
        <f ca="1">IF(_xlfn.BINOM.INV(1,pc_,RAND()),Y,0)</f>
        <v>0</v>
      </c>
      <c r="L67">
        <v>1</v>
      </c>
      <c r="M67">
        <v>65.6601518022648</v>
      </c>
      <c r="N67">
        <v>0</v>
      </c>
      <c r="T67">
        <v>66</v>
      </c>
      <c r="U67">
        <v>1.25493630132304</v>
      </c>
      <c r="V67">
        <v>1</v>
      </c>
    </row>
    <row r="68" spans="7:22">
      <c r="G68">
        <v>67</v>
      </c>
      <c r="H68">
        <f ca="1">a+(b-a)*RAND()</f>
        <v>166.070125629123</v>
      </c>
      <c r="I68">
        <v>3697.55039886412</v>
      </c>
      <c r="J68">
        <v>166.070125629123</v>
      </c>
      <c r="K68">
        <f ca="1">IF(_xlfn.BINOM.INV(1,pc_,RAND()),Y,0)</f>
        <v>0</v>
      </c>
      <c r="L68">
        <v>1</v>
      </c>
      <c r="M68">
        <v>166.070125629123</v>
      </c>
      <c r="N68">
        <v>0</v>
      </c>
      <c r="T68">
        <v>67</v>
      </c>
      <c r="U68">
        <v>1.01559271411406</v>
      </c>
      <c r="V68">
        <v>1</v>
      </c>
    </row>
    <row r="69" spans="7:22">
      <c r="G69">
        <v>68</v>
      </c>
      <c r="H69">
        <f ca="1">a+(b-a)*RAND()</f>
        <v>169.773541194636</v>
      </c>
      <c r="I69">
        <v>243.176867286223</v>
      </c>
      <c r="J69">
        <v>169.773541194636</v>
      </c>
      <c r="K69">
        <f ca="1">IF(_xlfn.BINOM.INV(1,pc_,RAND()),Y,0)</f>
        <v>0</v>
      </c>
      <c r="L69">
        <v>1</v>
      </c>
      <c r="M69">
        <v>169.773541194636</v>
      </c>
      <c r="N69">
        <v>0</v>
      </c>
      <c r="T69">
        <v>68</v>
      </c>
      <c r="U69">
        <v>0.211841470920374</v>
      </c>
      <c r="V69">
        <v>0</v>
      </c>
    </row>
    <row r="70" spans="7:22">
      <c r="G70">
        <v>69</v>
      </c>
      <c r="H70">
        <f ca="1">a+(b-a)*RAND()</f>
        <v>150.889409793773</v>
      </c>
      <c r="I70">
        <v>607.352591841464</v>
      </c>
      <c r="J70">
        <v>181.067291752528</v>
      </c>
      <c r="K70">
        <f ca="1">IF(_xlfn.BINOM.INV(1,pc_,RAND()),Y,0)</f>
        <v>0</v>
      </c>
      <c r="L70">
        <v>1</v>
      </c>
      <c r="M70">
        <v>181.067291752528</v>
      </c>
      <c r="N70">
        <v>0</v>
      </c>
      <c r="T70">
        <v>69</v>
      </c>
      <c r="U70">
        <v>1.14984522478958</v>
      </c>
      <c r="V70">
        <v>1</v>
      </c>
    </row>
    <row r="71" spans="7:22">
      <c r="G71">
        <v>70</v>
      </c>
      <c r="H71">
        <f ca="1">a+(b-a)*RAND()</f>
        <v>147.599469379167</v>
      </c>
      <c r="I71">
        <v>1174.91848909489</v>
      </c>
      <c r="J71">
        <v>177.119363255</v>
      </c>
      <c r="K71">
        <f ca="1">IF(_xlfn.BINOM.INV(1,pc_,RAND()),Y,0)</f>
        <v>0</v>
      </c>
      <c r="L71">
        <v>1</v>
      </c>
      <c r="M71">
        <v>177.119363255</v>
      </c>
      <c r="N71">
        <v>0</v>
      </c>
      <c r="T71">
        <v>70</v>
      </c>
      <c r="U71">
        <v>1.56962491889166</v>
      </c>
      <c r="V71">
        <v>1</v>
      </c>
    </row>
    <row r="72" spans="7:22">
      <c r="G72">
        <v>71</v>
      </c>
      <c r="H72">
        <f ca="1">a+(b-a)*RAND()</f>
        <v>134.228541199803</v>
      </c>
      <c r="I72">
        <v>518.53223275766</v>
      </c>
      <c r="J72">
        <v>134.228541199803</v>
      </c>
      <c r="K72">
        <f ca="1">IF(_xlfn.BINOM.INV(1,pc_,RAND()),Y,0)</f>
        <v>0</v>
      </c>
      <c r="L72">
        <v>1</v>
      </c>
      <c r="M72">
        <v>134.228541199803</v>
      </c>
      <c r="N72">
        <v>0</v>
      </c>
      <c r="T72">
        <v>71</v>
      </c>
      <c r="U72">
        <v>1.34606322906833</v>
      </c>
      <c r="V72">
        <v>1</v>
      </c>
    </row>
    <row r="73" spans="7:22">
      <c r="G73">
        <v>72</v>
      </c>
      <c r="H73">
        <f ca="1">a+(b-a)*RAND()</f>
        <v>180.710992761079</v>
      </c>
      <c r="I73">
        <v>986.658622049663</v>
      </c>
      <c r="J73">
        <v>180.710992761079</v>
      </c>
      <c r="K73">
        <f ca="1">IF(_xlfn.BINOM.INV(1,pc_,RAND()),Y,0)</f>
        <v>0</v>
      </c>
      <c r="L73">
        <v>1</v>
      </c>
      <c r="M73">
        <v>180.710992761079</v>
      </c>
      <c r="N73">
        <v>0</v>
      </c>
      <c r="T73">
        <v>72</v>
      </c>
      <c r="U73">
        <v>0.659791341848947</v>
      </c>
      <c r="V73">
        <v>0</v>
      </c>
    </row>
    <row r="74" spans="7:22">
      <c r="G74">
        <v>73</v>
      </c>
      <c r="H74">
        <f ca="1">a+(b-a)*RAND()</f>
        <v>86.1050102593306</v>
      </c>
      <c r="I74">
        <v>934.302161568728</v>
      </c>
      <c r="J74">
        <v>86.1050102593306</v>
      </c>
      <c r="K74">
        <f ca="1">IF(_xlfn.BINOM.INV(1,pc_,RAND()),Y,0)</f>
        <v>0</v>
      </c>
      <c r="L74">
        <v>1</v>
      </c>
      <c r="M74">
        <v>86.1050102593306</v>
      </c>
      <c r="N74">
        <v>0</v>
      </c>
      <c r="T74">
        <v>73</v>
      </c>
      <c r="U74">
        <v>2.58855890909082</v>
      </c>
      <c r="V74">
        <v>1</v>
      </c>
    </row>
    <row r="75" spans="7:22">
      <c r="G75">
        <v>74</v>
      </c>
      <c r="H75">
        <f ca="1">a+(b-a)*RAND()</f>
        <v>89.1922796494721</v>
      </c>
      <c r="I75">
        <v>104.482386808437</v>
      </c>
      <c r="J75">
        <v>89.1922796494721</v>
      </c>
      <c r="K75">
        <f ca="1">IF(_xlfn.BINOM.INV(1,pc_,RAND()),Y,0)</f>
        <v>0</v>
      </c>
      <c r="L75">
        <v>1</v>
      </c>
      <c r="M75">
        <v>89.1922796494721</v>
      </c>
      <c r="N75">
        <v>0</v>
      </c>
      <c r="T75">
        <v>74</v>
      </c>
      <c r="U75">
        <v>1.93930749397908</v>
      </c>
      <c r="V75">
        <v>1</v>
      </c>
    </row>
    <row r="76" spans="7:22">
      <c r="G76">
        <v>75</v>
      </c>
      <c r="H76">
        <f ca="1">a+(b-a)*RAND()</f>
        <v>141.883842900029</v>
      </c>
      <c r="I76">
        <v>2421.01985852832</v>
      </c>
      <c r="J76">
        <v>170.260611480035</v>
      </c>
      <c r="K76">
        <f ca="1">IF(_xlfn.BINOM.INV(1,pc_,RAND()),Y,0)</f>
        <v>0</v>
      </c>
      <c r="L76">
        <v>1</v>
      </c>
      <c r="M76">
        <v>170.260611480035</v>
      </c>
      <c r="N76">
        <v>0</v>
      </c>
      <c r="T76">
        <v>75</v>
      </c>
      <c r="U76">
        <v>3.7674654954068</v>
      </c>
      <c r="V76">
        <v>1</v>
      </c>
    </row>
    <row r="77" spans="7:22">
      <c r="G77">
        <v>76</v>
      </c>
      <c r="H77">
        <f ca="1">a+(b-a)*RAND()</f>
        <v>148.378526683184</v>
      </c>
      <c r="I77">
        <v>97.4296998757691</v>
      </c>
      <c r="J77">
        <v>148.378526683184</v>
      </c>
      <c r="K77">
        <f ca="1">IF(_xlfn.BINOM.INV(1,pc_,RAND()),Y,0)</f>
        <v>0</v>
      </c>
      <c r="L77">
        <v>1</v>
      </c>
      <c r="M77">
        <v>148.378526683184</v>
      </c>
      <c r="N77">
        <v>0</v>
      </c>
      <c r="T77">
        <v>76</v>
      </c>
      <c r="U77">
        <v>0.335336837135257</v>
      </c>
      <c r="V77">
        <v>0</v>
      </c>
    </row>
    <row r="78" spans="7:22">
      <c r="G78">
        <v>77</v>
      </c>
      <c r="H78">
        <f ca="1">a+(b-a)*RAND()</f>
        <v>166.790784538543</v>
      </c>
      <c r="I78">
        <v>286.130820394136</v>
      </c>
      <c r="J78">
        <v>166.790784538543</v>
      </c>
      <c r="K78">
        <f ca="1">IF(_xlfn.BINOM.INV(1,pc_,RAND()),Y,0)</f>
        <v>286.130820394136</v>
      </c>
      <c r="L78">
        <v>1</v>
      </c>
      <c r="M78">
        <v>166.790784538543</v>
      </c>
      <c r="N78">
        <v>286.130820394136</v>
      </c>
      <c r="T78">
        <v>77</v>
      </c>
      <c r="U78">
        <v>0.412263907697272</v>
      </c>
      <c r="V78">
        <v>0</v>
      </c>
    </row>
    <row r="79" spans="7:22">
      <c r="G79">
        <v>78</v>
      </c>
      <c r="H79">
        <f ca="1">a+(b-a)*RAND()</f>
        <v>160.908107284787</v>
      </c>
      <c r="I79">
        <v>2144.10661355513</v>
      </c>
      <c r="J79">
        <v>160.908107284787</v>
      </c>
      <c r="K79">
        <f ca="1">IF(_xlfn.BINOM.INV(1,pc_,RAND()),Y,0)</f>
        <v>0</v>
      </c>
      <c r="L79">
        <v>1</v>
      </c>
      <c r="M79">
        <v>160.908107284787</v>
      </c>
      <c r="N79">
        <v>0</v>
      </c>
      <c r="T79">
        <v>78</v>
      </c>
      <c r="U79">
        <v>1.27473669030623</v>
      </c>
      <c r="V79">
        <v>1</v>
      </c>
    </row>
    <row r="80" spans="7:22">
      <c r="G80">
        <v>79</v>
      </c>
      <c r="H80">
        <f ca="1">a+(b-a)*RAND()</f>
        <v>110.902279759095</v>
      </c>
      <c r="I80">
        <v>659.510786479462</v>
      </c>
      <c r="J80">
        <v>110.902279759095</v>
      </c>
      <c r="K80">
        <f ca="1">IF(_xlfn.BINOM.INV(1,pc_,RAND()),Y,0)</f>
        <v>0</v>
      </c>
      <c r="L80">
        <v>1</v>
      </c>
      <c r="M80">
        <v>110.902279759095</v>
      </c>
      <c r="N80">
        <v>0</v>
      </c>
      <c r="T80">
        <v>79</v>
      </c>
      <c r="U80">
        <v>0.572338484833343</v>
      </c>
      <c r="V80">
        <v>0</v>
      </c>
    </row>
    <row r="81" spans="7:22">
      <c r="G81">
        <v>80</v>
      </c>
      <c r="H81">
        <f ca="1">a+(b-a)*RAND()</f>
        <v>198.904074748342</v>
      </c>
      <c r="I81">
        <v>449.599499629922</v>
      </c>
      <c r="J81">
        <v>198.904074748342</v>
      </c>
      <c r="K81">
        <f ca="1">IF(_xlfn.BINOM.INV(1,pc_,RAND()),Y,0)</f>
        <v>449.599499629922</v>
      </c>
      <c r="L81">
        <v>1</v>
      </c>
      <c r="M81">
        <v>198.904074748342</v>
      </c>
      <c r="N81">
        <v>449.599499629922</v>
      </c>
      <c r="T81">
        <v>80</v>
      </c>
      <c r="U81">
        <v>1.91565869089277</v>
      </c>
      <c r="V81">
        <v>1</v>
      </c>
    </row>
    <row r="82" spans="7:22">
      <c r="G82">
        <v>81</v>
      </c>
      <c r="H82">
        <f ca="1">a+(b-a)*RAND()</f>
        <v>115.092719043421</v>
      </c>
      <c r="I82">
        <v>412.572297052682</v>
      </c>
      <c r="J82">
        <v>138.111262852105</v>
      </c>
      <c r="K82">
        <f ca="1">IF(_xlfn.BINOM.INV(1,pc_,RAND()),Y,0)</f>
        <v>0</v>
      </c>
      <c r="L82">
        <v>1</v>
      </c>
      <c r="M82">
        <v>138.111262852105</v>
      </c>
      <c r="N82">
        <v>0</v>
      </c>
      <c r="T82">
        <v>81</v>
      </c>
      <c r="U82">
        <v>0.58423542657418</v>
      </c>
      <c r="V82">
        <v>0</v>
      </c>
    </row>
    <row r="83" spans="7:22">
      <c r="G83">
        <v>82</v>
      </c>
      <c r="H83">
        <f ca="1">a+(b-a)*RAND()</f>
        <v>174.732590013623</v>
      </c>
      <c r="I83">
        <v>195.291226827903</v>
      </c>
      <c r="J83">
        <v>209.679108016348</v>
      </c>
      <c r="K83">
        <f ca="1">IF(_xlfn.BINOM.INV(1,pc_,RAND()),Y,0)</f>
        <v>0</v>
      </c>
      <c r="L83">
        <v>1</v>
      </c>
      <c r="M83">
        <v>209.679108016348</v>
      </c>
      <c r="N83">
        <v>0</v>
      </c>
      <c r="T83">
        <v>82</v>
      </c>
      <c r="U83">
        <v>0.720057690686858</v>
      </c>
      <c r="V83">
        <v>0</v>
      </c>
    </row>
    <row r="84" spans="7:22">
      <c r="G84">
        <v>83</v>
      </c>
      <c r="H84">
        <f ca="1">a+(b-a)*RAND()</f>
        <v>174.136604054172</v>
      </c>
      <c r="I84">
        <v>310.148734895457</v>
      </c>
      <c r="J84">
        <v>174.136604054172</v>
      </c>
      <c r="K84">
        <f ca="1">IF(_xlfn.BINOM.INV(1,pc_,RAND()),Y,0)</f>
        <v>310.148734895457</v>
      </c>
      <c r="L84">
        <v>1</v>
      </c>
      <c r="M84">
        <v>174.136604054172</v>
      </c>
      <c r="N84">
        <v>310.148734895457</v>
      </c>
      <c r="T84">
        <v>83</v>
      </c>
      <c r="U84">
        <v>1.01282317108378</v>
      </c>
      <c r="V84">
        <v>1</v>
      </c>
    </row>
    <row r="85" spans="7:22">
      <c r="G85">
        <v>84</v>
      </c>
      <c r="H85">
        <f ca="1">a+(b-a)*RAND()</f>
        <v>86.1660711696865</v>
      </c>
      <c r="I85">
        <v>116.272238784705</v>
      </c>
      <c r="J85">
        <v>103.399285403624</v>
      </c>
      <c r="K85">
        <f ca="1">IF(_xlfn.BINOM.INV(1,pc_,RAND()),Y,0)</f>
        <v>0</v>
      </c>
      <c r="L85">
        <v>1</v>
      </c>
      <c r="M85">
        <v>103.399285403624</v>
      </c>
      <c r="N85">
        <v>0</v>
      </c>
      <c r="T85">
        <v>84</v>
      </c>
      <c r="U85">
        <v>1.23665966757336</v>
      </c>
      <c r="V85">
        <v>1</v>
      </c>
    </row>
    <row r="86" spans="7:22">
      <c r="G86">
        <v>85</v>
      </c>
      <c r="H86">
        <f ca="1">a+(b-a)*RAND()</f>
        <v>133.825873624564</v>
      </c>
      <c r="I86">
        <v>493.728351742801</v>
      </c>
      <c r="J86">
        <v>160.591048349476</v>
      </c>
      <c r="K86">
        <f ca="1">IF(_xlfn.BINOM.INV(1,pc_,RAND()),Y,0)</f>
        <v>0</v>
      </c>
      <c r="L86">
        <v>1</v>
      </c>
      <c r="M86">
        <v>160.591048349476</v>
      </c>
      <c r="N86">
        <v>0</v>
      </c>
      <c r="T86">
        <v>85</v>
      </c>
      <c r="U86">
        <v>0.730373225161851</v>
      </c>
      <c r="V86">
        <v>0</v>
      </c>
    </row>
    <row r="87" spans="7:22">
      <c r="G87">
        <v>86</v>
      </c>
      <c r="H87">
        <f ca="1">a+(b-a)*RAND()</f>
        <v>166.831635928964</v>
      </c>
      <c r="I87">
        <v>1749.06216555593</v>
      </c>
      <c r="J87">
        <v>200.197963114757</v>
      </c>
      <c r="K87">
        <f ca="1">IF(_xlfn.BINOM.INV(1,pc_,RAND()),Y,0)</f>
        <v>0</v>
      </c>
      <c r="L87">
        <v>0</v>
      </c>
      <c r="M87">
        <v>0</v>
      </c>
      <c r="N87">
        <v>0</v>
      </c>
      <c r="T87">
        <v>86</v>
      </c>
      <c r="U87">
        <v>0.772112667463619</v>
      </c>
      <c r="V87">
        <v>0</v>
      </c>
    </row>
    <row r="88" spans="7:22">
      <c r="G88">
        <v>87</v>
      </c>
      <c r="H88">
        <f ca="1">a+(b-a)*RAND()</f>
        <v>96.7105589478054</v>
      </c>
      <c r="I88">
        <v>1092.26822859055</v>
      </c>
      <c r="J88">
        <v>96.7105589478054</v>
      </c>
      <c r="K88">
        <f ca="1">IF(_xlfn.BINOM.INV(1,pc_,RAND()),Y,0)</f>
        <v>0</v>
      </c>
      <c r="L88">
        <v>0</v>
      </c>
      <c r="M88">
        <v>0</v>
      </c>
      <c r="N88">
        <v>0</v>
      </c>
      <c r="T88">
        <v>87</v>
      </c>
      <c r="U88">
        <v>0.0293867418279332</v>
      </c>
      <c r="V88">
        <v>0</v>
      </c>
    </row>
    <row r="89" spans="7:22">
      <c r="G89">
        <v>88</v>
      </c>
      <c r="H89">
        <f ca="1">a+(b-a)*RAND()</f>
        <v>176.259923532372</v>
      </c>
      <c r="I89">
        <v>613.335579645305</v>
      </c>
      <c r="J89">
        <v>176.259923532372</v>
      </c>
      <c r="K89">
        <f ca="1">IF(_xlfn.BINOM.INV(1,pc_,RAND()),Y,0)</f>
        <v>0</v>
      </c>
      <c r="L89">
        <v>0</v>
      </c>
      <c r="M89">
        <v>0</v>
      </c>
      <c r="N89">
        <v>0</v>
      </c>
      <c r="T89">
        <v>88</v>
      </c>
      <c r="U89">
        <v>0.229804365890028</v>
      </c>
      <c r="V89">
        <v>0</v>
      </c>
    </row>
    <row r="90" spans="7:22">
      <c r="G90">
        <v>89</v>
      </c>
      <c r="H90">
        <f ca="1">a+(b-a)*RAND()</f>
        <v>68.2699688143791</v>
      </c>
      <c r="I90">
        <v>570.865929035653</v>
      </c>
      <c r="J90">
        <v>81.9239625772549</v>
      </c>
      <c r="K90">
        <f ca="1">IF(_xlfn.BINOM.INV(1,pc_,RAND()),Y,0)</f>
        <v>0</v>
      </c>
      <c r="L90">
        <v>0</v>
      </c>
      <c r="M90">
        <v>0</v>
      </c>
      <c r="N90">
        <v>0</v>
      </c>
      <c r="T90">
        <v>89</v>
      </c>
      <c r="U90">
        <v>0.250828426915264</v>
      </c>
      <c r="V90">
        <v>0</v>
      </c>
    </row>
    <row r="91" spans="7:22">
      <c r="G91">
        <v>90</v>
      </c>
      <c r="H91">
        <f ca="1">a+(b-a)*RAND()</f>
        <v>65.9109728396604</v>
      </c>
      <c r="I91">
        <v>993.135184113637</v>
      </c>
      <c r="J91">
        <v>79.0931674075925</v>
      </c>
      <c r="K91">
        <f ca="1">IF(_xlfn.BINOM.INV(1,pc_,RAND()),Y,0)</f>
        <v>0</v>
      </c>
      <c r="L91">
        <v>0</v>
      </c>
      <c r="M91">
        <v>0</v>
      </c>
      <c r="N91">
        <v>0</v>
      </c>
      <c r="T91">
        <v>90</v>
      </c>
      <c r="U91">
        <v>0.0757035880271749</v>
      </c>
      <c r="V91">
        <v>0</v>
      </c>
    </row>
    <row r="92" spans="7:22">
      <c r="G92">
        <v>91</v>
      </c>
      <c r="H92">
        <f ca="1">a+(b-a)*RAND()</f>
        <v>120.051844713052</v>
      </c>
      <c r="I92">
        <v>371.868489434214</v>
      </c>
      <c r="J92">
        <v>120.051844713052</v>
      </c>
      <c r="K92">
        <f ca="1">IF(_xlfn.BINOM.INV(1,pc_,RAND()),Y,0)</f>
        <v>0</v>
      </c>
      <c r="L92">
        <v>0</v>
      </c>
      <c r="M92">
        <v>0</v>
      </c>
      <c r="N92">
        <v>0</v>
      </c>
      <c r="T92">
        <v>91</v>
      </c>
      <c r="U92">
        <v>0.0204518112511946</v>
      </c>
      <c r="V92">
        <v>0</v>
      </c>
    </row>
    <row r="93" spans="7:22">
      <c r="G93">
        <v>92</v>
      </c>
      <c r="H93">
        <f ca="1">a+(b-a)*RAND()</f>
        <v>194.186157130595</v>
      </c>
      <c r="I93">
        <v>485.175183100472</v>
      </c>
      <c r="J93">
        <v>233.023388556714</v>
      </c>
      <c r="K93">
        <f ca="1">IF(_xlfn.BINOM.INV(1,pc_,RAND()),Y,0)</f>
        <v>0</v>
      </c>
      <c r="L93">
        <v>0</v>
      </c>
      <c r="M93">
        <v>0</v>
      </c>
      <c r="N93">
        <v>0</v>
      </c>
      <c r="T93">
        <v>92</v>
      </c>
      <c r="U93">
        <v>1.28645776280699</v>
      </c>
      <c r="V93">
        <v>1</v>
      </c>
    </row>
    <row r="94" spans="7:22">
      <c r="G94">
        <v>93</v>
      </c>
      <c r="H94">
        <f ca="1">a+(b-a)*RAND()</f>
        <v>88.8014082077683</v>
      </c>
      <c r="I94">
        <v>406.997843021242</v>
      </c>
      <c r="J94">
        <v>106.561689849322</v>
      </c>
      <c r="K94">
        <f ca="1">IF(_xlfn.BINOM.INV(1,pc_,RAND()),Y,0)</f>
        <v>0</v>
      </c>
      <c r="L94">
        <v>0</v>
      </c>
      <c r="M94">
        <v>0</v>
      </c>
      <c r="N94">
        <v>0</v>
      </c>
      <c r="T94">
        <v>93</v>
      </c>
      <c r="U94">
        <v>0.0708913063508559</v>
      </c>
      <c r="V94">
        <v>0</v>
      </c>
    </row>
    <row r="95" spans="7:22">
      <c r="G95">
        <v>94</v>
      </c>
      <c r="H95">
        <f ca="1">a+(b-a)*RAND()</f>
        <v>182.366343918529</v>
      </c>
      <c r="I95">
        <v>2138.71169742407</v>
      </c>
      <c r="J95">
        <v>182.366343918529</v>
      </c>
      <c r="K95">
        <f ca="1">IF(_xlfn.BINOM.INV(1,pc_,RAND()),Y,0)</f>
        <v>0</v>
      </c>
      <c r="L95">
        <v>0</v>
      </c>
      <c r="M95">
        <v>0</v>
      </c>
      <c r="N95">
        <v>0</v>
      </c>
      <c r="T95">
        <v>94</v>
      </c>
      <c r="U95">
        <v>0.248004647614525</v>
      </c>
      <c r="V95">
        <v>0</v>
      </c>
    </row>
    <row r="96" spans="7:22">
      <c r="G96">
        <v>95</v>
      </c>
      <c r="H96">
        <f ca="1">a+(b-a)*RAND()</f>
        <v>82.0163404396032</v>
      </c>
      <c r="I96">
        <v>777.484949812117</v>
      </c>
      <c r="J96">
        <v>98.4196085275238</v>
      </c>
      <c r="K96">
        <f ca="1">IF(_xlfn.BINOM.INV(1,pc_,RAND()),Y,0)</f>
        <v>0</v>
      </c>
      <c r="L96">
        <v>0</v>
      </c>
      <c r="M96">
        <v>0</v>
      </c>
      <c r="N96">
        <v>0</v>
      </c>
      <c r="T96">
        <v>95</v>
      </c>
      <c r="U96">
        <v>0.159656272717183</v>
      </c>
      <c r="V96">
        <v>0</v>
      </c>
    </row>
    <row r="97" spans="7:22">
      <c r="G97">
        <v>96</v>
      </c>
      <c r="H97">
        <f ca="1">a+(b-a)*RAND()</f>
        <v>177.090050668445</v>
      </c>
      <c r="I97">
        <v>2464.24159261487</v>
      </c>
      <c r="J97">
        <v>177.090050668445</v>
      </c>
      <c r="K97">
        <f ca="1">IF(_xlfn.BINOM.INV(1,pc_,RAND()),Y,0)</f>
        <v>0</v>
      </c>
      <c r="L97">
        <v>0</v>
      </c>
      <c r="M97">
        <v>0</v>
      </c>
      <c r="N97">
        <v>0</v>
      </c>
      <c r="T97">
        <v>96</v>
      </c>
      <c r="U97">
        <v>0.794330027556311</v>
      </c>
      <c r="V97">
        <v>0</v>
      </c>
    </row>
    <row r="98" spans="7:22">
      <c r="G98">
        <v>97</v>
      </c>
      <c r="H98">
        <f ca="1">a+(b-a)*RAND()</f>
        <v>91.4635496565778</v>
      </c>
      <c r="I98">
        <v>782.209376726138</v>
      </c>
      <c r="J98">
        <v>91.4635496565778</v>
      </c>
      <c r="K98">
        <f ca="1">IF(_xlfn.BINOM.INV(1,pc_,RAND()),Y,0)</f>
        <v>0</v>
      </c>
      <c r="L98">
        <v>0</v>
      </c>
      <c r="M98">
        <v>0</v>
      </c>
      <c r="N98">
        <v>0</v>
      </c>
      <c r="T98">
        <v>97</v>
      </c>
      <c r="U98">
        <v>0.598696701610536</v>
      </c>
      <c r="V98">
        <v>0</v>
      </c>
    </row>
    <row r="99" spans="7:22">
      <c r="G99">
        <v>98</v>
      </c>
      <c r="H99">
        <f ca="1">a+(b-a)*RAND()</f>
        <v>56.7150270526229</v>
      </c>
      <c r="I99">
        <v>444.816248162764</v>
      </c>
      <c r="J99">
        <v>68.0580324631475</v>
      </c>
      <c r="K99">
        <f ca="1">IF(_xlfn.BINOM.INV(1,pc_,RAND()),Y,0)</f>
        <v>0</v>
      </c>
      <c r="L99">
        <v>0</v>
      </c>
      <c r="M99">
        <v>0</v>
      </c>
      <c r="N99">
        <v>0</v>
      </c>
      <c r="T99">
        <v>98</v>
      </c>
      <c r="U99">
        <v>0.603133276506027</v>
      </c>
      <c r="V99">
        <v>0</v>
      </c>
    </row>
    <row r="100" spans="7:22">
      <c r="G100">
        <v>99</v>
      </c>
      <c r="H100">
        <f ca="1">a+(b-a)*RAND()</f>
        <v>81.872583817233</v>
      </c>
      <c r="I100">
        <v>392.37791116893</v>
      </c>
      <c r="J100">
        <v>81.872583817233</v>
      </c>
      <c r="K100">
        <f ca="1">IF(_xlfn.BINOM.INV(1,pc_,RAND()),Y,0)</f>
        <v>0</v>
      </c>
      <c r="L100">
        <v>0</v>
      </c>
      <c r="M100">
        <v>0</v>
      </c>
      <c r="N100">
        <v>0</v>
      </c>
      <c r="T100">
        <v>99</v>
      </c>
      <c r="U100">
        <v>0.962475074083743</v>
      </c>
      <c r="V100">
        <v>0</v>
      </c>
    </row>
    <row r="101" spans="7:22">
      <c r="G101">
        <v>100</v>
      </c>
      <c r="H101">
        <f ca="1">a+(b-a)*RAND()</f>
        <v>183.470213143764</v>
      </c>
      <c r="I101">
        <v>497.671978205117</v>
      </c>
      <c r="J101">
        <v>183.470213143764</v>
      </c>
      <c r="K101">
        <f ca="1">IF(_xlfn.BINOM.INV(1,pc_,RAND()),Y,0)</f>
        <v>0</v>
      </c>
      <c r="L101">
        <v>0</v>
      </c>
      <c r="M101">
        <v>0</v>
      </c>
      <c r="N101">
        <v>0</v>
      </c>
      <c r="T101">
        <v>100</v>
      </c>
      <c r="U101">
        <v>2.53674993585398</v>
      </c>
      <c r="V101">
        <v>1</v>
      </c>
    </row>
    <row r="102" spans="7:22">
      <c r="G102">
        <v>101</v>
      </c>
      <c r="H102">
        <f ca="1">a+(b-a)*RAND()</f>
        <v>114.474293701484</v>
      </c>
      <c r="I102">
        <v>1496.47731386083</v>
      </c>
      <c r="J102">
        <v>114.474293701484</v>
      </c>
      <c r="K102">
        <f ca="1">IF(_xlfn.BINOM.INV(1,pc_,RAND()),Y,0)</f>
        <v>0</v>
      </c>
      <c r="L102">
        <v>0</v>
      </c>
      <c r="M102">
        <v>0</v>
      </c>
      <c r="N102">
        <v>0</v>
      </c>
      <c r="T102">
        <v>101</v>
      </c>
      <c r="U102">
        <v>1.17404175098672</v>
      </c>
      <c r="V102">
        <v>1</v>
      </c>
    </row>
    <row r="103" spans="7:22">
      <c r="G103">
        <v>102</v>
      </c>
      <c r="H103">
        <f ca="1">a+(b-a)*RAND()</f>
        <v>70.7382194188493</v>
      </c>
      <c r="I103">
        <v>108.465709954906</v>
      </c>
      <c r="J103">
        <v>70.7382194188493</v>
      </c>
      <c r="K103">
        <f ca="1">IF(_xlfn.BINOM.INV(1,pc_,RAND()),Y,0)</f>
        <v>0</v>
      </c>
      <c r="L103">
        <v>0</v>
      </c>
      <c r="M103">
        <v>0</v>
      </c>
      <c r="N103">
        <v>0</v>
      </c>
      <c r="T103">
        <v>102</v>
      </c>
      <c r="U103">
        <v>0.369151224353698</v>
      </c>
      <c r="V103">
        <v>0</v>
      </c>
    </row>
    <row r="104" spans="7:22">
      <c r="G104">
        <v>103</v>
      </c>
      <c r="H104">
        <f ca="1">a+(b-a)*RAND()</f>
        <v>50.4240811968133</v>
      </c>
      <c r="I104">
        <v>79.2322373272271</v>
      </c>
      <c r="J104">
        <v>50.4240811968133</v>
      </c>
      <c r="K104">
        <f ca="1">IF(_xlfn.BINOM.INV(1,pc_,RAND()),Y,0)</f>
        <v>0</v>
      </c>
      <c r="L104">
        <v>0</v>
      </c>
      <c r="M104">
        <v>0</v>
      </c>
      <c r="N104">
        <v>0</v>
      </c>
      <c r="T104">
        <v>103</v>
      </c>
      <c r="U104">
        <v>2.53114012245739</v>
      </c>
      <c r="V104">
        <v>1</v>
      </c>
    </row>
    <row r="105" spans="7:22">
      <c r="G105">
        <v>104</v>
      </c>
      <c r="H105">
        <f ca="1">a+(b-a)*RAND()</f>
        <v>89.1053500963965</v>
      </c>
      <c r="I105">
        <v>475.087436636696</v>
      </c>
      <c r="J105">
        <v>89.1053500963965</v>
      </c>
      <c r="K105">
        <f ca="1">IF(_xlfn.BINOM.INV(1,pc_,RAND()),Y,0)</f>
        <v>475.087436636696</v>
      </c>
      <c r="L105">
        <v>0</v>
      </c>
      <c r="M105">
        <v>0</v>
      </c>
      <c r="N105">
        <v>0</v>
      </c>
      <c r="T105">
        <v>104</v>
      </c>
      <c r="U105">
        <v>0.492659644669963</v>
      </c>
      <c r="V105">
        <v>0</v>
      </c>
    </row>
    <row r="106" spans="7:22">
      <c r="G106">
        <v>105</v>
      </c>
      <c r="H106">
        <f ca="1">a+(b-a)*RAND()</f>
        <v>144.029636586669</v>
      </c>
      <c r="I106">
        <v>1625.93081272159</v>
      </c>
      <c r="J106">
        <v>144.029636586669</v>
      </c>
      <c r="K106">
        <f ca="1">IF(_xlfn.BINOM.INV(1,pc_,RAND()),Y,0)</f>
        <v>1625.93081272159</v>
      </c>
      <c r="L106">
        <v>0</v>
      </c>
      <c r="M106">
        <v>0</v>
      </c>
      <c r="N106">
        <v>0</v>
      </c>
      <c r="T106">
        <v>105</v>
      </c>
      <c r="U106">
        <v>2.44353463849888</v>
      </c>
      <c r="V106">
        <v>1</v>
      </c>
    </row>
    <row r="107" spans="7:22">
      <c r="G107">
        <v>106</v>
      </c>
      <c r="H107">
        <f ca="1">a+(b-a)*RAND()</f>
        <v>122.40529656192</v>
      </c>
      <c r="I107">
        <v>573.664864329902</v>
      </c>
      <c r="J107">
        <v>122.40529656192</v>
      </c>
      <c r="K107">
        <f ca="1">IF(_xlfn.BINOM.INV(1,pc_,RAND()),Y,0)</f>
        <v>0</v>
      </c>
      <c r="L107">
        <v>0</v>
      </c>
      <c r="M107">
        <v>0</v>
      </c>
      <c r="N107">
        <v>0</v>
      </c>
      <c r="T107">
        <v>106</v>
      </c>
      <c r="U107">
        <v>0.186364336825487</v>
      </c>
      <c r="V107">
        <v>0</v>
      </c>
    </row>
    <row r="108" spans="7:22">
      <c r="G108">
        <v>107</v>
      </c>
      <c r="H108">
        <f ca="1">a+(b-a)*RAND()</f>
        <v>69.6858057656919</v>
      </c>
      <c r="I108">
        <v>206.207734517931</v>
      </c>
      <c r="J108">
        <v>83.6229669188303</v>
      </c>
      <c r="K108">
        <f ca="1">IF(_xlfn.BINOM.INV(1,pc_,RAND()),Y,0)</f>
        <v>0</v>
      </c>
      <c r="L108">
        <v>0</v>
      </c>
      <c r="M108">
        <v>0</v>
      </c>
      <c r="N108">
        <v>0</v>
      </c>
      <c r="T108">
        <v>107</v>
      </c>
      <c r="U108">
        <v>0.173328439909697</v>
      </c>
      <c r="V108">
        <v>0</v>
      </c>
    </row>
    <row r="109" spans="7:22">
      <c r="G109">
        <v>108</v>
      </c>
      <c r="H109">
        <f ca="1">a+(b-a)*RAND()</f>
        <v>134.974382928237</v>
      </c>
      <c r="I109">
        <v>772.543148915518</v>
      </c>
      <c r="J109">
        <v>161.969259513884</v>
      </c>
      <c r="K109">
        <f ca="1">IF(_xlfn.BINOM.INV(1,pc_,RAND()),Y,0)</f>
        <v>772.543148915518</v>
      </c>
      <c r="L109">
        <v>0</v>
      </c>
      <c r="M109">
        <v>0</v>
      </c>
      <c r="N109">
        <v>0</v>
      </c>
      <c r="T109">
        <v>108</v>
      </c>
      <c r="U109">
        <v>0.0373887653832336</v>
      </c>
      <c r="V109">
        <v>0</v>
      </c>
    </row>
    <row r="110" spans="7:22">
      <c r="G110">
        <v>109</v>
      </c>
      <c r="H110">
        <f ca="1">a+(b-a)*RAND()</f>
        <v>50.3203636822504</v>
      </c>
      <c r="I110">
        <v>302.636417315762</v>
      </c>
      <c r="J110">
        <v>60.3844364187005</v>
      </c>
      <c r="K110">
        <f ca="1">IF(_xlfn.BINOM.INV(1,pc_,RAND()),Y,0)</f>
        <v>302.636417315762</v>
      </c>
      <c r="L110">
        <v>0</v>
      </c>
      <c r="M110">
        <v>0</v>
      </c>
      <c r="N110">
        <v>0</v>
      </c>
      <c r="T110">
        <v>109</v>
      </c>
      <c r="U110">
        <v>0.433965955134138</v>
      </c>
      <c r="V110">
        <v>0</v>
      </c>
    </row>
    <row r="111" spans="7:22">
      <c r="G111">
        <v>110</v>
      </c>
      <c r="H111">
        <f ca="1">a+(b-a)*RAND()</f>
        <v>89.5077764425114</v>
      </c>
      <c r="I111">
        <v>903.171849481261</v>
      </c>
      <c r="J111">
        <v>89.5077764425114</v>
      </c>
      <c r="K111">
        <f ca="1">IF(_xlfn.BINOM.INV(1,pc_,RAND()),Y,0)</f>
        <v>903.171849481261</v>
      </c>
      <c r="L111">
        <v>0</v>
      </c>
      <c r="M111">
        <v>0</v>
      </c>
      <c r="N111">
        <v>0</v>
      </c>
      <c r="T111">
        <v>110</v>
      </c>
      <c r="U111">
        <v>0.156622645284026</v>
      </c>
      <c r="V111">
        <v>0</v>
      </c>
    </row>
    <row r="112" spans="7:22">
      <c r="G112">
        <v>111</v>
      </c>
      <c r="H112">
        <f ca="1">a+(b-a)*RAND()</f>
        <v>66.0218298953711</v>
      </c>
      <c r="I112">
        <v>408.362454813991</v>
      </c>
      <c r="J112">
        <v>66.0218298953711</v>
      </c>
      <c r="K112">
        <f ca="1">IF(_xlfn.BINOM.INV(1,pc_,RAND()),Y,0)</f>
        <v>408.362454813991</v>
      </c>
      <c r="L112">
        <v>0</v>
      </c>
      <c r="M112">
        <v>0</v>
      </c>
      <c r="N112">
        <v>0</v>
      </c>
      <c r="T112">
        <v>111</v>
      </c>
      <c r="U112">
        <v>0.319986077342738</v>
      </c>
      <c r="V112">
        <v>0</v>
      </c>
    </row>
    <row r="113" spans="7:22">
      <c r="G113">
        <v>112</v>
      </c>
      <c r="H113">
        <f ca="1">a+(b-a)*RAND()</f>
        <v>134.185537936714</v>
      </c>
      <c r="I113">
        <v>808.389955640909</v>
      </c>
      <c r="J113">
        <v>161.022645524057</v>
      </c>
      <c r="K113">
        <f ca="1">IF(_xlfn.BINOM.INV(1,pc_,RAND()),Y,0)</f>
        <v>0</v>
      </c>
      <c r="L113">
        <v>0</v>
      </c>
      <c r="M113">
        <v>0</v>
      </c>
      <c r="N113">
        <v>0</v>
      </c>
      <c r="T113">
        <v>112</v>
      </c>
      <c r="U113">
        <v>1.15863128081724</v>
      </c>
      <c r="V113">
        <v>1</v>
      </c>
    </row>
    <row r="114" spans="7:22">
      <c r="G114">
        <v>113</v>
      </c>
      <c r="H114">
        <f ca="1">a+(b-a)*RAND()</f>
        <v>145.484165057327</v>
      </c>
      <c r="I114">
        <v>609.300072194233</v>
      </c>
      <c r="J114">
        <v>174.580998068792</v>
      </c>
      <c r="K114">
        <f ca="1">IF(_xlfn.BINOM.INV(1,pc_,RAND()),Y,0)</f>
        <v>0</v>
      </c>
      <c r="L114">
        <v>0</v>
      </c>
      <c r="M114">
        <v>0</v>
      </c>
      <c r="N114">
        <v>0</v>
      </c>
      <c r="T114">
        <v>113</v>
      </c>
      <c r="U114">
        <v>0.146851339531329</v>
      </c>
      <c r="V114">
        <v>0</v>
      </c>
    </row>
    <row r="115" spans="7:22">
      <c r="G115">
        <v>114</v>
      </c>
      <c r="H115">
        <f ca="1">a+(b-a)*RAND()</f>
        <v>165.381483907901</v>
      </c>
      <c r="I115">
        <v>552.905457546285</v>
      </c>
      <c r="J115">
        <v>198.457780689481</v>
      </c>
      <c r="K115">
        <f ca="1">IF(_xlfn.BINOM.INV(1,pc_,RAND()),Y,0)</f>
        <v>552.905457546285</v>
      </c>
      <c r="L115">
        <v>0</v>
      </c>
      <c r="M115">
        <v>0</v>
      </c>
      <c r="N115">
        <v>0</v>
      </c>
      <c r="T115">
        <v>114</v>
      </c>
      <c r="U115">
        <v>0.240262854400261</v>
      </c>
      <c r="V115">
        <v>0</v>
      </c>
    </row>
    <row r="116" spans="7:22">
      <c r="G116">
        <v>115</v>
      </c>
      <c r="H116">
        <f ca="1">a+(b-a)*RAND()</f>
        <v>149.870294524559</v>
      </c>
      <c r="I116">
        <v>13.7714015088585</v>
      </c>
      <c r="J116">
        <v>149.870294524559</v>
      </c>
      <c r="K116">
        <f ca="1">IF(_xlfn.BINOM.INV(1,pc_,RAND()),Y,0)</f>
        <v>0</v>
      </c>
      <c r="L116">
        <v>0</v>
      </c>
      <c r="M116">
        <v>0</v>
      </c>
      <c r="N116">
        <v>0</v>
      </c>
      <c r="T116">
        <v>115</v>
      </c>
      <c r="U116">
        <v>0.0908568453818111</v>
      </c>
      <c r="V116">
        <v>0</v>
      </c>
    </row>
    <row r="117" spans="7:22">
      <c r="G117">
        <v>116</v>
      </c>
      <c r="H117">
        <f ca="1">a+(b-a)*RAND()</f>
        <v>193.085671324422</v>
      </c>
      <c r="I117">
        <v>53.1905525843504</v>
      </c>
      <c r="J117">
        <v>193.085671324422</v>
      </c>
      <c r="K117">
        <f ca="1">IF(_xlfn.BINOM.INV(1,pc_,RAND()),Y,0)</f>
        <v>0</v>
      </c>
      <c r="L117">
        <v>0</v>
      </c>
      <c r="M117">
        <v>0</v>
      </c>
      <c r="N117">
        <v>0</v>
      </c>
      <c r="T117">
        <v>116</v>
      </c>
      <c r="U117">
        <v>0.0114246035456448</v>
      </c>
      <c r="V117">
        <v>0</v>
      </c>
    </row>
    <row r="118" spans="7:22">
      <c r="G118">
        <v>117</v>
      </c>
      <c r="H118">
        <f ca="1">a+(b-a)*RAND()</f>
        <v>127.623035036366</v>
      </c>
      <c r="I118">
        <v>806.289292736453</v>
      </c>
      <c r="J118">
        <v>153.147642043639</v>
      </c>
      <c r="K118">
        <f ca="1">IF(_xlfn.BINOM.INV(1,pc_,RAND()),Y,0)</f>
        <v>0</v>
      </c>
      <c r="L118">
        <v>0</v>
      </c>
      <c r="M118">
        <v>0</v>
      </c>
      <c r="N118">
        <v>0</v>
      </c>
      <c r="T118">
        <v>117</v>
      </c>
      <c r="U118">
        <v>2.27211893126939</v>
      </c>
      <c r="V118">
        <v>1</v>
      </c>
    </row>
    <row r="119" spans="7:22">
      <c r="G119">
        <v>118</v>
      </c>
      <c r="H119">
        <f ca="1">a+(b-a)*RAND()</f>
        <v>147.723766592088</v>
      </c>
      <c r="I119">
        <v>2058.31139785959</v>
      </c>
      <c r="J119">
        <v>147.723766592088</v>
      </c>
      <c r="K119">
        <f ca="1">IF(_xlfn.BINOM.INV(1,pc_,RAND()),Y,0)</f>
        <v>0</v>
      </c>
      <c r="L119">
        <v>0</v>
      </c>
      <c r="M119">
        <v>0</v>
      </c>
      <c r="N119">
        <v>0</v>
      </c>
      <c r="T119">
        <v>118</v>
      </c>
      <c r="U119">
        <v>0.603764163769312</v>
      </c>
      <c r="V119">
        <v>0</v>
      </c>
    </row>
    <row r="120" spans="7:22">
      <c r="G120">
        <v>119</v>
      </c>
      <c r="H120">
        <f ca="1">a+(b-a)*RAND()</f>
        <v>152.830606906668</v>
      </c>
      <c r="I120">
        <v>207.630003073157</v>
      </c>
      <c r="J120">
        <v>183.396728288002</v>
      </c>
      <c r="K120">
        <f ca="1">IF(_xlfn.BINOM.INV(1,pc_,RAND()),Y,0)</f>
        <v>0</v>
      </c>
      <c r="L120">
        <v>0</v>
      </c>
      <c r="M120">
        <v>0</v>
      </c>
      <c r="N120">
        <v>0</v>
      </c>
      <c r="T120">
        <v>119</v>
      </c>
      <c r="U120">
        <v>0.925311800418773</v>
      </c>
      <c r="V120">
        <v>0</v>
      </c>
    </row>
    <row r="121" spans="7:22">
      <c r="G121">
        <v>120</v>
      </c>
      <c r="H121">
        <f ca="1">a+(b-a)*RAND()</f>
        <v>61.0121132174045</v>
      </c>
      <c r="I121">
        <v>498.369484380356</v>
      </c>
      <c r="J121">
        <v>61.0121132174045</v>
      </c>
      <c r="K121">
        <f ca="1">IF(_xlfn.BINOM.INV(1,pc_,RAND()),Y,0)</f>
        <v>0</v>
      </c>
      <c r="L121">
        <v>0</v>
      </c>
      <c r="M121">
        <v>0</v>
      </c>
      <c r="N121">
        <v>0</v>
      </c>
      <c r="T121">
        <v>120</v>
      </c>
      <c r="U121">
        <v>0.433495409507461</v>
      </c>
      <c r="V121">
        <v>0</v>
      </c>
    </row>
    <row r="122" spans="7:22">
      <c r="G122">
        <v>121</v>
      </c>
      <c r="H122">
        <f ca="1">a+(b-a)*RAND()</f>
        <v>134.230603853296</v>
      </c>
      <c r="I122">
        <v>351.47834609523</v>
      </c>
      <c r="J122">
        <v>134.230603853296</v>
      </c>
      <c r="K122">
        <f ca="1">IF(_xlfn.BINOM.INV(1,pc_,RAND()),Y,0)</f>
        <v>0</v>
      </c>
      <c r="L122">
        <v>0</v>
      </c>
      <c r="M122">
        <v>0</v>
      </c>
      <c r="N122">
        <v>0</v>
      </c>
      <c r="T122">
        <v>121</v>
      </c>
      <c r="U122">
        <v>1.53188139566581</v>
      </c>
      <c r="V122">
        <v>1</v>
      </c>
    </row>
    <row r="123" spans="7:22">
      <c r="G123">
        <v>122</v>
      </c>
      <c r="H123">
        <f ca="1">a+(b-a)*RAND()</f>
        <v>169.729071511699</v>
      </c>
      <c r="I123">
        <v>358.396141195414</v>
      </c>
      <c r="J123">
        <v>169.729071511699</v>
      </c>
      <c r="K123">
        <f ca="1">IF(_xlfn.BINOM.INV(1,pc_,RAND()),Y,0)</f>
        <v>0</v>
      </c>
      <c r="L123">
        <v>0</v>
      </c>
      <c r="M123">
        <v>0</v>
      </c>
      <c r="N123">
        <v>0</v>
      </c>
      <c r="T123">
        <v>122</v>
      </c>
      <c r="U123">
        <v>0.217249993231791</v>
      </c>
      <c r="V123">
        <v>0</v>
      </c>
    </row>
    <row r="124" spans="7:22">
      <c r="G124">
        <v>123</v>
      </c>
      <c r="H124">
        <f ca="1">a+(b-a)*RAND()</f>
        <v>109.881436778262</v>
      </c>
      <c r="I124">
        <v>549.720616652414</v>
      </c>
      <c r="J124">
        <v>131.857724133914</v>
      </c>
      <c r="K124">
        <f ca="1">IF(_xlfn.BINOM.INV(1,pc_,RAND()),Y,0)</f>
        <v>549.720616652414</v>
      </c>
      <c r="L124">
        <v>0</v>
      </c>
      <c r="M124">
        <v>0</v>
      </c>
      <c r="N124">
        <v>0</v>
      </c>
      <c r="T124">
        <v>123</v>
      </c>
      <c r="U124">
        <v>0.02626610323669</v>
      </c>
      <c r="V124">
        <v>0</v>
      </c>
    </row>
    <row r="125" spans="7:22">
      <c r="G125">
        <v>124</v>
      </c>
      <c r="H125">
        <f ca="1">a+(b-a)*RAND()</f>
        <v>108.265787849782</v>
      </c>
      <c r="I125">
        <v>1628.8279764543</v>
      </c>
      <c r="J125">
        <v>108.265787849782</v>
      </c>
      <c r="K125">
        <f ca="1">IF(_xlfn.BINOM.INV(1,pc_,RAND()),Y,0)</f>
        <v>0</v>
      </c>
      <c r="L125">
        <v>0</v>
      </c>
      <c r="M125">
        <v>0</v>
      </c>
      <c r="N125">
        <v>0</v>
      </c>
      <c r="T125">
        <v>124</v>
      </c>
      <c r="U125">
        <v>0.517777320195033</v>
      </c>
      <c r="V125">
        <v>0</v>
      </c>
    </row>
    <row r="126" spans="7:22">
      <c r="G126">
        <v>125</v>
      </c>
      <c r="H126">
        <f ca="1">a+(b-a)*RAND()</f>
        <v>55.7487393979279</v>
      </c>
      <c r="I126">
        <v>85.7490709796275</v>
      </c>
      <c r="J126">
        <v>55.7487393979279</v>
      </c>
      <c r="K126">
        <f ca="1">IF(_xlfn.BINOM.INV(1,pc_,RAND()),Y,0)</f>
        <v>0</v>
      </c>
      <c r="L126">
        <v>0</v>
      </c>
      <c r="M126">
        <v>0</v>
      </c>
      <c r="N126">
        <v>0</v>
      </c>
      <c r="T126">
        <v>125</v>
      </c>
      <c r="U126">
        <v>0.0112482875275553</v>
      </c>
      <c r="V126">
        <v>0</v>
      </c>
    </row>
    <row r="127" spans="7:22">
      <c r="G127">
        <v>126</v>
      </c>
      <c r="H127">
        <f ca="1">a+(b-a)*RAND()</f>
        <v>93.7373691479239</v>
      </c>
      <c r="I127">
        <v>800.177066391112</v>
      </c>
      <c r="J127">
        <v>112.484842977509</v>
      </c>
      <c r="K127">
        <f ca="1">IF(_xlfn.BINOM.INV(1,pc_,RAND()),Y,0)</f>
        <v>0</v>
      </c>
      <c r="L127">
        <v>0</v>
      </c>
      <c r="M127">
        <v>0</v>
      </c>
      <c r="N127">
        <v>0</v>
      </c>
      <c r="T127">
        <v>126</v>
      </c>
      <c r="U127">
        <v>0.326892647023467</v>
      </c>
      <c r="V127">
        <v>0</v>
      </c>
    </row>
    <row r="128" spans="7:22">
      <c r="G128">
        <v>127</v>
      </c>
      <c r="H128">
        <f ca="1">a+(b-a)*RAND()</f>
        <v>110.903850468541</v>
      </c>
      <c r="I128">
        <v>348.813767768141</v>
      </c>
      <c r="J128">
        <v>110.903850468541</v>
      </c>
      <c r="K128">
        <f ca="1">IF(_xlfn.BINOM.INV(1,pc_,RAND()),Y,0)</f>
        <v>0</v>
      </c>
      <c r="L128">
        <v>0</v>
      </c>
      <c r="M128">
        <v>0</v>
      </c>
      <c r="N128">
        <v>0</v>
      </c>
      <c r="T128">
        <v>127</v>
      </c>
      <c r="U128">
        <v>0.678301003270673</v>
      </c>
      <c r="V128">
        <v>0</v>
      </c>
    </row>
    <row r="129" spans="7:22">
      <c r="G129">
        <v>128</v>
      </c>
      <c r="H129">
        <f ca="1">a+(b-a)*RAND()</f>
        <v>173.065216636169</v>
      </c>
      <c r="I129">
        <v>747.511471951214</v>
      </c>
      <c r="J129">
        <v>207.678259963403</v>
      </c>
      <c r="K129">
        <f ca="1">IF(_xlfn.BINOM.INV(1,pc_,RAND()),Y,0)</f>
        <v>0</v>
      </c>
      <c r="L129">
        <v>0</v>
      </c>
      <c r="M129">
        <v>0</v>
      </c>
      <c r="N129">
        <v>0</v>
      </c>
      <c r="T129">
        <v>128</v>
      </c>
      <c r="U129">
        <v>0.668274896182673</v>
      </c>
      <c r="V129">
        <v>0</v>
      </c>
    </row>
    <row r="130" spans="7:22">
      <c r="G130">
        <v>129</v>
      </c>
      <c r="H130">
        <f ca="1">a+(b-a)*RAND()</f>
        <v>156.396783320762</v>
      </c>
      <c r="I130">
        <v>23.5221657258677</v>
      </c>
      <c r="J130">
        <v>156.396783320762</v>
      </c>
      <c r="K130">
        <f ca="1">IF(_xlfn.BINOM.INV(1,pc_,RAND()),Y,0)</f>
        <v>0</v>
      </c>
      <c r="L130">
        <v>0</v>
      </c>
      <c r="M130">
        <v>0</v>
      </c>
      <c r="N130">
        <v>0</v>
      </c>
      <c r="T130">
        <v>129</v>
      </c>
      <c r="U130">
        <v>0.377859516060108</v>
      </c>
      <c r="V130">
        <v>0</v>
      </c>
    </row>
    <row r="131" spans="7:22">
      <c r="G131">
        <v>130</v>
      </c>
      <c r="H131">
        <f ca="1">a+(b-a)*RAND()</f>
        <v>158.546438890005</v>
      </c>
      <c r="I131">
        <v>1494.4896711977</v>
      </c>
      <c r="J131">
        <v>158.546438890005</v>
      </c>
      <c r="K131">
        <f ca="1">IF(_xlfn.BINOM.INV(1,pc_,RAND()),Y,0)</f>
        <v>0</v>
      </c>
      <c r="L131">
        <v>0</v>
      </c>
      <c r="M131">
        <v>0</v>
      </c>
      <c r="N131">
        <v>0</v>
      </c>
      <c r="T131">
        <v>130</v>
      </c>
      <c r="U131">
        <v>0.530325790169844</v>
      </c>
      <c r="V131">
        <v>0</v>
      </c>
    </row>
    <row r="132" spans="7:22">
      <c r="G132">
        <v>131</v>
      </c>
      <c r="H132">
        <f ca="1">a+(b-a)*RAND()</f>
        <v>162.928668995335</v>
      </c>
      <c r="I132">
        <v>1024.8711800194</v>
      </c>
      <c r="J132">
        <v>162.928668995335</v>
      </c>
      <c r="K132">
        <f ca="1">IF(_xlfn.BINOM.INV(1,pc_,RAND()),Y,0)</f>
        <v>0</v>
      </c>
      <c r="L132">
        <v>0</v>
      </c>
      <c r="M132">
        <v>0</v>
      </c>
      <c r="N132">
        <v>0</v>
      </c>
      <c r="T132">
        <v>131</v>
      </c>
      <c r="U132">
        <v>0.390482481773567</v>
      </c>
      <c r="V132">
        <v>0</v>
      </c>
    </row>
    <row r="133" spans="7:22">
      <c r="G133">
        <v>132</v>
      </c>
      <c r="H133">
        <f ca="1">a+(b-a)*RAND()</f>
        <v>151.38306403907</v>
      </c>
      <c r="I133">
        <v>448.223943095141</v>
      </c>
      <c r="J133">
        <v>181.659676846884</v>
      </c>
      <c r="K133">
        <f ca="1">IF(_xlfn.BINOM.INV(1,pc_,RAND()),Y,0)</f>
        <v>0</v>
      </c>
      <c r="L133">
        <v>0</v>
      </c>
      <c r="M133">
        <v>0</v>
      </c>
      <c r="N133">
        <v>0</v>
      </c>
      <c r="T133">
        <v>132</v>
      </c>
      <c r="U133">
        <v>0.292146800057062</v>
      </c>
      <c r="V133">
        <v>0</v>
      </c>
    </row>
    <row r="134" spans="7:22">
      <c r="G134">
        <v>133</v>
      </c>
      <c r="H134">
        <f ca="1">a+(b-a)*RAND()</f>
        <v>115.774711706247</v>
      </c>
      <c r="I134">
        <v>725.568154322106</v>
      </c>
      <c r="J134">
        <v>115.774711706247</v>
      </c>
      <c r="K134">
        <f ca="1">IF(_xlfn.BINOM.INV(1,pc_,RAND()),Y,0)</f>
        <v>0</v>
      </c>
      <c r="L134">
        <v>0</v>
      </c>
      <c r="M134">
        <v>0</v>
      </c>
      <c r="N134">
        <v>0</v>
      </c>
      <c r="T134">
        <v>133</v>
      </c>
      <c r="U134">
        <v>1.49466305973504</v>
      </c>
      <c r="V134">
        <v>1</v>
      </c>
    </row>
    <row r="135" spans="7:22">
      <c r="G135">
        <v>134</v>
      </c>
      <c r="H135">
        <f ca="1">a+(b-a)*RAND()</f>
        <v>92.0564653111051</v>
      </c>
      <c r="I135">
        <v>265.570175702352</v>
      </c>
      <c r="J135">
        <v>92.0564653111051</v>
      </c>
      <c r="K135">
        <f ca="1">IF(_xlfn.BINOM.INV(1,pc_,RAND()),Y,0)</f>
        <v>0</v>
      </c>
      <c r="L135">
        <v>0</v>
      </c>
      <c r="M135">
        <v>0</v>
      </c>
      <c r="N135">
        <v>0</v>
      </c>
      <c r="T135">
        <v>134</v>
      </c>
      <c r="U135">
        <v>0.52466936611876</v>
      </c>
      <c r="V135">
        <v>0</v>
      </c>
    </row>
    <row r="136" spans="7:22">
      <c r="G136">
        <v>135</v>
      </c>
      <c r="H136">
        <f ca="1">a+(b-a)*RAND()</f>
        <v>139.438862403292</v>
      </c>
      <c r="I136">
        <v>242.971693727765</v>
      </c>
      <c r="J136">
        <v>167.32663488395</v>
      </c>
      <c r="K136">
        <f ca="1">IF(_xlfn.BINOM.INV(1,pc_,RAND()),Y,0)</f>
        <v>0</v>
      </c>
      <c r="L136">
        <v>0</v>
      </c>
      <c r="M136">
        <v>0</v>
      </c>
      <c r="N136">
        <v>0</v>
      </c>
      <c r="T136">
        <v>135</v>
      </c>
      <c r="U136">
        <v>0.556210965511149</v>
      </c>
      <c r="V136">
        <v>0</v>
      </c>
    </row>
    <row r="137" spans="7:22">
      <c r="G137">
        <v>136</v>
      </c>
      <c r="H137">
        <f ca="1">a+(b-a)*RAND()</f>
        <v>93.240769483078</v>
      </c>
      <c r="I137">
        <v>1373.02760350588</v>
      </c>
      <c r="J137">
        <v>93.240769483078</v>
      </c>
      <c r="K137">
        <f ca="1">IF(_xlfn.BINOM.INV(1,pc_,RAND()),Y,0)</f>
        <v>1373.02760350588</v>
      </c>
      <c r="L137">
        <v>0</v>
      </c>
      <c r="M137">
        <v>0</v>
      </c>
      <c r="N137">
        <v>0</v>
      </c>
      <c r="T137">
        <v>136</v>
      </c>
      <c r="U137">
        <v>1.20505582469037</v>
      </c>
      <c r="V137">
        <v>1</v>
      </c>
    </row>
    <row r="138" spans="7:22">
      <c r="G138">
        <v>137</v>
      </c>
      <c r="H138">
        <f ca="1">a+(b-a)*RAND()</f>
        <v>52.4604519202216</v>
      </c>
      <c r="I138">
        <v>138.933182722102</v>
      </c>
      <c r="J138">
        <v>52.4604519202216</v>
      </c>
      <c r="K138">
        <f ca="1">IF(_xlfn.BINOM.INV(1,pc_,RAND()),Y,0)</f>
        <v>0</v>
      </c>
      <c r="L138">
        <v>0</v>
      </c>
      <c r="M138">
        <v>0</v>
      </c>
      <c r="N138">
        <v>0</v>
      </c>
      <c r="T138">
        <v>137</v>
      </c>
      <c r="U138">
        <v>0.424943072661423</v>
      </c>
      <c r="V138">
        <v>0</v>
      </c>
    </row>
    <row r="139" spans="7:22">
      <c r="G139">
        <v>138</v>
      </c>
      <c r="H139">
        <f ca="1">a+(b-a)*RAND()</f>
        <v>140.041151950028</v>
      </c>
      <c r="I139">
        <v>352.787414387873</v>
      </c>
      <c r="J139">
        <v>140.041151950028</v>
      </c>
      <c r="K139">
        <f ca="1">IF(_xlfn.BINOM.INV(1,pc_,RAND()),Y,0)</f>
        <v>0</v>
      </c>
      <c r="L139">
        <v>0</v>
      </c>
      <c r="M139">
        <v>0</v>
      </c>
      <c r="N139">
        <v>0</v>
      </c>
      <c r="T139">
        <v>138</v>
      </c>
      <c r="U139">
        <v>1.78037023644557</v>
      </c>
      <c r="V139">
        <v>1</v>
      </c>
    </row>
    <row r="140" spans="7:22">
      <c r="G140">
        <v>139</v>
      </c>
      <c r="H140">
        <f ca="1">a+(b-a)*RAND()</f>
        <v>92.1548760422814</v>
      </c>
      <c r="I140">
        <v>1462.08565508911</v>
      </c>
      <c r="J140">
        <v>110.585851250738</v>
      </c>
      <c r="K140">
        <f ca="1">IF(_xlfn.BINOM.INV(1,pc_,RAND()),Y,0)</f>
        <v>0</v>
      </c>
      <c r="L140">
        <v>0</v>
      </c>
      <c r="M140">
        <v>0</v>
      </c>
      <c r="N140">
        <v>0</v>
      </c>
      <c r="T140">
        <v>139</v>
      </c>
      <c r="U140">
        <v>0.311534193415032</v>
      </c>
      <c r="V140">
        <v>0</v>
      </c>
    </row>
    <row r="141" spans="7:22">
      <c r="G141">
        <v>140</v>
      </c>
      <c r="H141">
        <f ca="1">a+(b-a)*RAND()</f>
        <v>120.055735202331</v>
      </c>
      <c r="I141">
        <v>78.7385601863245</v>
      </c>
      <c r="J141">
        <v>120.055735202331</v>
      </c>
      <c r="K141">
        <f ca="1">IF(_xlfn.BINOM.INV(1,pc_,RAND()),Y,0)</f>
        <v>0</v>
      </c>
      <c r="L141">
        <v>0</v>
      </c>
      <c r="M141">
        <v>0</v>
      </c>
      <c r="N141">
        <v>0</v>
      </c>
      <c r="T141">
        <v>140</v>
      </c>
      <c r="U141">
        <v>1.40197163060716</v>
      </c>
      <c r="V141">
        <v>1</v>
      </c>
    </row>
    <row r="142" spans="7:22">
      <c r="G142">
        <v>141</v>
      </c>
      <c r="H142">
        <f ca="1">a+(b-a)*RAND()</f>
        <v>73.1151631642874</v>
      </c>
      <c r="I142">
        <v>1121.03436646311</v>
      </c>
      <c r="J142">
        <v>87.7381957971448</v>
      </c>
      <c r="K142">
        <f ca="1">IF(_xlfn.BINOM.INV(1,pc_,RAND()),Y,0)</f>
        <v>0</v>
      </c>
      <c r="L142">
        <v>0</v>
      </c>
      <c r="M142">
        <v>0</v>
      </c>
      <c r="N142">
        <v>0</v>
      </c>
      <c r="T142">
        <v>141</v>
      </c>
      <c r="U142">
        <v>0.491376121863934</v>
      </c>
      <c r="V142">
        <v>0</v>
      </c>
    </row>
    <row r="143" spans="7:22">
      <c r="G143">
        <v>142</v>
      </c>
      <c r="H143">
        <f ca="1">a+(b-a)*RAND()</f>
        <v>83.9132284465312</v>
      </c>
      <c r="I143">
        <v>259.154814258675</v>
      </c>
      <c r="J143">
        <v>100.695874135837</v>
      </c>
      <c r="K143">
        <f ca="1">IF(_xlfn.BINOM.INV(1,pc_,RAND()),Y,0)</f>
        <v>0</v>
      </c>
      <c r="L143">
        <v>0</v>
      </c>
      <c r="M143">
        <v>0</v>
      </c>
      <c r="N143">
        <v>0</v>
      </c>
      <c r="T143">
        <v>142</v>
      </c>
      <c r="U143">
        <v>0.925913735143561</v>
      </c>
      <c r="V143">
        <v>0</v>
      </c>
    </row>
    <row r="144" spans="7:22">
      <c r="G144">
        <v>143</v>
      </c>
      <c r="H144">
        <f ca="1">a+(b-a)*RAND()</f>
        <v>166.944833659653</v>
      </c>
      <c r="I144">
        <v>2364.63801526351</v>
      </c>
      <c r="J144">
        <v>166.944833659653</v>
      </c>
      <c r="K144">
        <f ca="1">IF(_xlfn.BINOM.INV(1,pc_,RAND()),Y,0)</f>
        <v>0</v>
      </c>
      <c r="L144">
        <v>0</v>
      </c>
      <c r="M144">
        <v>0</v>
      </c>
      <c r="N144">
        <v>0</v>
      </c>
      <c r="T144">
        <v>143</v>
      </c>
      <c r="U144">
        <v>2.09775747418954</v>
      </c>
      <c r="V144">
        <v>1</v>
      </c>
    </row>
    <row r="145" spans="7:22">
      <c r="G145">
        <v>144</v>
      </c>
      <c r="H145">
        <f ca="1">a+(b-a)*RAND()</f>
        <v>137.726916014887</v>
      </c>
      <c r="I145">
        <v>897.549863696303</v>
      </c>
      <c r="J145">
        <v>165.272299217864</v>
      </c>
      <c r="K145">
        <f ca="1">IF(_xlfn.BINOM.INV(1,pc_,RAND()),Y,0)</f>
        <v>0</v>
      </c>
      <c r="L145">
        <v>0</v>
      </c>
      <c r="M145">
        <v>0</v>
      </c>
      <c r="N145">
        <v>0</v>
      </c>
      <c r="T145">
        <v>144</v>
      </c>
      <c r="U145">
        <v>0.156968907689017</v>
      </c>
      <c r="V145">
        <v>0</v>
      </c>
    </row>
    <row r="146" spans="7:22">
      <c r="G146">
        <v>145</v>
      </c>
      <c r="H146">
        <f ca="1">a+(b-a)*RAND()</f>
        <v>150.479409807321</v>
      </c>
      <c r="I146">
        <v>630.162594332588</v>
      </c>
      <c r="J146">
        <v>150.479409807321</v>
      </c>
      <c r="K146">
        <f ca="1">IF(_xlfn.BINOM.INV(1,pc_,RAND()),Y,0)</f>
        <v>630.162594332588</v>
      </c>
      <c r="L146">
        <v>0</v>
      </c>
      <c r="M146">
        <v>0</v>
      </c>
      <c r="N146">
        <v>0</v>
      </c>
      <c r="T146">
        <v>145</v>
      </c>
      <c r="U146">
        <v>0.393793956320128</v>
      </c>
      <c r="V146">
        <v>0</v>
      </c>
    </row>
    <row r="147" spans="7:22">
      <c r="G147">
        <v>146</v>
      </c>
      <c r="H147">
        <f ca="1">a+(b-a)*RAND()</f>
        <v>64.3564061143589</v>
      </c>
      <c r="I147">
        <v>66.2044216551041</v>
      </c>
      <c r="J147">
        <v>77.2276873372307</v>
      </c>
      <c r="K147">
        <f ca="1">IF(_xlfn.BINOM.INV(1,pc_,RAND()),Y,0)</f>
        <v>0</v>
      </c>
      <c r="L147">
        <v>0</v>
      </c>
      <c r="M147">
        <v>0</v>
      </c>
      <c r="N147">
        <v>0</v>
      </c>
      <c r="T147">
        <v>146</v>
      </c>
      <c r="U147">
        <v>0.323001327596918</v>
      </c>
      <c r="V147">
        <v>0</v>
      </c>
    </row>
    <row r="148" spans="7:22">
      <c r="G148">
        <v>147</v>
      </c>
      <c r="H148">
        <f ca="1">a+(b-a)*RAND()</f>
        <v>114.197314828352</v>
      </c>
      <c r="I148">
        <v>262.349886139561</v>
      </c>
      <c r="J148">
        <v>114.197314828352</v>
      </c>
      <c r="K148">
        <f ca="1">IF(_xlfn.BINOM.INV(1,pc_,RAND()),Y,0)</f>
        <v>0</v>
      </c>
      <c r="L148">
        <v>0</v>
      </c>
      <c r="M148">
        <v>0</v>
      </c>
      <c r="N148">
        <v>0</v>
      </c>
      <c r="T148">
        <v>147</v>
      </c>
      <c r="U148">
        <v>0.250232440679031</v>
      </c>
      <c r="V148">
        <v>0</v>
      </c>
    </row>
    <row r="149" spans="7:22">
      <c r="G149">
        <v>148</v>
      </c>
      <c r="H149">
        <f ca="1">a+(b-a)*RAND()</f>
        <v>182.364284572776</v>
      </c>
      <c r="I149">
        <v>2844.36282768488</v>
      </c>
      <c r="J149">
        <v>182.364284572776</v>
      </c>
      <c r="K149">
        <f ca="1">IF(_xlfn.BINOM.INV(1,pc_,RAND()),Y,0)</f>
        <v>0</v>
      </c>
      <c r="L149">
        <v>0</v>
      </c>
      <c r="M149">
        <v>0</v>
      </c>
      <c r="N149">
        <v>0</v>
      </c>
      <c r="T149">
        <v>148</v>
      </c>
      <c r="U149">
        <v>1.08445886225093</v>
      </c>
      <c r="V149">
        <v>1</v>
      </c>
    </row>
    <row r="150" spans="7:22">
      <c r="G150">
        <v>149</v>
      </c>
      <c r="H150">
        <f ca="1">a+(b-a)*RAND()</f>
        <v>77.7941759413396</v>
      </c>
      <c r="I150">
        <v>1077.26539645681</v>
      </c>
      <c r="J150">
        <v>93.3530111296076</v>
      </c>
      <c r="K150">
        <f ca="1">IF(_xlfn.BINOM.INV(1,pc_,RAND()),Y,0)</f>
        <v>0</v>
      </c>
      <c r="L150">
        <v>0</v>
      </c>
      <c r="M150">
        <v>0</v>
      </c>
      <c r="N150">
        <v>0</v>
      </c>
      <c r="T150">
        <v>149</v>
      </c>
      <c r="U150">
        <v>1.30241857776438</v>
      </c>
      <c r="V150">
        <v>1</v>
      </c>
    </row>
    <row r="151" spans="7:22">
      <c r="G151">
        <v>150</v>
      </c>
      <c r="H151">
        <f ca="1">a+(b-a)*RAND()</f>
        <v>52.4019452243965</v>
      </c>
      <c r="I151">
        <v>263.76106112175</v>
      </c>
      <c r="J151">
        <v>62.8823342692758</v>
      </c>
      <c r="K151">
        <f ca="1">IF(_xlfn.BINOM.INV(1,pc_,RAND()),Y,0)</f>
        <v>0</v>
      </c>
      <c r="L151">
        <v>0</v>
      </c>
      <c r="M151">
        <v>0</v>
      </c>
      <c r="N151">
        <v>0</v>
      </c>
      <c r="T151">
        <v>150</v>
      </c>
      <c r="U151">
        <v>0.618959876556943</v>
      </c>
      <c r="V151">
        <v>0</v>
      </c>
    </row>
    <row r="152" spans="7:22">
      <c r="G152">
        <v>151</v>
      </c>
      <c r="H152">
        <f ca="1">a+(b-a)*RAND()</f>
        <v>54.4768493961966</v>
      </c>
      <c r="I152">
        <v>99.6783988359442</v>
      </c>
      <c r="J152">
        <v>54.4768493961966</v>
      </c>
      <c r="K152">
        <f ca="1">IF(_xlfn.BINOM.INV(1,pc_,RAND()),Y,0)</f>
        <v>0</v>
      </c>
      <c r="L152">
        <v>0</v>
      </c>
      <c r="M152">
        <v>0</v>
      </c>
      <c r="N152">
        <v>0</v>
      </c>
      <c r="T152">
        <v>151</v>
      </c>
      <c r="U152">
        <v>1.33118152661857</v>
      </c>
      <c r="V152">
        <v>1</v>
      </c>
    </row>
    <row r="153" spans="7:22">
      <c r="G153">
        <v>152</v>
      </c>
      <c r="H153">
        <f ca="1">a+(b-a)*RAND()</f>
        <v>198.414623801276</v>
      </c>
      <c r="I153">
        <v>191.972314422175</v>
      </c>
      <c r="J153">
        <v>198.414623801276</v>
      </c>
      <c r="K153">
        <f ca="1">IF(_xlfn.BINOM.INV(1,pc_,RAND()),Y,0)</f>
        <v>0</v>
      </c>
      <c r="L153">
        <v>0</v>
      </c>
      <c r="M153">
        <v>0</v>
      </c>
      <c r="N153">
        <v>0</v>
      </c>
      <c r="T153">
        <v>152</v>
      </c>
      <c r="U153">
        <v>0.963504228574273</v>
      </c>
      <c r="V153">
        <v>0</v>
      </c>
    </row>
    <row r="154" spans="7:22">
      <c r="G154">
        <v>153</v>
      </c>
      <c r="H154">
        <f ca="1">a+(b-a)*RAND()</f>
        <v>61.3395085095553</v>
      </c>
      <c r="I154">
        <v>197.363702773878</v>
      </c>
      <c r="J154">
        <v>73.6074102114663</v>
      </c>
      <c r="K154">
        <f ca="1">IF(_xlfn.BINOM.INV(1,pc_,RAND()),Y,0)</f>
        <v>0</v>
      </c>
      <c r="L154">
        <v>0</v>
      </c>
      <c r="M154">
        <v>0</v>
      </c>
      <c r="N154">
        <v>0</v>
      </c>
      <c r="T154">
        <v>153</v>
      </c>
      <c r="U154">
        <v>0.13542756707573</v>
      </c>
      <c r="V154">
        <v>0</v>
      </c>
    </row>
    <row r="155" spans="7:22">
      <c r="G155">
        <v>154</v>
      </c>
      <c r="H155">
        <f ca="1">a+(b-a)*RAND()</f>
        <v>150.122363595683</v>
      </c>
      <c r="I155">
        <v>2148.04255091296</v>
      </c>
      <c r="J155">
        <v>180.14683631482</v>
      </c>
      <c r="K155">
        <f ca="1">IF(_xlfn.BINOM.INV(1,pc_,RAND()),Y,0)</f>
        <v>0</v>
      </c>
      <c r="L155">
        <v>0</v>
      </c>
      <c r="M155">
        <v>0</v>
      </c>
      <c r="N155">
        <v>0</v>
      </c>
      <c r="T155">
        <v>154</v>
      </c>
      <c r="U155">
        <v>1.19407070450663</v>
      </c>
      <c r="V155">
        <v>1</v>
      </c>
    </row>
    <row r="156" spans="7:22">
      <c r="G156">
        <v>155</v>
      </c>
      <c r="H156">
        <f ca="1">a+(b-a)*RAND()</f>
        <v>190.936351335608</v>
      </c>
      <c r="I156">
        <v>98.2825687589915</v>
      </c>
      <c r="J156">
        <v>190.936351335608</v>
      </c>
      <c r="K156">
        <f ca="1">IF(_xlfn.BINOM.INV(1,pc_,RAND()),Y,0)</f>
        <v>98.2825687589915</v>
      </c>
      <c r="L156">
        <v>0</v>
      </c>
      <c r="M156">
        <v>0</v>
      </c>
      <c r="N156">
        <v>0</v>
      </c>
      <c r="T156">
        <v>155</v>
      </c>
      <c r="U156">
        <v>7.3910058599093</v>
      </c>
      <c r="V156">
        <v>1</v>
      </c>
    </row>
    <row r="157" spans="7:22">
      <c r="G157">
        <v>156</v>
      </c>
      <c r="H157">
        <f ca="1">a+(b-a)*RAND()</f>
        <v>114.474791379987</v>
      </c>
      <c r="I157">
        <v>478.381189460439</v>
      </c>
      <c r="J157">
        <v>137.369749655984</v>
      </c>
      <c r="K157">
        <f ca="1">IF(_xlfn.BINOM.INV(1,pc_,RAND()),Y,0)</f>
        <v>0</v>
      </c>
      <c r="L157">
        <v>0</v>
      </c>
      <c r="M157">
        <v>0</v>
      </c>
      <c r="N157">
        <v>0</v>
      </c>
      <c r="T157">
        <v>156</v>
      </c>
      <c r="U157">
        <v>0.0281119696652923</v>
      </c>
      <c r="V157">
        <v>0</v>
      </c>
    </row>
    <row r="158" spans="7:22">
      <c r="G158">
        <v>157</v>
      </c>
      <c r="H158">
        <f ca="1">a+(b-a)*RAND()</f>
        <v>122.804071236087</v>
      </c>
      <c r="I158">
        <v>961.909171942717</v>
      </c>
      <c r="J158">
        <v>122.804071236087</v>
      </c>
      <c r="K158">
        <f ca="1">IF(_xlfn.BINOM.INV(1,pc_,RAND()),Y,0)</f>
        <v>961.909171942717</v>
      </c>
      <c r="L158">
        <v>0</v>
      </c>
      <c r="M158">
        <v>0</v>
      </c>
      <c r="N158">
        <v>0</v>
      </c>
      <c r="T158">
        <v>157</v>
      </c>
      <c r="U158">
        <v>1.04304321315914</v>
      </c>
      <c r="V158">
        <v>1</v>
      </c>
    </row>
    <row r="159" spans="7:22">
      <c r="G159">
        <v>158</v>
      </c>
      <c r="H159">
        <f ca="1">a+(b-a)*RAND()</f>
        <v>182.652107406127</v>
      </c>
      <c r="I159">
        <v>259.479426957906</v>
      </c>
      <c r="J159">
        <v>182.652107406127</v>
      </c>
      <c r="K159">
        <f ca="1">IF(_xlfn.BINOM.INV(1,pc_,RAND()),Y,0)</f>
        <v>259.479426957906</v>
      </c>
      <c r="L159">
        <v>0</v>
      </c>
      <c r="M159">
        <v>0</v>
      </c>
      <c r="N159">
        <v>0</v>
      </c>
      <c r="T159">
        <v>158</v>
      </c>
      <c r="U159">
        <v>0.857167443024238</v>
      </c>
      <c r="V159">
        <v>0</v>
      </c>
    </row>
    <row r="160" spans="7:22">
      <c r="G160">
        <v>159</v>
      </c>
      <c r="H160">
        <f ca="1">a+(b-a)*RAND()</f>
        <v>96.1823834684308</v>
      </c>
      <c r="I160">
        <v>100.471394991266</v>
      </c>
      <c r="J160">
        <v>96.1823834684308</v>
      </c>
      <c r="K160">
        <f ca="1">IF(_xlfn.BINOM.INV(1,pc_,RAND()),Y,0)</f>
        <v>0</v>
      </c>
      <c r="L160">
        <v>0</v>
      </c>
      <c r="M160">
        <v>0</v>
      </c>
      <c r="N160">
        <v>0</v>
      </c>
      <c r="T160">
        <v>159</v>
      </c>
      <c r="U160">
        <v>0.391342975011759</v>
      </c>
      <c r="V160">
        <v>0</v>
      </c>
    </row>
    <row r="161" spans="7:22">
      <c r="G161">
        <v>160</v>
      </c>
      <c r="H161">
        <f ca="1">a+(b-a)*RAND()</f>
        <v>121.378418265738</v>
      </c>
      <c r="I161">
        <v>363.591869415056</v>
      </c>
      <c r="J161">
        <v>121.378418265738</v>
      </c>
      <c r="K161">
        <f ca="1">IF(_xlfn.BINOM.INV(1,pc_,RAND()),Y,0)</f>
        <v>0</v>
      </c>
      <c r="L161">
        <v>0</v>
      </c>
      <c r="M161">
        <v>0</v>
      </c>
      <c r="N161">
        <v>0</v>
      </c>
      <c r="T161">
        <v>160</v>
      </c>
      <c r="U161">
        <v>1.12586962877957</v>
      </c>
      <c r="V161">
        <v>1</v>
      </c>
    </row>
    <row r="162" spans="7:22">
      <c r="G162">
        <v>161</v>
      </c>
      <c r="H162">
        <f ca="1">a+(b-a)*RAND()</f>
        <v>121.785053784156</v>
      </c>
      <c r="I162">
        <v>346.227666579218</v>
      </c>
      <c r="J162">
        <v>121.785053784156</v>
      </c>
      <c r="K162">
        <f ca="1">IF(_xlfn.BINOM.INV(1,pc_,RAND()),Y,0)</f>
        <v>346.227666579218</v>
      </c>
      <c r="L162">
        <v>0</v>
      </c>
      <c r="M162">
        <v>0</v>
      </c>
      <c r="N162">
        <v>0</v>
      </c>
      <c r="T162">
        <v>161</v>
      </c>
      <c r="U162">
        <v>0.246513603315876</v>
      </c>
      <c r="V162">
        <v>0</v>
      </c>
    </row>
    <row r="163" spans="7:22">
      <c r="G163">
        <v>162</v>
      </c>
      <c r="H163">
        <f ca="1">a+(b-a)*RAND()</f>
        <v>134.973928246825</v>
      </c>
      <c r="I163">
        <v>230.351019322957</v>
      </c>
      <c r="J163">
        <v>134.973928246825</v>
      </c>
      <c r="K163">
        <f ca="1">IF(_xlfn.BINOM.INV(1,pc_,RAND()),Y,0)</f>
        <v>230.351019322957</v>
      </c>
      <c r="L163">
        <v>0</v>
      </c>
      <c r="M163">
        <v>0</v>
      </c>
      <c r="N163">
        <v>0</v>
      </c>
      <c r="T163">
        <v>162</v>
      </c>
      <c r="U163">
        <v>0.3483430263068</v>
      </c>
      <c r="V163">
        <v>0</v>
      </c>
    </row>
    <row r="164" spans="7:22">
      <c r="G164">
        <v>163</v>
      </c>
      <c r="H164">
        <f ca="1">a+(b-a)*RAND()</f>
        <v>174.161452619914</v>
      </c>
      <c r="I164">
        <v>690.288703467107</v>
      </c>
      <c r="J164">
        <v>208.993743143897</v>
      </c>
      <c r="K164">
        <f ca="1">IF(_xlfn.BINOM.INV(1,pc_,RAND()),Y,0)</f>
        <v>0</v>
      </c>
      <c r="L164">
        <v>0</v>
      </c>
      <c r="M164">
        <v>0</v>
      </c>
      <c r="N164">
        <v>0</v>
      </c>
      <c r="T164">
        <v>163</v>
      </c>
      <c r="U164">
        <v>1.97727531323748</v>
      </c>
      <c r="V164">
        <v>1</v>
      </c>
    </row>
    <row r="165" spans="7:22">
      <c r="G165">
        <v>164</v>
      </c>
      <c r="H165">
        <f ca="1">a+(b-a)*RAND()</f>
        <v>75.1370307611126</v>
      </c>
      <c r="I165">
        <v>1092.1147992287</v>
      </c>
      <c r="J165">
        <v>75.1370307611126</v>
      </c>
      <c r="K165">
        <f ca="1">IF(_xlfn.BINOM.INV(1,pc_,RAND()),Y,0)</f>
        <v>0</v>
      </c>
      <c r="L165">
        <v>0</v>
      </c>
      <c r="M165">
        <v>0</v>
      </c>
      <c r="N165">
        <v>0</v>
      </c>
      <c r="T165">
        <v>164</v>
      </c>
      <c r="U165">
        <v>0.590236129248357</v>
      </c>
      <c r="V165">
        <v>0</v>
      </c>
    </row>
    <row r="166" spans="7:22">
      <c r="G166">
        <v>165</v>
      </c>
      <c r="H166">
        <f ca="1">a+(b-a)*RAND()</f>
        <v>84.1784330442943</v>
      </c>
      <c r="I166">
        <v>184.551644015414</v>
      </c>
      <c r="J166">
        <v>84.1784330442943</v>
      </c>
      <c r="K166">
        <f ca="1">IF(_xlfn.BINOM.INV(1,pc_,RAND()),Y,0)</f>
        <v>0</v>
      </c>
      <c r="L166">
        <v>0</v>
      </c>
      <c r="M166">
        <v>0</v>
      </c>
      <c r="N166">
        <v>0</v>
      </c>
      <c r="T166">
        <v>165</v>
      </c>
      <c r="U166">
        <v>0.667102276083143</v>
      </c>
      <c r="V166">
        <v>0</v>
      </c>
    </row>
    <row r="167" spans="7:22">
      <c r="G167">
        <v>166</v>
      </c>
      <c r="H167">
        <f ca="1">a+(b-a)*RAND()</f>
        <v>123.626702254121</v>
      </c>
      <c r="I167">
        <v>57.4981541686048</v>
      </c>
      <c r="J167">
        <v>123.626702254121</v>
      </c>
      <c r="K167">
        <f ca="1">IF(_xlfn.BINOM.INV(1,pc_,RAND()),Y,0)</f>
        <v>0</v>
      </c>
      <c r="L167">
        <v>0</v>
      </c>
      <c r="M167">
        <v>0</v>
      </c>
      <c r="N167">
        <v>0</v>
      </c>
      <c r="T167">
        <v>166</v>
      </c>
      <c r="U167">
        <v>0.717915185891673</v>
      </c>
      <c r="V167">
        <v>0</v>
      </c>
    </row>
    <row r="168" spans="7:22">
      <c r="G168">
        <v>167</v>
      </c>
      <c r="H168">
        <f ca="1">a+(b-a)*RAND()</f>
        <v>152.829094264821</v>
      </c>
      <c r="I168">
        <v>1089.38770772235</v>
      </c>
      <c r="J168">
        <v>183.394913117785</v>
      </c>
      <c r="K168">
        <f ca="1">IF(_xlfn.BINOM.INV(1,pc_,RAND()),Y,0)</f>
        <v>0</v>
      </c>
      <c r="L168">
        <v>0</v>
      </c>
      <c r="M168">
        <v>0</v>
      </c>
      <c r="N168">
        <v>0</v>
      </c>
      <c r="T168">
        <v>167</v>
      </c>
      <c r="U168">
        <v>0.299113611625524</v>
      </c>
      <c r="V168">
        <v>0</v>
      </c>
    </row>
    <row r="169" spans="7:22">
      <c r="G169">
        <v>168</v>
      </c>
      <c r="H169">
        <f ca="1">a+(b-a)*RAND()</f>
        <v>139.632766854182</v>
      </c>
      <c r="I169">
        <v>71.6619552232106</v>
      </c>
      <c r="J169">
        <v>139.632766854182</v>
      </c>
      <c r="K169">
        <f ca="1">IF(_xlfn.BINOM.INV(1,pc_,RAND()),Y,0)</f>
        <v>0</v>
      </c>
      <c r="L169">
        <v>0</v>
      </c>
      <c r="M169">
        <v>0</v>
      </c>
      <c r="N169">
        <v>0</v>
      </c>
      <c r="T169">
        <v>168</v>
      </c>
      <c r="U169">
        <v>0.259343697009356</v>
      </c>
      <c r="V169">
        <v>0</v>
      </c>
    </row>
    <row r="170" spans="7:22">
      <c r="G170">
        <v>169</v>
      </c>
      <c r="H170">
        <f ca="1">a+(b-a)*RAND()</f>
        <v>120.595952907678</v>
      </c>
      <c r="I170">
        <v>2111.25331872444</v>
      </c>
      <c r="J170">
        <v>120.595952907678</v>
      </c>
      <c r="K170">
        <f ca="1">IF(_xlfn.BINOM.INV(1,pc_,RAND()),Y,0)</f>
        <v>0</v>
      </c>
      <c r="L170">
        <v>0</v>
      </c>
      <c r="M170">
        <v>0</v>
      </c>
      <c r="N170">
        <v>0</v>
      </c>
      <c r="T170">
        <v>169</v>
      </c>
      <c r="U170">
        <v>0.301933046014853</v>
      </c>
      <c r="V170">
        <v>0</v>
      </c>
    </row>
    <row r="171" spans="7:22">
      <c r="G171">
        <v>170</v>
      </c>
      <c r="H171">
        <f ca="1">a+(b-a)*RAND()</f>
        <v>86.2010533635725</v>
      </c>
      <c r="I171">
        <v>325.551978314214</v>
      </c>
      <c r="J171">
        <v>86.2010533635725</v>
      </c>
      <c r="K171">
        <f ca="1">IF(_xlfn.BINOM.INV(1,pc_,RAND()),Y,0)</f>
        <v>0</v>
      </c>
      <c r="L171">
        <v>0</v>
      </c>
      <c r="M171">
        <v>0</v>
      </c>
      <c r="N171">
        <v>0</v>
      </c>
      <c r="T171">
        <v>170</v>
      </c>
      <c r="U171">
        <v>0.0757126395367178</v>
      </c>
      <c r="V171">
        <v>0</v>
      </c>
    </row>
    <row r="172" spans="7:22">
      <c r="G172">
        <v>171</v>
      </c>
      <c r="H172">
        <f ca="1">a+(b-a)*RAND()</f>
        <v>105.809115999674</v>
      </c>
      <c r="I172">
        <v>1064.45981908484</v>
      </c>
      <c r="J172">
        <v>105.809115999674</v>
      </c>
      <c r="K172">
        <f ca="1">IF(_xlfn.BINOM.INV(1,pc_,RAND()),Y,0)</f>
        <v>0</v>
      </c>
      <c r="L172">
        <v>0</v>
      </c>
      <c r="M172">
        <v>0</v>
      </c>
      <c r="N172">
        <v>0</v>
      </c>
      <c r="T172">
        <v>171</v>
      </c>
      <c r="U172">
        <v>0.330315150877064</v>
      </c>
      <c r="V172">
        <v>0</v>
      </c>
    </row>
    <row r="173" spans="7:22">
      <c r="G173">
        <v>172</v>
      </c>
      <c r="H173">
        <f ca="1">a+(b-a)*RAND()</f>
        <v>65.7721073927723</v>
      </c>
      <c r="I173">
        <v>633.3299268019</v>
      </c>
      <c r="J173">
        <v>78.9265288713267</v>
      </c>
      <c r="K173">
        <f ca="1">IF(_xlfn.BINOM.INV(1,pc_,RAND()),Y,0)</f>
        <v>0</v>
      </c>
      <c r="L173">
        <v>0</v>
      </c>
      <c r="M173">
        <v>0</v>
      </c>
      <c r="N173">
        <v>0</v>
      </c>
      <c r="T173">
        <v>172</v>
      </c>
      <c r="U173">
        <v>0.978055242941753</v>
      </c>
      <c r="V173">
        <v>0</v>
      </c>
    </row>
    <row r="174" spans="7:22">
      <c r="G174">
        <v>173</v>
      </c>
      <c r="H174">
        <f ca="1">a+(b-a)*RAND()</f>
        <v>65.1383279116938</v>
      </c>
      <c r="I174">
        <v>118.090470076231</v>
      </c>
      <c r="J174">
        <v>78.1659934940326</v>
      </c>
      <c r="K174">
        <f ca="1">IF(_xlfn.BINOM.INV(1,pc_,RAND()),Y,0)</f>
        <v>0</v>
      </c>
      <c r="L174">
        <v>0</v>
      </c>
      <c r="M174">
        <v>0</v>
      </c>
      <c r="N174">
        <v>0</v>
      </c>
      <c r="T174">
        <v>173</v>
      </c>
      <c r="U174">
        <v>0.371358669011766</v>
      </c>
      <c r="V174">
        <v>0</v>
      </c>
    </row>
    <row r="175" spans="7:22">
      <c r="G175">
        <v>174</v>
      </c>
      <c r="H175">
        <f ca="1">a+(b-a)*RAND()</f>
        <v>54.1923179427045</v>
      </c>
      <c r="I175">
        <v>181.086646735831</v>
      </c>
      <c r="J175">
        <v>54.1923179427045</v>
      </c>
      <c r="K175">
        <f ca="1">IF(_xlfn.BINOM.INV(1,pc_,RAND()),Y,0)</f>
        <v>0</v>
      </c>
      <c r="L175">
        <v>0</v>
      </c>
      <c r="M175">
        <v>0</v>
      </c>
      <c r="N175">
        <v>0</v>
      </c>
      <c r="T175">
        <v>174</v>
      </c>
      <c r="U175">
        <v>0.393376623226932</v>
      </c>
      <c r="V175">
        <v>0</v>
      </c>
    </row>
    <row r="176" spans="7:22">
      <c r="G176">
        <v>175</v>
      </c>
      <c r="H176">
        <f ca="1">a+(b-a)*RAND()</f>
        <v>55.7465067129449</v>
      </c>
      <c r="I176">
        <v>335.917901365088</v>
      </c>
      <c r="J176">
        <v>55.7465067129449</v>
      </c>
      <c r="K176">
        <f ca="1">IF(_xlfn.BINOM.INV(1,pc_,RAND()),Y,0)</f>
        <v>0</v>
      </c>
      <c r="L176">
        <v>0</v>
      </c>
      <c r="M176">
        <v>0</v>
      </c>
      <c r="N176">
        <v>0</v>
      </c>
      <c r="T176">
        <v>175</v>
      </c>
      <c r="U176">
        <v>1.48252354289376</v>
      </c>
      <c r="V176">
        <v>1</v>
      </c>
    </row>
    <row r="177" spans="7:22">
      <c r="G177">
        <v>176</v>
      </c>
      <c r="H177">
        <f ca="1">a+(b-a)*RAND()</f>
        <v>132.670351363908</v>
      </c>
      <c r="I177">
        <v>55.885001267676</v>
      </c>
      <c r="J177">
        <v>159.20442163669</v>
      </c>
      <c r="K177">
        <f ca="1">IF(_xlfn.BINOM.INV(1,pc_,RAND()),Y,0)</f>
        <v>0</v>
      </c>
      <c r="L177">
        <v>0</v>
      </c>
      <c r="M177">
        <v>0</v>
      </c>
      <c r="N177">
        <v>0</v>
      </c>
      <c r="T177">
        <v>176</v>
      </c>
      <c r="U177">
        <v>0.590817191903359</v>
      </c>
      <c r="V177">
        <v>0</v>
      </c>
    </row>
    <row r="178" spans="7:22">
      <c r="G178">
        <v>177</v>
      </c>
      <c r="H178">
        <f ca="1">a+(b-a)*RAND()</f>
        <v>193.771889514221</v>
      </c>
      <c r="I178">
        <v>830.658916242977</v>
      </c>
      <c r="J178">
        <v>193.771889514221</v>
      </c>
      <c r="K178">
        <f ca="1">IF(_xlfn.BINOM.INV(1,pc_,RAND()),Y,0)</f>
        <v>0</v>
      </c>
      <c r="L178">
        <v>0</v>
      </c>
      <c r="M178">
        <v>0</v>
      </c>
      <c r="N178">
        <v>0</v>
      </c>
      <c r="T178">
        <v>177</v>
      </c>
      <c r="U178">
        <v>1.1374374191932</v>
      </c>
      <c r="V178">
        <v>1</v>
      </c>
    </row>
    <row r="179" spans="7:22">
      <c r="G179">
        <v>178</v>
      </c>
      <c r="H179">
        <f ca="1">a+(b-a)*RAND()</f>
        <v>76.865584315439</v>
      </c>
      <c r="I179">
        <v>141.059090778296</v>
      </c>
      <c r="J179">
        <v>76.865584315439</v>
      </c>
      <c r="K179">
        <f ca="1">IF(_xlfn.BINOM.INV(1,pc_,RAND()),Y,0)</f>
        <v>141.059090778296</v>
      </c>
      <c r="L179">
        <v>0</v>
      </c>
      <c r="M179">
        <v>0</v>
      </c>
      <c r="N179">
        <v>0</v>
      </c>
      <c r="T179">
        <v>178</v>
      </c>
      <c r="U179">
        <v>0.128234055627165</v>
      </c>
      <c r="V179">
        <v>0</v>
      </c>
    </row>
    <row r="180" spans="7:22">
      <c r="G180">
        <v>179</v>
      </c>
      <c r="H180">
        <f ca="1">a+(b-a)*RAND()</f>
        <v>97.6300240394812</v>
      </c>
      <c r="I180">
        <v>219.122766629252</v>
      </c>
      <c r="J180">
        <v>97.6300240394812</v>
      </c>
      <c r="K180">
        <f ca="1">IF(_xlfn.BINOM.INV(1,pc_,RAND()),Y,0)</f>
        <v>0</v>
      </c>
      <c r="L180">
        <v>0</v>
      </c>
      <c r="M180">
        <v>0</v>
      </c>
      <c r="N180">
        <v>0</v>
      </c>
      <c r="T180">
        <v>179</v>
      </c>
      <c r="U180">
        <v>0.289598338282138</v>
      </c>
      <c r="V180">
        <v>0</v>
      </c>
    </row>
    <row r="181" spans="7:22">
      <c r="G181">
        <v>180</v>
      </c>
      <c r="H181">
        <f ca="1">a+(b-a)*RAND()</f>
        <v>135.894773832047</v>
      </c>
      <c r="I181">
        <v>712.604593796528</v>
      </c>
      <c r="J181">
        <v>135.894773832047</v>
      </c>
      <c r="K181">
        <f ca="1">IF(_xlfn.BINOM.INV(1,pc_,RAND()),Y,0)</f>
        <v>0</v>
      </c>
      <c r="L181">
        <v>0</v>
      </c>
      <c r="M181">
        <v>0</v>
      </c>
      <c r="N181">
        <v>0</v>
      </c>
      <c r="T181">
        <v>180</v>
      </c>
      <c r="U181">
        <v>0.792736021454761</v>
      </c>
      <c r="V181">
        <v>0</v>
      </c>
    </row>
    <row r="182" spans="7:22">
      <c r="G182">
        <v>181</v>
      </c>
      <c r="H182">
        <f ca="1">a+(b-a)*RAND()</f>
        <v>169.554306272037</v>
      </c>
      <c r="I182">
        <v>710.428965744114</v>
      </c>
      <c r="J182">
        <v>169.554306272037</v>
      </c>
      <c r="K182">
        <f ca="1">IF(_xlfn.BINOM.INV(1,pc_,RAND()),Y,0)</f>
        <v>0</v>
      </c>
      <c r="L182">
        <v>0</v>
      </c>
      <c r="M182">
        <v>0</v>
      </c>
      <c r="N182">
        <v>0</v>
      </c>
      <c r="T182">
        <v>181</v>
      </c>
      <c r="U182">
        <v>0.869954723810993</v>
      </c>
      <c r="V182">
        <v>0</v>
      </c>
    </row>
    <row r="183" spans="7:22">
      <c r="G183">
        <v>182</v>
      </c>
      <c r="H183">
        <f ca="1">a+(b-a)*RAND()</f>
        <v>163.975367603777</v>
      </c>
      <c r="I183">
        <v>359.917823091329</v>
      </c>
      <c r="J183">
        <v>196.770441124532</v>
      </c>
      <c r="K183">
        <f ca="1">IF(_xlfn.BINOM.INV(1,pc_,RAND()),Y,0)</f>
        <v>0</v>
      </c>
      <c r="L183">
        <v>0</v>
      </c>
      <c r="M183">
        <v>0</v>
      </c>
      <c r="N183">
        <v>0</v>
      </c>
      <c r="T183">
        <v>182</v>
      </c>
      <c r="U183">
        <v>0.503323642444599</v>
      </c>
      <c r="V183">
        <v>0</v>
      </c>
    </row>
    <row r="184" spans="7:22">
      <c r="G184">
        <v>183</v>
      </c>
      <c r="H184">
        <f ca="1">a+(b-a)*RAND()</f>
        <v>162.929954570279</v>
      </c>
      <c r="I184">
        <v>3195.9132191944</v>
      </c>
      <c r="J184">
        <v>195.515945484335</v>
      </c>
      <c r="K184">
        <f ca="1">IF(_xlfn.BINOM.INV(1,pc_,RAND()),Y,0)</f>
        <v>0</v>
      </c>
      <c r="L184">
        <v>0</v>
      </c>
      <c r="M184">
        <v>0</v>
      </c>
      <c r="N184">
        <v>0</v>
      </c>
      <c r="T184">
        <v>183</v>
      </c>
      <c r="U184">
        <v>0.447634779230916</v>
      </c>
      <c r="V184">
        <v>0</v>
      </c>
    </row>
    <row r="185" spans="7:22">
      <c r="G185">
        <v>184</v>
      </c>
      <c r="H185">
        <f ca="1">a+(b-a)*RAND()</f>
        <v>106.088047954102</v>
      </c>
      <c r="I185">
        <v>178.058462545696</v>
      </c>
      <c r="J185">
        <v>106.088047954102</v>
      </c>
      <c r="K185">
        <f ca="1">IF(_xlfn.BINOM.INV(1,pc_,RAND()),Y,0)</f>
        <v>178.058462545696</v>
      </c>
      <c r="L185">
        <v>0</v>
      </c>
      <c r="M185">
        <v>0</v>
      </c>
      <c r="N185">
        <v>0</v>
      </c>
      <c r="T185">
        <v>184</v>
      </c>
      <c r="U185">
        <v>0.340926426248701</v>
      </c>
      <c r="V185">
        <v>0</v>
      </c>
    </row>
    <row r="186" spans="7:22">
      <c r="G186">
        <v>185</v>
      </c>
      <c r="H186">
        <f ca="1">a+(b-a)*RAND()</f>
        <v>138.374921653482</v>
      </c>
      <c r="I186">
        <v>902.64714966015</v>
      </c>
      <c r="J186">
        <v>138.374921653482</v>
      </c>
      <c r="K186">
        <f ca="1">IF(_xlfn.BINOM.INV(1,pc_,RAND()),Y,0)</f>
        <v>0</v>
      </c>
      <c r="L186">
        <v>0</v>
      </c>
      <c r="M186">
        <v>0</v>
      </c>
      <c r="N186">
        <v>0</v>
      </c>
      <c r="T186">
        <v>185</v>
      </c>
      <c r="U186">
        <v>1.20981431027338</v>
      </c>
      <c r="V186">
        <v>1</v>
      </c>
    </row>
    <row r="187" spans="7:22">
      <c r="G187">
        <v>186</v>
      </c>
      <c r="H187">
        <f ca="1">a+(b-a)*RAND()</f>
        <v>86.217342635362</v>
      </c>
      <c r="I187">
        <v>558.475397800248</v>
      </c>
      <c r="J187">
        <v>86.217342635362</v>
      </c>
      <c r="K187">
        <f ca="1">IF(_xlfn.BINOM.INV(1,pc_,RAND()),Y,0)</f>
        <v>0</v>
      </c>
      <c r="L187">
        <v>0</v>
      </c>
      <c r="M187">
        <v>0</v>
      </c>
      <c r="N187">
        <v>0</v>
      </c>
      <c r="T187">
        <v>186</v>
      </c>
      <c r="U187">
        <v>1.26079521504071</v>
      </c>
      <c r="V187">
        <v>1</v>
      </c>
    </row>
    <row r="188" spans="7:22">
      <c r="G188">
        <v>187</v>
      </c>
      <c r="H188">
        <f ca="1">a+(b-a)*RAND()</f>
        <v>141.552935599292</v>
      </c>
      <c r="I188">
        <v>991.471175031615</v>
      </c>
      <c r="J188">
        <v>141.552935599292</v>
      </c>
      <c r="K188">
        <f ca="1">IF(_xlfn.BINOM.INV(1,pc_,RAND()),Y,0)</f>
        <v>0</v>
      </c>
      <c r="L188">
        <v>0</v>
      </c>
      <c r="M188">
        <v>0</v>
      </c>
      <c r="N188">
        <v>0</v>
      </c>
      <c r="T188">
        <v>187</v>
      </c>
      <c r="U188">
        <v>1.93679035937157</v>
      </c>
      <c r="V188">
        <v>1</v>
      </c>
    </row>
    <row r="189" spans="7:22">
      <c r="G189">
        <v>188</v>
      </c>
      <c r="H189">
        <f ca="1">a+(b-a)*RAND()</f>
        <v>58.9920186541154</v>
      </c>
      <c r="I189">
        <v>648.769205141761</v>
      </c>
      <c r="J189">
        <v>58.9920186541154</v>
      </c>
      <c r="K189">
        <f ca="1">IF(_xlfn.BINOM.INV(1,pc_,RAND()),Y,0)</f>
        <v>0</v>
      </c>
      <c r="L189">
        <v>0</v>
      </c>
      <c r="M189">
        <v>0</v>
      </c>
      <c r="N189">
        <v>0</v>
      </c>
      <c r="T189">
        <v>188</v>
      </c>
      <c r="U189">
        <v>0.704692053115738</v>
      </c>
      <c r="V189">
        <v>0</v>
      </c>
    </row>
    <row r="190" spans="7:22">
      <c r="G190">
        <v>189</v>
      </c>
      <c r="H190">
        <f ca="1">a+(b-a)*RAND()</f>
        <v>148.754565420681</v>
      </c>
      <c r="I190">
        <v>230.102626134124</v>
      </c>
      <c r="J190">
        <v>148.754565420681</v>
      </c>
      <c r="K190">
        <f ca="1">IF(_xlfn.BINOM.INV(1,pc_,RAND()),Y,0)</f>
        <v>0</v>
      </c>
      <c r="L190">
        <v>0</v>
      </c>
      <c r="M190">
        <v>0</v>
      </c>
      <c r="N190">
        <v>0</v>
      </c>
      <c r="T190">
        <v>189</v>
      </c>
      <c r="U190">
        <v>0.281367461741789</v>
      </c>
      <c r="V190">
        <v>0</v>
      </c>
    </row>
    <row r="191" spans="7:22">
      <c r="G191">
        <v>190</v>
      </c>
      <c r="H191">
        <f ca="1">a+(b-a)*RAND()</f>
        <v>119.138528743306</v>
      </c>
      <c r="I191">
        <v>77.1319671127896</v>
      </c>
      <c r="J191">
        <v>142.966234491967</v>
      </c>
      <c r="K191">
        <f ca="1">IF(_xlfn.BINOM.INV(1,pc_,RAND()),Y,0)</f>
        <v>0</v>
      </c>
      <c r="L191">
        <v>0</v>
      </c>
      <c r="M191">
        <v>0</v>
      </c>
      <c r="N191">
        <v>0</v>
      </c>
      <c r="T191">
        <v>190</v>
      </c>
      <c r="U191">
        <v>0.457844248998406</v>
      </c>
      <c r="V191">
        <v>0</v>
      </c>
    </row>
    <row r="192" spans="7:22">
      <c r="G192">
        <v>191</v>
      </c>
      <c r="H192">
        <f ca="1">a+(b-a)*RAND()</f>
        <v>139.440660621928</v>
      </c>
      <c r="I192">
        <v>2691.91915086925</v>
      </c>
      <c r="J192">
        <v>139.440660621928</v>
      </c>
      <c r="K192">
        <f ca="1">IF(_xlfn.BINOM.INV(1,pc_,RAND()),Y,0)</f>
        <v>0</v>
      </c>
      <c r="L192">
        <v>0</v>
      </c>
      <c r="M192">
        <v>0</v>
      </c>
      <c r="N192">
        <v>0</v>
      </c>
      <c r="T192">
        <v>191</v>
      </c>
      <c r="U192">
        <v>0.103851903894962</v>
      </c>
      <c r="V192">
        <v>0</v>
      </c>
    </row>
    <row r="193" spans="7:22">
      <c r="G193">
        <v>192</v>
      </c>
      <c r="H193">
        <f ca="1">a+(b-a)*RAND()</f>
        <v>179.852392678562</v>
      </c>
      <c r="I193">
        <v>5077.80008971168</v>
      </c>
      <c r="J193">
        <v>215.822871214274</v>
      </c>
      <c r="K193">
        <f ca="1">IF(_xlfn.BINOM.INV(1,pc_,RAND()),Y,0)</f>
        <v>0</v>
      </c>
      <c r="L193">
        <v>0</v>
      </c>
      <c r="M193">
        <v>0</v>
      </c>
      <c r="N193">
        <v>0</v>
      </c>
      <c r="T193">
        <v>192</v>
      </c>
      <c r="U193">
        <v>0.283310608101206</v>
      </c>
      <c r="V193">
        <v>0</v>
      </c>
    </row>
    <row r="194" spans="7:22">
      <c r="G194">
        <v>193</v>
      </c>
      <c r="H194">
        <f ca="1">a+(b-a)*RAND()</f>
        <v>121.009295096811</v>
      </c>
      <c r="I194">
        <v>103.141691917649</v>
      </c>
      <c r="J194">
        <v>145.211154116173</v>
      </c>
      <c r="K194">
        <f ca="1">IF(_xlfn.BINOM.INV(1,pc_,RAND()),Y,0)</f>
        <v>0</v>
      </c>
      <c r="L194">
        <v>0</v>
      </c>
      <c r="M194">
        <v>0</v>
      </c>
      <c r="N194">
        <v>0</v>
      </c>
      <c r="T194">
        <v>193</v>
      </c>
      <c r="U194">
        <v>0.953372464364628</v>
      </c>
      <c r="V194">
        <v>0</v>
      </c>
    </row>
    <row r="195" spans="7:22">
      <c r="G195">
        <v>194</v>
      </c>
      <c r="H195">
        <f ca="1">a+(b-a)*RAND()</f>
        <v>138.053146449707</v>
      </c>
      <c r="I195">
        <v>134.556020070895</v>
      </c>
      <c r="J195">
        <v>138.053146449707</v>
      </c>
      <c r="K195">
        <f ca="1">IF(_xlfn.BINOM.INV(1,pc_,RAND()),Y,0)</f>
        <v>0</v>
      </c>
      <c r="L195">
        <v>0</v>
      </c>
      <c r="M195">
        <v>0</v>
      </c>
      <c r="N195">
        <v>0</v>
      </c>
      <c r="T195">
        <v>194</v>
      </c>
      <c r="U195">
        <v>0.173489287721381</v>
      </c>
      <c r="V195">
        <v>0</v>
      </c>
    </row>
    <row r="196" spans="7:22">
      <c r="G196">
        <v>195</v>
      </c>
      <c r="H196">
        <f ca="1">a+(b-a)*RAND()</f>
        <v>62.6652885766397</v>
      </c>
      <c r="I196">
        <v>432.71603545091</v>
      </c>
      <c r="J196">
        <v>62.6652885766397</v>
      </c>
      <c r="K196">
        <f ca="1">IF(_xlfn.BINOM.INV(1,pc_,RAND()),Y,0)</f>
        <v>432.71603545091</v>
      </c>
      <c r="L196">
        <v>0</v>
      </c>
      <c r="M196">
        <v>0</v>
      </c>
      <c r="N196">
        <v>0</v>
      </c>
      <c r="T196">
        <v>195</v>
      </c>
      <c r="U196">
        <v>0.0320020050864557</v>
      </c>
      <c r="V196">
        <v>0</v>
      </c>
    </row>
    <row r="197" spans="7:22">
      <c r="G197">
        <v>196</v>
      </c>
      <c r="H197">
        <f ca="1">a+(b-a)*RAND()</f>
        <v>99.5475784144261</v>
      </c>
      <c r="I197">
        <v>112.323296648976</v>
      </c>
      <c r="J197">
        <v>119.457094097311</v>
      </c>
      <c r="K197">
        <f ca="1">IF(_xlfn.BINOM.INV(1,pc_,RAND()),Y,0)</f>
        <v>0</v>
      </c>
      <c r="L197">
        <v>0</v>
      </c>
      <c r="M197">
        <v>0</v>
      </c>
      <c r="N197">
        <v>0</v>
      </c>
      <c r="T197">
        <v>196</v>
      </c>
      <c r="U197">
        <v>1.42043036232221</v>
      </c>
      <c r="V197">
        <v>1</v>
      </c>
    </row>
    <row r="198" spans="7:22">
      <c r="G198">
        <v>197</v>
      </c>
      <c r="H198">
        <f ca="1">a+(b-a)*RAND()</f>
        <v>137.726196691798</v>
      </c>
      <c r="I198">
        <v>1733.78357227325</v>
      </c>
      <c r="J198">
        <v>137.726196691798</v>
      </c>
      <c r="K198">
        <f ca="1">IF(_xlfn.BINOM.INV(1,pc_,RAND()),Y,0)</f>
        <v>0</v>
      </c>
      <c r="L198">
        <v>0</v>
      </c>
      <c r="M198">
        <v>0</v>
      </c>
      <c r="N198">
        <v>0</v>
      </c>
      <c r="T198">
        <v>197</v>
      </c>
      <c r="U198">
        <v>1.15094562673708</v>
      </c>
      <c r="V198">
        <v>1</v>
      </c>
    </row>
    <row r="199" spans="7:22">
      <c r="G199">
        <v>198</v>
      </c>
      <c r="H199">
        <f ca="1">a+(b-a)*RAND()</f>
        <v>180.034553474082</v>
      </c>
      <c r="I199">
        <v>88.3723562592016</v>
      </c>
      <c r="J199">
        <v>180.034553474082</v>
      </c>
      <c r="K199">
        <f ca="1">IF(_xlfn.BINOM.INV(1,pc_,RAND()),Y,0)</f>
        <v>0</v>
      </c>
      <c r="L199">
        <v>0</v>
      </c>
      <c r="M199">
        <v>0</v>
      </c>
      <c r="N199">
        <v>0</v>
      </c>
      <c r="T199">
        <v>198</v>
      </c>
      <c r="U199">
        <v>0.191567632990954</v>
      </c>
      <c r="V199">
        <v>0</v>
      </c>
    </row>
    <row r="200" spans="7:22">
      <c r="G200">
        <v>199</v>
      </c>
      <c r="H200">
        <f ca="1">a+(b-a)*RAND()</f>
        <v>61.4518000751501</v>
      </c>
      <c r="I200">
        <v>325.680322964152</v>
      </c>
      <c r="J200">
        <v>73.7421600901801</v>
      </c>
      <c r="K200">
        <f ca="1">IF(_xlfn.BINOM.INV(1,pc_,RAND()),Y,0)</f>
        <v>0</v>
      </c>
      <c r="L200">
        <v>0</v>
      </c>
      <c r="M200">
        <v>0</v>
      </c>
      <c r="N200">
        <v>0</v>
      </c>
      <c r="T200">
        <v>199</v>
      </c>
      <c r="U200">
        <v>0.877121458310056</v>
      </c>
      <c r="V200">
        <v>0</v>
      </c>
    </row>
    <row r="201" spans="7:22">
      <c r="G201">
        <v>200</v>
      </c>
      <c r="H201">
        <f ca="1">a+(b-a)*RAND()</f>
        <v>129.130122441386</v>
      </c>
      <c r="I201">
        <v>1258.50963962124</v>
      </c>
      <c r="J201">
        <v>129.130122441386</v>
      </c>
      <c r="K201">
        <f ca="1">IF(_xlfn.BINOM.INV(1,pc_,RAND()),Y,0)</f>
        <v>0</v>
      </c>
      <c r="L201">
        <v>0</v>
      </c>
      <c r="M201">
        <v>0</v>
      </c>
      <c r="N201">
        <v>0</v>
      </c>
      <c r="T201">
        <v>200</v>
      </c>
      <c r="U201">
        <v>0.253721455394276</v>
      </c>
      <c r="V201">
        <v>0</v>
      </c>
    </row>
    <row r="202" spans="20:22">
      <c r="T202">
        <v>201</v>
      </c>
      <c r="U202">
        <v>0.227947371514061</v>
      </c>
      <c r="V202">
        <v>0</v>
      </c>
    </row>
    <row r="203" spans="20:22">
      <c r="T203">
        <v>202</v>
      </c>
      <c r="U203">
        <v>0.191216393271351</v>
      </c>
      <c r="V203">
        <v>0</v>
      </c>
    </row>
    <row r="204" spans="20:22">
      <c r="T204">
        <v>203</v>
      </c>
      <c r="U204">
        <v>0.69798739459753</v>
      </c>
      <c r="V204">
        <v>0</v>
      </c>
    </row>
    <row r="205" spans="20:22">
      <c r="T205">
        <v>204</v>
      </c>
      <c r="U205">
        <v>0.505543642649589</v>
      </c>
      <c r="V205">
        <v>0</v>
      </c>
    </row>
    <row r="206" spans="20:22">
      <c r="T206">
        <v>205</v>
      </c>
      <c r="U206">
        <v>0.574651483580965</v>
      </c>
      <c r="V206">
        <v>0</v>
      </c>
    </row>
    <row r="207" spans="20:22">
      <c r="T207">
        <v>206</v>
      </c>
      <c r="U207">
        <v>3.08530594906811</v>
      </c>
      <c r="V207">
        <v>1</v>
      </c>
    </row>
    <row r="208" spans="20:22">
      <c r="T208">
        <v>207</v>
      </c>
      <c r="U208">
        <v>0.129570884965287</v>
      </c>
      <c r="V208">
        <v>0</v>
      </c>
    </row>
    <row r="209" spans="20:22">
      <c r="T209">
        <v>208</v>
      </c>
      <c r="U209">
        <v>0.179408461873808</v>
      </c>
      <c r="V209">
        <v>0</v>
      </c>
    </row>
    <row r="210" spans="20:22">
      <c r="T210">
        <v>209</v>
      </c>
      <c r="U210">
        <v>1.09282352374919</v>
      </c>
      <c r="V210">
        <v>1</v>
      </c>
    </row>
    <row r="211" spans="20:22">
      <c r="T211">
        <v>210</v>
      </c>
      <c r="U211">
        <v>1.71732135161376</v>
      </c>
      <c r="V211">
        <v>1</v>
      </c>
    </row>
    <row r="212" spans="20:22">
      <c r="T212">
        <v>211</v>
      </c>
      <c r="U212">
        <v>0.323659131769447</v>
      </c>
      <c r="V212">
        <v>0</v>
      </c>
    </row>
    <row r="213" spans="20:22">
      <c r="T213">
        <v>212</v>
      </c>
      <c r="U213">
        <v>1.08418556864551</v>
      </c>
      <c r="V213">
        <v>1</v>
      </c>
    </row>
    <row r="214" spans="20:22">
      <c r="T214">
        <v>213</v>
      </c>
      <c r="U214">
        <v>2.03097730878383</v>
      </c>
      <c r="V214">
        <v>1</v>
      </c>
    </row>
    <row r="215" spans="20:22">
      <c r="T215">
        <v>214</v>
      </c>
      <c r="U215">
        <v>0.577526084889135</v>
      </c>
      <c r="V215">
        <v>0</v>
      </c>
    </row>
    <row r="216" spans="20:22">
      <c r="T216">
        <v>215</v>
      </c>
      <c r="U216">
        <v>0.39433411732017</v>
      </c>
      <c r="V216">
        <v>0</v>
      </c>
    </row>
    <row r="217" spans="20:22">
      <c r="T217">
        <v>216</v>
      </c>
      <c r="U217">
        <v>3.48843106041018</v>
      </c>
      <c r="V217">
        <v>1</v>
      </c>
    </row>
    <row r="218" spans="20:22">
      <c r="T218">
        <v>217</v>
      </c>
      <c r="U218">
        <v>0.169633895401238</v>
      </c>
      <c r="V218">
        <v>0</v>
      </c>
    </row>
    <row r="219" spans="20:22">
      <c r="T219">
        <v>218</v>
      </c>
      <c r="U219">
        <v>0.414577177383381</v>
      </c>
      <c r="V219">
        <v>0</v>
      </c>
    </row>
    <row r="220" spans="20:22">
      <c r="T220">
        <v>219</v>
      </c>
      <c r="U220">
        <v>0.0934846303709606</v>
      </c>
      <c r="V220">
        <v>0</v>
      </c>
    </row>
    <row r="221" spans="20:22">
      <c r="T221">
        <v>220</v>
      </c>
      <c r="U221">
        <v>0.1683908945642</v>
      </c>
      <c r="V221">
        <v>0</v>
      </c>
    </row>
    <row r="222" spans="20:22">
      <c r="T222">
        <v>221</v>
      </c>
      <c r="U222">
        <v>1.38292442548466</v>
      </c>
      <c r="V222">
        <v>1</v>
      </c>
    </row>
    <row r="223" spans="20:22">
      <c r="T223">
        <v>222</v>
      </c>
      <c r="U223">
        <v>0.798337373402357</v>
      </c>
      <c r="V223">
        <v>0</v>
      </c>
    </row>
    <row r="224" spans="20:22">
      <c r="T224">
        <v>223</v>
      </c>
      <c r="U224">
        <v>0.0382469772762978</v>
      </c>
      <c r="V224">
        <v>0</v>
      </c>
    </row>
    <row r="225" spans="20:22">
      <c r="T225">
        <v>224</v>
      </c>
      <c r="U225">
        <v>0.126967970158029</v>
      </c>
      <c r="V225">
        <v>0</v>
      </c>
    </row>
    <row r="226" spans="20:22">
      <c r="T226">
        <v>225</v>
      </c>
      <c r="U226">
        <v>5.18430895997596</v>
      </c>
      <c r="V226">
        <v>1</v>
      </c>
    </row>
    <row r="227" spans="20:22">
      <c r="T227">
        <v>226</v>
      </c>
      <c r="U227">
        <v>1.99521316567033</v>
      </c>
      <c r="V227">
        <v>1</v>
      </c>
    </row>
    <row r="228" spans="20:22">
      <c r="T228">
        <v>227</v>
      </c>
      <c r="U228">
        <v>1.9061510330705</v>
      </c>
      <c r="V228">
        <v>1</v>
      </c>
    </row>
    <row r="229" spans="20:22">
      <c r="T229">
        <v>228</v>
      </c>
      <c r="U229">
        <v>0.842850912000233</v>
      </c>
      <c r="V229">
        <v>0</v>
      </c>
    </row>
    <row r="230" spans="20:22">
      <c r="T230">
        <v>229</v>
      </c>
      <c r="U230">
        <v>0.357010699334902</v>
      </c>
      <c r="V230">
        <v>0</v>
      </c>
    </row>
    <row r="231" spans="20:22">
      <c r="T231">
        <v>230</v>
      </c>
      <c r="U231">
        <v>0.301081110573003</v>
      </c>
      <c r="V231">
        <v>0</v>
      </c>
    </row>
    <row r="232" spans="20:22">
      <c r="T232">
        <v>231</v>
      </c>
      <c r="U232">
        <v>0.647575778897874</v>
      </c>
      <c r="V232">
        <v>0</v>
      </c>
    </row>
    <row r="233" spans="20:22">
      <c r="T233">
        <v>232</v>
      </c>
      <c r="U233">
        <v>0.187214467765029</v>
      </c>
      <c r="V233">
        <v>0</v>
      </c>
    </row>
    <row r="234" spans="20:22">
      <c r="T234">
        <v>233</v>
      </c>
      <c r="U234">
        <v>0.410649255153634</v>
      </c>
      <c r="V234">
        <v>0</v>
      </c>
    </row>
    <row r="235" spans="20:22">
      <c r="T235">
        <v>234</v>
      </c>
      <c r="U235">
        <v>0.218072583727632</v>
      </c>
      <c r="V235">
        <v>0</v>
      </c>
    </row>
    <row r="236" spans="20:22">
      <c r="T236">
        <v>235</v>
      </c>
      <c r="U236">
        <v>0.507313651600519</v>
      </c>
      <c r="V236">
        <v>0</v>
      </c>
    </row>
    <row r="237" spans="20:22">
      <c r="T237">
        <v>236</v>
      </c>
      <c r="U237">
        <v>0.672286793697727</v>
      </c>
      <c r="V237">
        <v>0</v>
      </c>
    </row>
    <row r="238" spans="20:22">
      <c r="T238">
        <v>237</v>
      </c>
      <c r="U238">
        <v>0.91316510154894</v>
      </c>
      <c r="V238">
        <v>0</v>
      </c>
    </row>
    <row r="239" spans="20:22">
      <c r="T239">
        <v>238</v>
      </c>
      <c r="U239">
        <v>1.64821606548487</v>
      </c>
      <c r="V239">
        <v>1</v>
      </c>
    </row>
    <row r="240" spans="20:22">
      <c r="T240">
        <v>239</v>
      </c>
      <c r="U240">
        <v>1.63886952281739</v>
      </c>
      <c r="V240">
        <v>1</v>
      </c>
    </row>
    <row r="241" spans="20:22">
      <c r="T241">
        <v>240</v>
      </c>
      <c r="U241">
        <v>2.38147040137323</v>
      </c>
      <c r="V241">
        <v>1</v>
      </c>
    </row>
    <row r="242" spans="20:22">
      <c r="T242">
        <v>241</v>
      </c>
      <c r="U242">
        <v>0.144774891824836</v>
      </c>
      <c r="V242">
        <v>0</v>
      </c>
    </row>
    <row r="243" spans="20:22">
      <c r="T243">
        <v>242</v>
      </c>
      <c r="U243">
        <v>0.646033636220451</v>
      </c>
      <c r="V243">
        <v>0</v>
      </c>
    </row>
    <row r="244" spans="20:22">
      <c r="T244">
        <v>243</v>
      </c>
      <c r="U244">
        <v>0.93123738544427</v>
      </c>
      <c r="V244">
        <v>0</v>
      </c>
    </row>
    <row r="245" spans="20:22">
      <c r="T245">
        <v>244</v>
      </c>
      <c r="U245">
        <v>0.329678151995654</v>
      </c>
      <c r="V245">
        <v>0</v>
      </c>
    </row>
    <row r="246" spans="20:22">
      <c r="T246">
        <v>245</v>
      </c>
      <c r="U246">
        <v>0.251372021668632</v>
      </c>
      <c r="V246">
        <v>0</v>
      </c>
    </row>
    <row r="247" spans="20:22">
      <c r="T247">
        <v>246</v>
      </c>
      <c r="U247">
        <v>0.802929669791498</v>
      </c>
      <c r="V247">
        <v>0</v>
      </c>
    </row>
    <row r="248" spans="20:22">
      <c r="T248">
        <v>247</v>
      </c>
      <c r="U248">
        <v>1.0145435432032</v>
      </c>
      <c r="V248">
        <v>1</v>
      </c>
    </row>
    <row r="249" spans="20:22">
      <c r="T249">
        <v>248</v>
      </c>
      <c r="U249">
        <v>1.90081149124266</v>
      </c>
      <c r="V249">
        <v>1</v>
      </c>
    </row>
    <row r="250" spans="20:22">
      <c r="T250">
        <v>249</v>
      </c>
      <c r="U250">
        <v>0.832762130672004</v>
      </c>
      <c r="V250">
        <v>0</v>
      </c>
    </row>
    <row r="251" spans="20:22">
      <c r="T251">
        <v>250</v>
      </c>
      <c r="U251">
        <v>0.100999720801476</v>
      </c>
      <c r="V251">
        <v>0</v>
      </c>
    </row>
    <row r="252" spans="20:22">
      <c r="T252">
        <v>251</v>
      </c>
      <c r="U252">
        <v>1.00919184020628</v>
      </c>
      <c r="V252">
        <v>1</v>
      </c>
    </row>
    <row r="253" spans="20:22">
      <c r="T253">
        <v>252</v>
      </c>
      <c r="U253">
        <v>2.13416859448293</v>
      </c>
      <c r="V253">
        <v>1</v>
      </c>
    </row>
    <row r="254" spans="20:22">
      <c r="T254">
        <v>253</v>
      </c>
      <c r="U254">
        <v>0.989095298413827</v>
      </c>
      <c r="V254">
        <v>0</v>
      </c>
    </row>
    <row r="255" spans="20:22">
      <c r="T255">
        <v>254</v>
      </c>
      <c r="U255">
        <v>0.560932599929627</v>
      </c>
      <c r="V255">
        <v>0</v>
      </c>
    </row>
    <row r="256" spans="20:22">
      <c r="T256">
        <v>255</v>
      </c>
      <c r="U256">
        <v>2.89999105224231</v>
      </c>
      <c r="V256">
        <v>1</v>
      </c>
    </row>
    <row r="257" spans="20:22">
      <c r="T257">
        <v>256</v>
      </c>
      <c r="U257">
        <v>1.03889386124681</v>
      </c>
      <c r="V257">
        <v>1</v>
      </c>
    </row>
    <row r="258" spans="20:22">
      <c r="T258">
        <v>257</v>
      </c>
      <c r="U258">
        <v>0.668940297084462</v>
      </c>
      <c r="V258">
        <v>0</v>
      </c>
    </row>
    <row r="259" spans="20:22">
      <c r="T259">
        <v>258</v>
      </c>
      <c r="U259">
        <v>1.5770319349839</v>
      </c>
      <c r="V259">
        <v>1</v>
      </c>
    </row>
    <row r="260" spans="20:22">
      <c r="T260">
        <v>259</v>
      </c>
      <c r="U260">
        <v>0.81871891319447</v>
      </c>
      <c r="V260">
        <v>0</v>
      </c>
    </row>
    <row r="261" spans="20:22">
      <c r="T261">
        <v>260</v>
      </c>
      <c r="U261">
        <v>2.68789941562071</v>
      </c>
      <c r="V261">
        <v>1</v>
      </c>
    </row>
    <row r="262" spans="20:22">
      <c r="T262">
        <v>261</v>
      </c>
      <c r="U262">
        <v>0.569204532277556</v>
      </c>
      <c r="V262">
        <v>0</v>
      </c>
    </row>
    <row r="263" spans="20:22">
      <c r="T263">
        <v>262</v>
      </c>
      <c r="U263">
        <v>0.607889481769439</v>
      </c>
      <c r="V263">
        <v>0</v>
      </c>
    </row>
    <row r="264" spans="20:22">
      <c r="T264">
        <v>263</v>
      </c>
      <c r="U264">
        <v>0.476791608020112</v>
      </c>
      <c r="V264">
        <v>0</v>
      </c>
    </row>
    <row r="265" spans="20:22">
      <c r="T265">
        <v>264</v>
      </c>
      <c r="U265">
        <v>0.164955011198827</v>
      </c>
      <c r="V265">
        <v>0</v>
      </c>
    </row>
    <row r="266" spans="20:22">
      <c r="T266">
        <v>265</v>
      </c>
      <c r="U266">
        <v>0.748173237356068</v>
      </c>
      <c r="V266">
        <v>0</v>
      </c>
    </row>
    <row r="267" spans="20:22">
      <c r="T267">
        <v>266</v>
      </c>
      <c r="U267">
        <v>0.87442548872966</v>
      </c>
      <c r="V267">
        <v>0</v>
      </c>
    </row>
    <row r="268" spans="20:22">
      <c r="T268">
        <v>267</v>
      </c>
      <c r="U268">
        <v>1.8260364070986</v>
      </c>
      <c r="V268">
        <v>1</v>
      </c>
    </row>
    <row r="269" spans="20:22">
      <c r="T269">
        <v>268</v>
      </c>
      <c r="U269">
        <v>0.0118991353584671</v>
      </c>
      <c r="V269">
        <v>0</v>
      </c>
    </row>
    <row r="270" spans="20:22">
      <c r="T270">
        <v>269</v>
      </c>
      <c r="U270">
        <v>0.141189943830582</v>
      </c>
      <c r="V270">
        <v>0</v>
      </c>
    </row>
    <row r="271" spans="20:22">
      <c r="T271">
        <v>270</v>
      </c>
      <c r="U271">
        <v>1.1534091739243</v>
      </c>
      <c r="V271">
        <v>1</v>
      </c>
    </row>
    <row r="272" spans="20:22">
      <c r="T272">
        <v>271</v>
      </c>
      <c r="U272">
        <v>1.1987658051238</v>
      </c>
      <c r="V272">
        <v>1</v>
      </c>
    </row>
    <row r="273" spans="20:22">
      <c r="T273">
        <v>272</v>
      </c>
      <c r="U273">
        <v>1.612225319466</v>
      </c>
      <c r="V273">
        <v>1</v>
      </c>
    </row>
    <row r="274" spans="20:22">
      <c r="T274">
        <v>273</v>
      </c>
      <c r="U274">
        <v>0.152265469614344</v>
      </c>
      <c r="V274">
        <v>0</v>
      </c>
    </row>
    <row r="275" spans="20:22">
      <c r="T275">
        <v>274</v>
      </c>
      <c r="U275">
        <v>0.148738450961875</v>
      </c>
      <c r="V275">
        <v>0</v>
      </c>
    </row>
    <row r="276" spans="20:22">
      <c r="T276">
        <v>275</v>
      </c>
      <c r="U276">
        <v>0.00553283975913142</v>
      </c>
      <c r="V276">
        <v>0</v>
      </c>
    </row>
    <row r="277" spans="20:22">
      <c r="T277">
        <v>276</v>
      </c>
      <c r="U277">
        <v>0.286762100062853</v>
      </c>
      <c r="V277">
        <v>0</v>
      </c>
    </row>
    <row r="278" spans="20:22">
      <c r="T278">
        <v>277</v>
      </c>
      <c r="U278">
        <v>0.0432228654892593</v>
      </c>
      <c r="V278">
        <v>0</v>
      </c>
    </row>
    <row r="279" spans="20:22">
      <c r="T279">
        <v>278</v>
      </c>
      <c r="U279">
        <v>1.80509181778025</v>
      </c>
      <c r="V279">
        <v>1</v>
      </c>
    </row>
    <row r="280" spans="20:22">
      <c r="T280">
        <v>279</v>
      </c>
      <c r="U280">
        <v>5.44459100540332</v>
      </c>
      <c r="V280">
        <v>1</v>
      </c>
    </row>
    <row r="281" spans="20:22">
      <c r="T281">
        <v>280</v>
      </c>
      <c r="U281">
        <v>2.05071321290834</v>
      </c>
      <c r="V281">
        <v>1</v>
      </c>
    </row>
    <row r="282" spans="20:22">
      <c r="T282">
        <v>281</v>
      </c>
      <c r="U282">
        <v>2.85790546120443</v>
      </c>
      <c r="V282">
        <v>1</v>
      </c>
    </row>
    <row r="283" spans="20:22">
      <c r="T283">
        <v>282</v>
      </c>
      <c r="U283">
        <v>1.60897733527172</v>
      </c>
      <c r="V283">
        <v>1</v>
      </c>
    </row>
    <row r="284" spans="20:22">
      <c r="T284">
        <v>283</v>
      </c>
      <c r="U284">
        <v>1.13457959481314</v>
      </c>
      <c r="V284">
        <v>1</v>
      </c>
    </row>
    <row r="285" spans="20:22">
      <c r="T285">
        <v>284</v>
      </c>
      <c r="U285">
        <v>0.477312220119609</v>
      </c>
      <c r="V285">
        <v>0</v>
      </c>
    </row>
    <row r="286" spans="20:22">
      <c r="T286">
        <v>285</v>
      </c>
      <c r="U286">
        <v>0.206907360997459</v>
      </c>
      <c r="V286">
        <v>0</v>
      </c>
    </row>
    <row r="287" spans="20:22">
      <c r="T287">
        <v>286</v>
      </c>
      <c r="U287">
        <v>1.58923455354983</v>
      </c>
      <c r="V287">
        <v>1</v>
      </c>
    </row>
    <row r="288" spans="20:22">
      <c r="T288">
        <v>287</v>
      </c>
      <c r="U288">
        <v>0.568866771555141</v>
      </c>
      <c r="V288">
        <v>0</v>
      </c>
    </row>
    <row r="289" spans="20:22">
      <c r="T289">
        <v>288</v>
      </c>
      <c r="U289">
        <v>0.456419267952131</v>
      </c>
      <c r="V289">
        <v>0</v>
      </c>
    </row>
    <row r="290" spans="20:22">
      <c r="T290">
        <v>289</v>
      </c>
      <c r="U290">
        <v>0.146411714119568</v>
      </c>
      <c r="V290">
        <v>0</v>
      </c>
    </row>
    <row r="291" spans="20:22">
      <c r="T291">
        <v>290</v>
      </c>
      <c r="U291">
        <v>1.02491162059327</v>
      </c>
      <c r="V291">
        <v>1</v>
      </c>
    </row>
    <row r="292" spans="20:22">
      <c r="T292">
        <v>291</v>
      </c>
      <c r="U292">
        <v>0.22292440232173</v>
      </c>
      <c r="V292">
        <v>0</v>
      </c>
    </row>
    <row r="293" spans="20:22">
      <c r="T293">
        <v>292</v>
      </c>
      <c r="U293">
        <v>1.96018866563484</v>
      </c>
      <c r="V293">
        <v>1</v>
      </c>
    </row>
    <row r="294" spans="20:22">
      <c r="T294">
        <v>293</v>
      </c>
      <c r="U294">
        <v>0.189375476009879</v>
      </c>
      <c r="V294">
        <v>0</v>
      </c>
    </row>
    <row r="295" spans="20:22">
      <c r="T295">
        <v>294</v>
      </c>
      <c r="U295">
        <v>0.404435798059448</v>
      </c>
      <c r="V295">
        <v>0</v>
      </c>
    </row>
    <row r="296" spans="20:22">
      <c r="T296">
        <v>295</v>
      </c>
      <c r="U296">
        <v>0.086824881457733</v>
      </c>
      <c r="V296">
        <v>0</v>
      </c>
    </row>
    <row r="297" spans="20:22">
      <c r="T297">
        <v>296</v>
      </c>
      <c r="U297">
        <v>0.237485873836334</v>
      </c>
      <c r="V297">
        <v>0</v>
      </c>
    </row>
    <row r="298" spans="20:22">
      <c r="T298">
        <v>297</v>
      </c>
      <c r="U298">
        <v>0.106609766041626</v>
      </c>
      <c r="V298">
        <v>0</v>
      </c>
    </row>
    <row r="299" spans="20:22">
      <c r="T299">
        <v>298</v>
      </c>
      <c r="U299">
        <v>0.635110229183827</v>
      </c>
      <c r="V299">
        <v>0</v>
      </c>
    </row>
    <row r="300" spans="20:22">
      <c r="T300">
        <v>299</v>
      </c>
      <c r="U300">
        <v>3.55629666131903</v>
      </c>
      <c r="V300">
        <v>1</v>
      </c>
    </row>
    <row r="301" spans="20:22">
      <c r="T301">
        <v>300</v>
      </c>
      <c r="U301">
        <v>1.73648031141309</v>
      </c>
      <c r="V301">
        <v>1</v>
      </c>
    </row>
    <row r="302" spans="20:22">
      <c r="T302">
        <v>301</v>
      </c>
      <c r="U302">
        <v>0.493384223635826</v>
      </c>
      <c r="V302">
        <v>0</v>
      </c>
    </row>
    <row r="303" spans="20:22">
      <c r="T303">
        <v>302</v>
      </c>
      <c r="U303">
        <v>0.6903242883352</v>
      </c>
      <c r="V303">
        <v>0</v>
      </c>
    </row>
    <row r="304" spans="20:22">
      <c r="T304">
        <v>303</v>
      </c>
      <c r="U304">
        <v>0.0123625712484488</v>
      </c>
      <c r="V304">
        <v>0</v>
      </c>
    </row>
    <row r="305" spans="20:22">
      <c r="T305">
        <v>304</v>
      </c>
      <c r="U305">
        <v>0.577948576100971</v>
      </c>
      <c r="V305">
        <v>0</v>
      </c>
    </row>
    <row r="306" spans="20:22">
      <c r="T306">
        <v>305</v>
      </c>
      <c r="U306">
        <v>0.542107072670821</v>
      </c>
      <c r="V306">
        <v>0</v>
      </c>
    </row>
    <row r="307" spans="20:22">
      <c r="T307">
        <v>306</v>
      </c>
      <c r="U307">
        <v>0.317509036449536</v>
      </c>
      <c r="V307">
        <v>0</v>
      </c>
    </row>
    <row r="308" spans="20:22">
      <c r="T308">
        <v>307</v>
      </c>
      <c r="U308">
        <v>0.139691628112009</v>
      </c>
      <c r="V308">
        <v>0</v>
      </c>
    </row>
    <row r="309" spans="20:22">
      <c r="T309">
        <v>308</v>
      </c>
      <c r="U309">
        <v>1.39481130207482</v>
      </c>
      <c r="V309">
        <v>1</v>
      </c>
    </row>
    <row r="310" spans="20:22">
      <c r="T310">
        <v>309</v>
      </c>
      <c r="U310">
        <v>0.27507484539966</v>
      </c>
      <c r="V310">
        <v>0</v>
      </c>
    </row>
    <row r="311" spans="20:22">
      <c r="T311">
        <v>310</v>
      </c>
      <c r="U311">
        <v>0.0486964815913401</v>
      </c>
      <c r="V311">
        <v>0</v>
      </c>
    </row>
    <row r="312" spans="20:22">
      <c r="T312">
        <v>311</v>
      </c>
      <c r="U312">
        <v>1.64596516618825</v>
      </c>
      <c r="V312">
        <v>1</v>
      </c>
    </row>
    <row r="313" spans="20:22">
      <c r="T313">
        <v>312</v>
      </c>
      <c r="U313">
        <v>0.179219169773372</v>
      </c>
      <c r="V313">
        <v>0</v>
      </c>
    </row>
    <row r="314" spans="20:22">
      <c r="T314">
        <v>313</v>
      </c>
      <c r="U314">
        <v>1.04494461410507</v>
      </c>
      <c r="V314">
        <v>1</v>
      </c>
    </row>
    <row r="315" spans="20:22">
      <c r="T315">
        <v>314</v>
      </c>
      <c r="U315">
        <v>0.698639355281354</v>
      </c>
      <c r="V315">
        <v>0</v>
      </c>
    </row>
    <row r="316" spans="20:22">
      <c r="T316">
        <v>315</v>
      </c>
      <c r="U316">
        <v>0.183469937868351</v>
      </c>
      <c r="V316">
        <v>0</v>
      </c>
    </row>
    <row r="317" spans="20:22">
      <c r="T317">
        <v>316</v>
      </c>
      <c r="U317">
        <v>0.805610374867138</v>
      </c>
      <c r="V317">
        <v>0</v>
      </c>
    </row>
    <row r="318" spans="20:22">
      <c r="T318">
        <v>317</v>
      </c>
      <c r="U318">
        <v>0.608066277539073</v>
      </c>
      <c r="V318">
        <v>0</v>
      </c>
    </row>
    <row r="319" spans="20:22">
      <c r="T319">
        <v>318</v>
      </c>
      <c r="U319">
        <v>0.686919278800105</v>
      </c>
      <c r="V319">
        <v>0</v>
      </c>
    </row>
    <row r="320" spans="20:22">
      <c r="T320">
        <v>319</v>
      </c>
      <c r="U320">
        <v>1.02179201425166</v>
      </c>
      <c r="V320">
        <v>1</v>
      </c>
    </row>
    <row r="321" spans="20:22">
      <c r="T321">
        <v>320</v>
      </c>
      <c r="U321">
        <v>1.33839885463283</v>
      </c>
      <c r="V321">
        <v>1</v>
      </c>
    </row>
    <row r="322" spans="20:22">
      <c r="T322">
        <v>321</v>
      </c>
      <c r="U322">
        <v>0.0740560262631113</v>
      </c>
      <c r="V322">
        <v>0</v>
      </c>
    </row>
    <row r="323" spans="20:22">
      <c r="T323">
        <v>322</v>
      </c>
      <c r="U323">
        <v>0.408317659237273</v>
      </c>
      <c r="V323">
        <v>0</v>
      </c>
    </row>
    <row r="324" spans="20:22">
      <c r="T324">
        <v>323</v>
      </c>
      <c r="U324">
        <v>0.21884667009907</v>
      </c>
      <c r="V324">
        <v>0</v>
      </c>
    </row>
    <row r="325" spans="20:22">
      <c r="T325">
        <v>324</v>
      </c>
      <c r="U325">
        <v>0.11754336870072</v>
      </c>
      <c r="V325">
        <v>0</v>
      </c>
    </row>
    <row r="326" spans="20:22">
      <c r="T326">
        <v>325</v>
      </c>
      <c r="U326">
        <v>0.501969445114598</v>
      </c>
      <c r="V326">
        <v>0</v>
      </c>
    </row>
    <row r="327" spans="20:22">
      <c r="T327">
        <v>326</v>
      </c>
      <c r="U327">
        <v>0.195587511166542</v>
      </c>
      <c r="V327">
        <v>0</v>
      </c>
    </row>
    <row r="328" spans="20:22">
      <c r="T328">
        <v>327</v>
      </c>
      <c r="U328">
        <v>0.470872453167906</v>
      </c>
      <c r="V328">
        <v>0</v>
      </c>
    </row>
    <row r="329" spans="20:22">
      <c r="T329">
        <v>328</v>
      </c>
      <c r="U329">
        <v>0.537516886492532</v>
      </c>
      <c r="V329">
        <v>0</v>
      </c>
    </row>
    <row r="330" spans="20:22">
      <c r="T330">
        <v>329</v>
      </c>
      <c r="U330">
        <v>0.847877552100681</v>
      </c>
      <c r="V330">
        <v>0</v>
      </c>
    </row>
    <row r="331" spans="20:22">
      <c r="T331">
        <v>330</v>
      </c>
      <c r="U331">
        <v>0.269616183776854</v>
      </c>
      <c r="V331">
        <v>0</v>
      </c>
    </row>
    <row r="332" spans="20:22">
      <c r="T332">
        <v>331</v>
      </c>
      <c r="U332">
        <v>0.857091656269443</v>
      </c>
      <c r="V332">
        <v>0</v>
      </c>
    </row>
    <row r="333" spans="20:22">
      <c r="T333">
        <v>332</v>
      </c>
      <c r="U333">
        <v>0.127431176788074</v>
      </c>
      <c r="V333">
        <v>0</v>
      </c>
    </row>
    <row r="334" spans="20:22">
      <c r="T334">
        <v>333</v>
      </c>
      <c r="U334">
        <v>0.648668213632992</v>
      </c>
      <c r="V334">
        <v>0</v>
      </c>
    </row>
    <row r="335" spans="20:22">
      <c r="T335">
        <v>334</v>
      </c>
      <c r="U335">
        <v>0.186168882036646</v>
      </c>
      <c r="V335">
        <v>0</v>
      </c>
    </row>
    <row r="336" spans="20:22">
      <c r="T336">
        <v>335</v>
      </c>
      <c r="U336">
        <v>0.867229210961639</v>
      </c>
      <c r="V336">
        <v>0</v>
      </c>
    </row>
    <row r="337" spans="20:22">
      <c r="T337">
        <v>336</v>
      </c>
      <c r="U337">
        <v>0.0388848211171375</v>
      </c>
      <c r="V337">
        <v>0</v>
      </c>
    </row>
    <row r="338" spans="20:22">
      <c r="T338">
        <v>337</v>
      </c>
      <c r="U338">
        <v>0.00178504675614036</v>
      </c>
      <c r="V338">
        <v>0</v>
      </c>
    </row>
    <row r="339" spans="20:22">
      <c r="T339">
        <v>338</v>
      </c>
      <c r="U339">
        <v>0.810426736984052</v>
      </c>
      <c r="V339">
        <v>0</v>
      </c>
    </row>
    <row r="340" spans="20:22">
      <c r="T340">
        <v>339</v>
      </c>
      <c r="U340">
        <v>0.219716465631188</v>
      </c>
      <c r="V340">
        <v>0</v>
      </c>
    </row>
    <row r="341" spans="20:22">
      <c r="T341">
        <v>340</v>
      </c>
      <c r="U341">
        <v>0.237661485168883</v>
      </c>
      <c r="V341">
        <v>0</v>
      </c>
    </row>
    <row r="342" spans="20:22">
      <c r="T342">
        <v>341</v>
      </c>
      <c r="U342">
        <v>0.86679832043601</v>
      </c>
      <c r="V342">
        <v>0</v>
      </c>
    </row>
    <row r="343" spans="20:22">
      <c r="T343">
        <v>342</v>
      </c>
      <c r="U343">
        <v>0.267645490048345</v>
      </c>
      <c r="V343">
        <v>0</v>
      </c>
    </row>
    <row r="344" spans="20:22">
      <c r="T344">
        <v>343</v>
      </c>
      <c r="U344">
        <v>1.93235798851733</v>
      </c>
      <c r="V344">
        <v>1</v>
      </c>
    </row>
    <row r="345" spans="20:22">
      <c r="T345">
        <v>344</v>
      </c>
      <c r="U345">
        <v>0.680488833170329</v>
      </c>
      <c r="V345">
        <v>0</v>
      </c>
    </row>
    <row r="346" spans="20:22">
      <c r="T346">
        <v>345</v>
      </c>
      <c r="U346">
        <v>2.29518567858345</v>
      </c>
      <c r="V346">
        <v>1</v>
      </c>
    </row>
    <row r="347" spans="20:22">
      <c r="T347">
        <v>346</v>
      </c>
      <c r="U347">
        <v>0.543700947890229</v>
      </c>
      <c r="V347">
        <v>0</v>
      </c>
    </row>
    <row r="348" spans="20:22">
      <c r="T348">
        <v>347</v>
      </c>
      <c r="U348">
        <v>1.60463902161271</v>
      </c>
      <c r="V348">
        <v>1</v>
      </c>
    </row>
    <row r="349" spans="20:22">
      <c r="T349">
        <v>348</v>
      </c>
      <c r="U349">
        <v>1.16285457093314</v>
      </c>
      <c r="V349">
        <v>1</v>
      </c>
    </row>
    <row r="350" spans="20:22">
      <c r="T350">
        <v>349</v>
      </c>
      <c r="U350">
        <v>0.923691394145003</v>
      </c>
      <c r="V350">
        <v>0</v>
      </c>
    </row>
    <row r="351" spans="20:22">
      <c r="T351">
        <v>350</v>
      </c>
      <c r="U351">
        <v>1.51767692144948</v>
      </c>
      <c r="V351">
        <v>1</v>
      </c>
    </row>
    <row r="352" spans="20:22">
      <c r="T352">
        <v>351</v>
      </c>
      <c r="U352">
        <v>0.304666233734459</v>
      </c>
      <c r="V352">
        <v>0</v>
      </c>
    </row>
    <row r="353" spans="20:22">
      <c r="T353">
        <v>352</v>
      </c>
      <c r="U353">
        <v>1.01741613627089</v>
      </c>
      <c r="V353">
        <v>1</v>
      </c>
    </row>
    <row r="354" spans="20:22">
      <c r="T354">
        <v>353</v>
      </c>
      <c r="U354">
        <v>0.515052845153674</v>
      </c>
      <c r="V354">
        <v>0</v>
      </c>
    </row>
    <row r="355" spans="20:22">
      <c r="T355">
        <v>354</v>
      </c>
      <c r="U355">
        <v>0.196374360767747</v>
      </c>
      <c r="V355">
        <v>0</v>
      </c>
    </row>
    <row r="356" spans="20:22">
      <c r="T356">
        <v>355</v>
      </c>
      <c r="U356">
        <v>0.0847403567615117</v>
      </c>
      <c r="V356">
        <v>0</v>
      </c>
    </row>
    <row r="357" spans="20:22">
      <c r="T357">
        <v>356</v>
      </c>
      <c r="U357">
        <v>1.84878657443729</v>
      </c>
      <c r="V357">
        <v>1</v>
      </c>
    </row>
    <row r="358" spans="20:22">
      <c r="T358">
        <v>357</v>
      </c>
      <c r="U358">
        <v>2.19583635256469</v>
      </c>
      <c r="V358">
        <v>1</v>
      </c>
    </row>
    <row r="359" spans="20:22">
      <c r="T359">
        <v>358</v>
      </c>
      <c r="U359">
        <v>1.31371950886798</v>
      </c>
      <c r="V359">
        <v>1</v>
      </c>
    </row>
    <row r="360" spans="20:22">
      <c r="T360">
        <v>359</v>
      </c>
      <c r="U360">
        <v>0.757438829875369</v>
      </c>
      <c r="V360">
        <v>0</v>
      </c>
    </row>
    <row r="361" spans="20:22">
      <c r="T361">
        <v>360</v>
      </c>
      <c r="U361">
        <v>0.327436152748329</v>
      </c>
      <c r="V361">
        <v>0</v>
      </c>
    </row>
    <row r="362" spans="20:22">
      <c r="T362">
        <v>361</v>
      </c>
      <c r="U362">
        <v>0.62591971723776</v>
      </c>
      <c r="V362">
        <v>0</v>
      </c>
    </row>
    <row r="363" spans="20:22">
      <c r="T363">
        <v>362</v>
      </c>
      <c r="U363">
        <v>1.2762477815333</v>
      </c>
      <c r="V363">
        <v>1</v>
      </c>
    </row>
    <row r="364" spans="20:22">
      <c r="T364">
        <v>363</v>
      </c>
      <c r="U364">
        <v>0.808101499410974</v>
      </c>
      <c r="V364">
        <v>0</v>
      </c>
    </row>
    <row r="365" spans="20:22">
      <c r="T365">
        <v>364</v>
      </c>
      <c r="U365">
        <v>0.474085155820886</v>
      </c>
      <c r="V365">
        <v>0</v>
      </c>
    </row>
    <row r="366" spans="20:22">
      <c r="T366">
        <v>365</v>
      </c>
      <c r="U366">
        <v>0.0564666808231</v>
      </c>
      <c r="V366">
        <v>0</v>
      </c>
    </row>
    <row r="367" spans="20:22">
      <c r="T367">
        <v>366</v>
      </c>
      <c r="U367">
        <v>0.6783326402135</v>
      </c>
      <c r="V367">
        <v>0</v>
      </c>
    </row>
    <row r="368" spans="20:22">
      <c r="T368">
        <v>367</v>
      </c>
      <c r="U368">
        <v>2.29841583148761</v>
      </c>
      <c r="V368">
        <v>1</v>
      </c>
    </row>
    <row r="369" spans="20:22">
      <c r="T369">
        <v>368</v>
      </c>
      <c r="U369">
        <v>0.00469237630913887</v>
      </c>
      <c r="V369">
        <v>0</v>
      </c>
    </row>
    <row r="370" spans="20:22">
      <c r="T370">
        <v>369</v>
      </c>
      <c r="U370">
        <v>1.16386781943437</v>
      </c>
      <c r="V370">
        <v>1</v>
      </c>
    </row>
    <row r="371" spans="20:22">
      <c r="T371">
        <v>370</v>
      </c>
      <c r="U371">
        <v>0.322468677120968</v>
      </c>
      <c r="V371">
        <v>0</v>
      </c>
    </row>
    <row r="372" spans="20:22">
      <c r="T372">
        <v>371</v>
      </c>
      <c r="U372">
        <v>0.0166284221732945</v>
      </c>
      <c r="V372">
        <v>0</v>
      </c>
    </row>
    <row r="373" spans="20:22">
      <c r="T373">
        <v>372</v>
      </c>
      <c r="U373">
        <v>0.420953355961675</v>
      </c>
      <c r="V373">
        <v>0</v>
      </c>
    </row>
    <row r="374" spans="20:22">
      <c r="T374">
        <v>373</v>
      </c>
      <c r="U374">
        <v>0.00342740886871838</v>
      </c>
      <c r="V374">
        <v>0</v>
      </c>
    </row>
    <row r="375" spans="20:22">
      <c r="T375">
        <v>374</v>
      </c>
      <c r="U375">
        <v>1.23027065660096</v>
      </c>
      <c r="V375">
        <v>1</v>
      </c>
    </row>
    <row r="376" spans="20:22">
      <c r="T376">
        <v>375</v>
      </c>
      <c r="U376">
        <v>0.673794635600135</v>
      </c>
      <c r="V376">
        <v>0</v>
      </c>
    </row>
    <row r="377" spans="20:22">
      <c r="T377">
        <v>376</v>
      </c>
      <c r="U377">
        <v>1.15993557509013</v>
      </c>
      <c r="V377">
        <v>1</v>
      </c>
    </row>
    <row r="378" spans="20:22">
      <c r="T378">
        <v>377</v>
      </c>
      <c r="U378">
        <v>0.0421740248628012</v>
      </c>
      <c r="V378">
        <v>0</v>
      </c>
    </row>
    <row r="379" spans="20:22">
      <c r="T379">
        <v>378</v>
      </c>
      <c r="U379">
        <v>0.395439817885948</v>
      </c>
      <c r="V379">
        <v>0</v>
      </c>
    </row>
    <row r="380" spans="20:22">
      <c r="T380">
        <v>379</v>
      </c>
      <c r="U380">
        <v>1.21055140089183</v>
      </c>
      <c r="V380">
        <v>1</v>
      </c>
    </row>
    <row r="381" spans="20:22">
      <c r="T381">
        <v>380</v>
      </c>
      <c r="U381">
        <v>0.249619464214477</v>
      </c>
      <c r="V381">
        <v>0</v>
      </c>
    </row>
    <row r="382" spans="20:22">
      <c r="T382">
        <v>381</v>
      </c>
      <c r="U382">
        <v>0.432131938318715</v>
      </c>
      <c r="V382">
        <v>0</v>
      </c>
    </row>
    <row r="383" spans="20:22">
      <c r="T383">
        <v>382</v>
      </c>
      <c r="U383">
        <v>0.190802830557688</v>
      </c>
      <c r="V383">
        <v>0</v>
      </c>
    </row>
    <row r="384" spans="20:22">
      <c r="T384">
        <v>383</v>
      </c>
      <c r="U384">
        <v>0.231534657218365</v>
      </c>
      <c r="V384">
        <v>0</v>
      </c>
    </row>
    <row r="385" spans="20:22">
      <c r="T385">
        <v>384</v>
      </c>
      <c r="U385">
        <v>0.266373365659828</v>
      </c>
      <c r="V385">
        <v>0</v>
      </c>
    </row>
    <row r="386" spans="20:22">
      <c r="T386">
        <v>385</v>
      </c>
      <c r="U386">
        <v>1.49790380105909</v>
      </c>
      <c r="V386">
        <v>1</v>
      </c>
    </row>
    <row r="387" spans="20:22">
      <c r="T387">
        <v>386</v>
      </c>
      <c r="U387">
        <v>1.05871437673333</v>
      </c>
      <c r="V387">
        <v>1</v>
      </c>
    </row>
    <row r="388" spans="20:22">
      <c r="T388">
        <v>387</v>
      </c>
      <c r="U388">
        <v>0.411857750795421</v>
      </c>
      <c r="V388">
        <v>0</v>
      </c>
    </row>
    <row r="389" spans="20:22">
      <c r="T389">
        <v>388</v>
      </c>
      <c r="U389">
        <v>0.543354052308712</v>
      </c>
      <c r="V389">
        <v>0</v>
      </c>
    </row>
    <row r="390" spans="20:22">
      <c r="T390">
        <v>389</v>
      </c>
      <c r="U390">
        <v>1.06254815089579</v>
      </c>
      <c r="V390">
        <v>1</v>
      </c>
    </row>
    <row r="391" spans="20:22">
      <c r="T391">
        <v>390</v>
      </c>
      <c r="U391">
        <v>0.470576953012014</v>
      </c>
      <c r="V391">
        <v>0</v>
      </c>
    </row>
    <row r="392" spans="20:22">
      <c r="T392">
        <v>391</v>
      </c>
      <c r="U392">
        <v>0.174404304064269</v>
      </c>
      <c r="V392">
        <v>0</v>
      </c>
    </row>
    <row r="393" spans="20:22">
      <c r="T393">
        <v>392</v>
      </c>
      <c r="U393">
        <v>0.886283955178257</v>
      </c>
      <c r="V393">
        <v>0</v>
      </c>
    </row>
    <row r="394" spans="20:22">
      <c r="T394">
        <v>393</v>
      </c>
      <c r="U394">
        <v>0.772268937035375</v>
      </c>
      <c r="V394">
        <v>0</v>
      </c>
    </row>
    <row r="395" spans="20:22">
      <c r="T395">
        <v>394</v>
      </c>
      <c r="U395">
        <v>0.631061442722847</v>
      </c>
      <c r="V395">
        <v>0</v>
      </c>
    </row>
    <row r="396" spans="20:22">
      <c r="T396">
        <v>395</v>
      </c>
      <c r="U396">
        <v>0.360457674658988</v>
      </c>
      <c r="V396">
        <v>0</v>
      </c>
    </row>
    <row r="397" spans="20:22">
      <c r="T397">
        <v>396</v>
      </c>
      <c r="U397">
        <v>1.57835829005609</v>
      </c>
      <c r="V397">
        <v>1</v>
      </c>
    </row>
    <row r="398" spans="20:22">
      <c r="T398">
        <v>397</v>
      </c>
      <c r="U398">
        <v>0.0817978527819596</v>
      </c>
      <c r="V398">
        <v>0</v>
      </c>
    </row>
    <row r="399" spans="20:22">
      <c r="T399">
        <v>398</v>
      </c>
      <c r="U399">
        <v>0.765120173531087</v>
      </c>
      <c r="V399">
        <v>0</v>
      </c>
    </row>
    <row r="400" spans="20:22">
      <c r="T400">
        <v>399</v>
      </c>
      <c r="U400">
        <v>0.427018379991382</v>
      </c>
      <c r="V400">
        <v>0</v>
      </c>
    </row>
    <row r="401" spans="20:22">
      <c r="T401">
        <v>400</v>
      </c>
      <c r="U401">
        <v>0.279977552006976</v>
      </c>
      <c r="V401">
        <v>0</v>
      </c>
    </row>
    <row r="402" spans="20:22">
      <c r="T402">
        <v>401</v>
      </c>
      <c r="U402">
        <v>0.767445660180811</v>
      </c>
      <c r="V402">
        <v>0</v>
      </c>
    </row>
    <row r="403" spans="20:22">
      <c r="T403">
        <v>402</v>
      </c>
      <c r="U403">
        <v>0.360960046692085</v>
      </c>
      <c r="V403">
        <v>0</v>
      </c>
    </row>
    <row r="404" spans="20:22">
      <c r="T404">
        <v>403</v>
      </c>
      <c r="U404">
        <v>0.790868513098541</v>
      </c>
      <c r="V404">
        <v>0</v>
      </c>
    </row>
    <row r="405" spans="20:22">
      <c r="T405">
        <v>404</v>
      </c>
      <c r="U405">
        <v>0.195976670837774</v>
      </c>
      <c r="V405">
        <v>0</v>
      </c>
    </row>
    <row r="406" spans="20:22">
      <c r="T406">
        <v>405</v>
      </c>
      <c r="U406">
        <v>0.500011841927162</v>
      </c>
      <c r="V406">
        <v>0</v>
      </c>
    </row>
    <row r="407" spans="20:22">
      <c r="T407">
        <v>406</v>
      </c>
      <c r="U407">
        <v>0.786850788552151</v>
      </c>
      <c r="V407">
        <v>0</v>
      </c>
    </row>
    <row r="408" spans="20:22">
      <c r="T408">
        <v>407</v>
      </c>
      <c r="U408">
        <v>0.0783099976007477</v>
      </c>
      <c r="V408">
        <v>0</v>
      </c>
    </row>
    <row r="409" spans="20:22">
      <c r="T409">
        <v>408</v>
      </c>
      <c r="U409">
        <v>0.719054592480057</v>
      </c>
      <c r="V409">
        <v>0</v>
      </c>
    </row>
    <row r="410" spans="20:22">
      <c r="T410">
        <v>409</v>
      </c>
      <c r="U410">
        <v>0.81355594334561</v>
      </c>
      <c r="V410">
        <v>0</v>
      </c>
    </row>
    <row r="411" spans="20:22">
      <c r="T411">
        <v>410</v>
      </c>
      <c r="U411">
        <v>1.04821182592627</v>
      </c>
      <c r="V411">
        <v>1</v>
      </c>
    </row>
    <row r="412" spans="20:22">
      <c r="T412">
        <v>411</v>
      </c>
      <c r="U412">
        <v>1.08947950540575</v>
      </c>
      <c r="V412">
        <v>1</v>
      </c>
    </row>
    <row r="413" spans="20:22">
      <c r="T413">
        <v>412</v>
      </c>
      <c r="U413">
        <v>1.27851037864294</v>
      </c>
      <c r="V413">
        <v>1</v>
      </c>
    </row>
    <row r="414" spans="20:22">
      <c r="T414">
        <v>413</v>
      </c>
      <c r="U414">
        <v>0.06128724696196</v>
      </c>
      <c r="V414">
        <v>0</v>
      </c>
    </row>
    <row r="415" spans="20:22">
      <c r="T415">
        <v>414</v>
      </c>
      <c r="U415">
        <v>0.000656444254812084</v>
      </c>
      <c r="V415">
        <v>0</v>
      </c>
    </row>
    <row r="416" spans="20:22">
      <c r="T416">
        <v>415</v>
      </c>
      <c r="U416">
        <v>0.96335274804313</v>
      </c>
      <c r="V416">
        <v>0</v>
      </c>
    </row>
    <row r="417" spans="20:22">
      <c r="T417">
        <v>416</v>
      </c>
      <c r="U417">
        <v>0.484341480200108</v>
      </c>
      <c r="V417">
        <v>0</v>
      </c>
    </row>
    <row r="418" spans="20:22">
      <c r="T418">
        <v>417</v>
      </c>
      <c r="U418">
        <v>2.72385758243682</v>
      </c>
      <c r="V418">
        <v>1</v>
      </c>
    </row>
    <row r="419" spans="20:22">
      <c r="T419">
        <v>418</v>
      </c>
      <c r="U419">
        <v>0.725843813067663</v>
      </c>
      <c r="V419">
        <v>0</v>
      </c>
    </row>
    <row r="420" spans="20:22">
      <c r="T420">
        <v>419</v>
      </c>
      <c r="U420">
        <v>0.0687817948257261</v>
      </c>
      <c r="V420">
        <v>0</v>
      </c>
    </row>
    <row r="421" spans="20:22">
      <c r="T421">
        <v>420</v>
      </c>
      <c r="U421">
        <v>0.35775188683166</v>
      </c>
      <c r="V421">
        <v>0</v>
      </c>
    </row>
    <row r="422" spans="20:22">
      <c r="T422">
        <v>421</v>
      </c>
      <c r="U422">
        <v>0.256822251639621</v>
      </c>
      <c r="V422">
        <v>0</v>
      </c>
    </row>
    <row r="423" spans="20:22">
      <c r="T423">
        <v>422</v>
      </c>
      <c r="U423">
        <v>1.24242313294932</v>
      </c>
      <c r="V423">
        <v>1</v>
      </c>
    </row>
    <row r="424" spans="20:22">
      <c r="T424">
        <v>423</v>
      </c>
      <c r="U424">
        <v>0.179959200665691</v>
      </c>
      <c r="V424">
        <v>0</v>
      </c>
    </row>
    <row r="425" spans="20:22">
      <c r="T425">
        <v>424</v>
      </c>
      <c r="U425">
        <v>0.729633793727222</v>
      </c>
      <c r="V425">
        <v>0</v>
      </c>
    </row>
    <row r="426" spans="20:22">
      <c r="T426">
        <v>425</v>
      </c>
      <c r="U426">
        <v>0.579451318141213</v>
      </c>
      <c r="V426">
        <v>0</v>
      </c>
    </row>
    <row r="427" spans="20:22">
      <c r="T427">
        <v>426</v>
      </c>
      <c r="U427">
        <v>0.086370070558131</v>
      </c>
      <c r="V427">
        <v>0</v>
      </c>
    </row>
    <row r="428" spans="20:22">
      <c r="T428">
        <v>427</v>
      </c>
      <c r="U428">
        <v>0.151234307452529</v>
      </c>
      <c r="V428">
        <v>0</v>
      </c>
    </row>
    <row r="429" spans="20:22">
      <c r="T429">
        <v>428</v>
      </c>
      <c r="U429">
        <v>3.04744465609719</v>
      </c>
      <c r="V429">
        <v>1</v>
      </c>
    </row>
    <row r="430" spans="20:22">
      <c r="T430">
        <v>429</v>
      </c>
      <c r="U430">
        <v>1.26836380898175</v>
      </c>
      <c r="V430">
        <v>1</v>
      </c>
    </row>
    <row r="431" spans="20:22">
      <c r="T431">
        <v>430</v>
      </c>
      <c r="U431">
        <v>0.115935385792146</v>
      </c>
      <c r="V431">
        <v>0</v>
      </c>
    </row>
    <row r="432" spans="20:22">
      <c r="T432">
        <v>431</v>
      </c>
      <c r="U432">
        <v>0.149426595785147</v>
      </c>
      <c r="V432">
        <v>0</v>
      </c>
    </row>
    <row r="433" spans="20:22">
      <c r="T433">
        <v>432</v>
      </c>
      <c r="U433">
        <v>0.0657688354135482</v>
      </c>
      <c r="V433">
        <v>0</v>
      </c>
    </row>
    <row r="434" spans="20:22">
      <c r="T434">
        <v>433</v>
      </c>
      <c r="U434">
        <v>0.18516904459529</v>
      </c>
      <c r="V434">
        <v>0</v>
      </c>
    </row>
    <row r="435" spans="20:22">
      <c r="T435">
        <v>434</v>
      </c>
      <c r="U435">
        <v>0.112363350038111</v>
      </c>
      <c r="V435">
        <v>0</v>
      </c>
    </row>
    <row r="436" spans="20:22">
      <c r="T436">
        <v>435</v>
      </c>
      <c r="U436">
        <v>0.901327744780896</v>
      </c>
      <c r="V436">
        <v>0</v>
      </c>
    </row>
    <row r="437" spans="20:22">
      <c r="T437">
        <v>436</v>
      </c>
      <c r="U437">
        <v>0.641004929453876</v>
      </c>
      <c r="V437">
        <v>0</v>
      </c>
    </row>
    <row r="438" spans="20:22">
      <c r="T438">
        <v>437</v>
      </c>
      <c r="U438">
        <v>0.149868426155802</v>
      </c>
      <c r="V438">
        <v>0</v>
      </c>
    </row>
    <row r="439" spans="20:22">
      <c r="T439">
        <v>438</v>
      </c>
      <c r="U439">
        <v>0.00397546053530871</v>
      </c>
      <c r="V439">
        <v>0</v>
      </c>
    </row>
    <row r="440" spans="20:22">
      <c r="T440">
        <v>439</v>
      </c>
      <c r="U440">
        <v>0.762731266290814</v>
      </c>
      <c r="V440">
        <v>0</v>
      </c>
    </row>
    <row r="441" spans="20:22">
      <c r="T441">
        <v>440</v>
      </c>
      <c r="U441">
        <v>0.397948985739755</v>
      </c>
      <c r="V441">
        <v>0</v>
      </c>
    </row>
    <row r="442" spans="20:22">
      <c r="T442">
        <v>441</v>
      </c>
      <c r="U442">
        <v>0.182476568148397</v>
      </c>
      <c r="V442">
        <v>0</v>
      </c>
    </row>
    <row r="443" spans="20:22">
      <c r="T443">
        <v>442</v>
      </c>
      <c r="U443">
        <v>0.518928240027894</v>
      </c>
      <c r="V443">
        <v>0</v>
      </c>
    </row>
    <row r="444" spans="20:22">
      <c r="T444">
        <v>443</v>
      </c>
      <c r="U444">
        <v>0.48105443436016</v>
      </c>
      <c r="V444">
        <v>0</v>
      </c>
    </row>
    <row r="445" spans="20:22">
      <c r="T445">
        <v>444</v>
      </c>
      <c r="U445">
        <v>0.278150539014117</v>
      </c>
      <c r="V445">
        <v>0</v>
      </c>
    </row>
    <row r="446" spans="20:22">
      <c r="T446">
        <v>445</v>
      </c>
      <c r="U446">
        <v>0.955554683172615</v>
      </c>
      <c r="V446">
        <v>0</v>
      </c>
    </row>
    <row r="447" spans="20:22">
      <c r="T447">
        <v>446</v>
      </c>
      <c r="U447">
        <v>0.152073161249542</v>
      </c>
      <c r="V447">
        <v>0</v>
      </c>
    </row>
    <row r="448" spans="20:22">
      <c r="T448">
        <v>447</v>
      </c>
      <c r="U448">
        <v>1.27825557623129</v>
      </c>
      <c r="V448">
        <v>1</v>
      </c>
    </row>
    <row r="449" spans="20:22">
      <c r="T449">
        <v>448</v>
      </c>
      <c r="U449">
        <v>1.07880001907039</v>
      </c>
      <c r="V449">
        <v>1</v>
      </c>
    </row>
    <row r="450" spans="20:22">
      <c r="T450">
        <v>449</v>
      </c>
      <c r="U450">
        <v>2.17355553066683</v>
      </c>
      <c r="V450">
        <v>1</v>
      </c>
    </row>
    <row r="451" spans="20:22">
      <c r="T451">
        <v>450</v>
      </c>
      <c r="U451">
        <v>0.844309240058014</v>
      </c>
      <c r="V451">
        <v>0</v>
      </c>
    </row>
    <row r="452" spans="20:22">
      <c r="T452">
        <v>451</v>
      </c>
      <c r="U452">
        <v>0.96786711475559</v>
      </c>
      <c r="V452">
        <v>0</v>
      </c>
    </row>
    <row r="453" spans="20:22">
      <c r="T453">
        <v>452</v>
      </c>
      <c r="U453">
        <v>0.546465395923961</v>
      </c>
      <c r="V453">
        <v>0</v>
      </c>
    </row>
    <row r="454" spans="20:22">
      <c r="T454">
        <v>453</v>
      </c>
      <c r="U454">
        <v>1.53801710255402</v>
      </c>
      <c r="V454">
        <v>1</v>
      </c>
    </row>
    <row r="455" spans="20:22">
      <c r="T455">
        <v>454</v>
      </c>
      <c r="U455">
        <v>0.416977806866824</v>
      </c>
      <c r="V455">
        <v>0</v>
      </c>
    </row>
    <row r="456" spans="20:22">
      <c r="T456">
        <v>455</v>
      </c>
      <c r="U456">
        <v>0.569749339699537</v>
      </c>
      <c r="V456">
        <v>0</v>
      </c>
    </row>
    <row r="457" spans="20:22">
      <c r="T457">
        <v>456</v>
      </c>
      <c r="U457">
        <v>0.250957953110015</v>
      </c>
      <c r="V457">
        <v>0</v>
      </c>
    </row>
    <row r="458" spans="20:22">
      <c r="T458">
        <v>457</v>
      </c>
      <c r="U458">
        <v>0.789350492516488</v>
      </c>
      <c r="V458">
        <v>0</v>
      </c>
    </row>
    <row r="459" spans="20:22">
      <c r="T459">
        <v>458</v>
      </c>
      <c r="U459">
        <v>1.77989167301654</v>
      </c>
      <c r="V459">
        <v>1</v>
      </c>
    </row>
    <row r="460" spans="20:22">
      <c r="T460">
        <v>459</v>
      </c>
      <c r="U460">
        <v>1.2892371699258</v>
      </c>
      <c r="V460">
        <v>1</v>
      </c>
    </row>
    <row r="461" spans="20:22">
      <c r="T461">
        <v>460</v>
      </c>
      <c r="U461">
        <v>0.690642177495088</v>
      </c>
      <c r="V461">
        <v>0</v>
      </c>
    </row>
    <row r="462" spans="20:22">
      <c r="T462">
        <v>461</v>
      </c>
      <c r="U462">
        <v>2.41595244454261</v>
      </c>
      <c r="V462">
        <v>1</v>
      </c>
    </row>
    <row r="463" spans="20:22">
      <c r="T463">
        <v>462</v>
      </c>
      <c r="U463">
        <v>0.000684969768138848</v>
      </c>
      <c r="V463">
        <v>0</v>
      </c>
    </row>
    <row r="464" spans="20:22">
      <c r="T464">
        <v>463</v>
      </c>
      <c r="U464">
        <v>1.211374642171</v>
      </c>
      <c r="V464">
        <v>1</v>
      </c>
    </row>
    <row r="465" spans="20:22">
      <c r="T465">
        <v>464</v>
      </c>
      <c r="U465">
        <v>0.141559781646538</v>
      </c>
      <c r="V465">
        <v>0</v>
      </c>
    </row>
    <row r="466" spans="20:22">
      <c r="T466">
        <v>465</v>
      </c>
      <c r="U466">
        <v>0.0594472272463185</v>
      </c>
      <c r="V466">
        <v>0</v>
      </c>
    </row>
    <row r="467" spans="20:22">
      <c r="T467">
        <v>466</v>
      </c>
      <c r="U467">
        <v>2.32222505183405</v>
      </c>
      <c r="V467">
        <v>1</v>
      </c>
    </row>
    <row r="468" spans="20:22">
      <c r="T468">
        <v>467</v>
      </c>
      <c r="U468">
        <v>1.76114404431699</v>
      </c>
      <c r="V468">
        <v>1</v>
      </c>
    </row>
    <row r="469" spans="20:22">
      <c r="T469">
        <v>468</v>
      </c>
      <c r="U469">
        <v>1.36430419557846</v>
      </c>
      <c r="V469">
        <v>1</v>
      </c>
    </row>
    <row r="470" spans="20:22">
      <c r="T470">
        <v>469</v>
      </c>
      <c r="U470">
        <v>0.00537586634838349</v>
      </c>
      <c r="V470">
        <v>0</v>
      </c>
    </row>
    <row r="471" spans="20:22">
      <c r="T471">
        <v>470</v>
      </c>
      <c r="U471">
        <v>2.15237986537987</v>
      </c>
      <c r="V471">
        <v>1</v>
      </c>
    </row>
    <row r="472" spans="20:22">
      <c r="T472">
        <v>471</v>
      </c>
      <c r="U472">
        <v>0.507269386634109</v>
      </c>
      <c r="V472">
        <v>0</v>
      </c>
    </row>
    <row r="473" spans="20:22">
      <c r="T473">
        <v>472</v>
      </c>
      <c r="U473">
        <v>0.557984389445906</v>
      </c>
      <c r="V473">
        <v>0</v>
      </c>
    </row>
    <row r="474" spans="20:22">
      <c r="T474">
        <v>473</v>
      </c>
      <c r="U474">
        <v>0.887490733738633</v>
      </c>
      <c r="V474">
        <v>0</v>
      </c>
    </row>
    <row r="475" spans="20:22">
      <c r="T475">
        <v>474</v>
      </c>
      <c r="U475">
        <v>0.994270848411475</v>
      </c>
      <c r="V475">
        <v>0</v>
      </c>
    </row>
    <row r="476" spans="20:22">
      <c r="T476">
        <v>475</v>
      </c>
      <c r="U476">
        <v>0.208531117686662</v>
      </c>
      <c r="V476">
        <v>0</v>
      </c>
    </row>
    <row r="477" spans="20:22">
      <c r="T477">
        <v>476</v>
      </c>
      <c r="U477">
        <v>0.527724250953225</v>
      </c>
      <c r="V477">
        <v>0</v>
      </c>
    </row>
    <row r="478" spans="20:22">
      <c r="T478">
        <v>477</v>
      </c>
      <c r="U478">
        <v>0.699003678453208</v>
      </c>
      <c r="V478">
        <v>0</v>
      </c>
    </row>
    <row r="479" spans="20:22">
      <c r="T479">
        <v>478</v>
      </c>
      <c r="U479">
        <v>1.04054426410504</v>
      </c>
      <c r="V479">
        <v>1</v>
      </c>
    </row>
    <row r="480" spans="20:22">
      <c r="T480">
        <v>479</v>
      </c>
      <c r="U480">
        <v>4.58916140063547</v>
      </c>
      <c r="V480">
        <v>1</v>
      </c>
    </row>
    <row r="481" spans="20:22">
      <c r="T481">
        <v>480</v>
      </c>
      <c r="U481">
        <v>0.44928635869122</v>
      </c>
      <c r="V481">
        <v>0</v>
      </c>
    </row>
    <row r="482" spans="20:22">
      <c r="T482">
        <v>481</v>
      </c>
      <c r="U482">
        <v>0.146978593677634</v>
      </c>
      <c r="V482">
        <v>0</v>
      </c>
    </row>
    <row r="483" spans="20:22">
      <c r="T483">
        <v>482</v>
      </c>
      <c r="U483">
        <v>6.02179522249803</v>
      </c>
      <c r="V483">
        <v>1</v>
      </c>
    </row>
    <row r="484" spans="20:22">
      <c r="T484">
        <v>483</v>
      </c>
      <c r="U484">
        <v>0.843618543472432</v>
      </c>
      <c r="V484">
        <v>0</v>
      </c>
    </row>
    <row r="485" spans="20:22">
      <c r="T485">
        <v>484</v>
      </c>
      <c r="U485">
        <v>0.765010410245832</v>
      </c>
      <c r="V485">
        <v>0</v>
      </c>
    </row>
    <row r="486" spans="20:22">
      <c r="T486">
        <v>485</v>
      </c>
      <c r="U486">
        <v>0.277690406154975</v>
      </c>
      <c r="V486">
        <v>0</v>
      </c>
    </row>
    <row r="487" spans="20:22">
      <c r="T487">
        <v>486</v>
      </c>
      <c r="U487">
        <v>0.103546972088817</v>
      </c>
      <c r="V487">
        <v>0</v>
      </c>
    </row>
    <row r="488" spans="20:22">
      <c r="T488">
        <v>487</v>
      </c>
      <c r="U488">
        <v>0.321876956480901</v>
      </c>
      <c r="V488">
        <v>0</v>
      </c>
    </row>
    <row r="489" spans="20:22">
      <c r="T489">
        <v>488</v>
      </c>
      <c r="U489">
        <v>0.640654708925713</v>
      </c>
      <c r="V489">
        <v>0</v>
      </c>
    </row>
    <row r="490" spans="20:22">
      <c r="T490">
        <v>489</v>
      </c>
      <c r="U490">
        <v>2.47152967370514</v>
      </c>
      <c r="V490">
        <v>1</v>
      </c>
    </row>
    <row r="491" spans="20:22">
      <c r="T491">
        <v>490</v>
      </c>
      <c r="U491">
        <v>0.0671417666887875</v>
      </c>
      <c r="V491">
        <v>0</v>
      </c>
    </row>
    <row r="492" spans="20:22">
      <c r="T492">
        <v>491</v>
      </c>
      <c r="U492">
        <v>0.44710006012419</v>
      </c>
      <c r="V492">
        <v>0</v>
      </c>
    </row>
    <row r="493" spans="20:22">
      <c r="T493">
        <v>492</v>
      </c>
      <c r="U493">
        <v>1.09800702384452</v>
      </c>
      <c r="V493">
        <v>1</v>
      </c>
    </row>
    <row r="494" spans="20:22">
      <c r="T494">
        <v>493</v>
      </c>
      <c r="U494">
        <v>0.17143768635316</v>
      </c>
      <c r="V494">
        <v>0</v>
      </c>
    </row>
    <row r="495" spans="20:22">
      <c r="T495">
        <v>494</v>
      </c>
      <c r="U495">
        <v>0.0749655774264241</v>
      </c>
      <c r="V495">
        <v>0</v>
      </c>
    </row>
    <row r="496" spans="20:22">
      <c r="T496">
        <v>495</v>
      </c>
      <c r="U496">
        <v>0.940421200513084</v>
      </c>
      <c r="V496">
        <v>0</v>
      </c>
    </row>
    <row r="497" spans="20:22">
      <c r="T497">
        <v>496</v>
      </c>
      <c r="U497">
        <v>1.02844370153868</v>
      </c>
      <c r="V497">
        <v>1</v>
      </c>
    </row>
    <row r="498" spans="20:22">
      <c r="T498">
        <v>497</v>
      </c>
      <c r="U498">
        <v>0.0744632676448064</v>
      </c>
      <c r="V498">
        <v>0</v>
      </c>
    </row>
    <row r="499" spans="20:22">
      <c r="T499">
        <v>498</v>
      </c>
      <c r="U499">
        <v>0.118702142690148</v>
      </c>
      <c r="V499">
        <v>0</v>
      </c>
    </row>
    <row r="500" spans="20:22">
      <c r="T500">
        <v>499</v>
      </c>
      <c r="U500">
        <v>1.0452022481049</v>
      </c>
      <c r="V500">
        <v>1</v>
      </c>
    </row>
    <row r="501" spans="20:22">
      <c r="T501">
        <v>500</v>
      </c>
      <c r="U501">
        <v>0.363865722624003</v>
      </c>
      <c r="V501">
        <v>0</v>
      </c>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0"/>
  <sheetViews>
    <sheetView tabSelected="1" zoomScale="61" zoomScaleNormal="61" workbookViewId="0">
      <selection activeCell="A1" sqref="A1:J2"/>
    </sheetView>
  </sheetViews>
  <sheetFormatPr defaultColWidth="9" defaultRowHeight="17.6"/>
  <cols>
    <col min="1" max="3" width="20" customWidth="1"/>
    <col min="4" max="4" width="18" customWidth="1"/>
    <col min="5" max="5" width="3" customWidth="1"/>
    <col min="6" max="6" width="25" customWidth="1"/>
    <col min="7" max="10" width="22" customWidth="1"/>
  </cols>
  <sheetData>
    <row r="1" ht="30" customHeight="1" spans="1:10">
      <c r="A1" s="1" t="s">
        <v>210</v>
      </c>
      <c r="B1" s="1"/>
      <c r="C1" s="1"/>
      <c r="D1" s="1"/>
      <c r="E1" s="1"/>
      <c r="F1" s="1"/>
      <c r="G1" s="1"/>
      <c r="H1" s="1"/>
      <c r="I1" s="1"/>
      <c r="J1" s="1"/>
    </row>
    <row r="2" spans="1:10">
      <c r="A2" s="1"/>
      <c r="B2" s="1"/>
      <c r="C2" s="1"/>
      <c r="D2" s="1"/>
      <c r="E2" s="1"/>
      <c r="F2" s="1"/>
      <c r="G2" s="1"/>
      <c r="H2" s="1"/>
      <c r="I2" s="1"/>
      <c r="J2" s="1"/>
    </row>
    <row r="3" spans="1:10">
      <c r="A3" s="2"/>
      <c r="B3" s="2"/>
      <c r="C3" s="2"/>
      <c r="D3" s="2"/>
      <c r="E3" s="2"/>
      <c r="F3" s="2"/>
      <c r="G3" s="2"/>
      <c r="H3" s="2"/>
      <c r="I3" s="2"/>
      <c r="J3" s="2"/>
    </row>
    <row r="4" ht="55" customHeight="1" spans="1:10">
      <c r="A4" s="3" t="s">
        <v>211</v>
      </c>
      <c r="B4" s="3"/>
      <c r="C4" s="3"/>
      <c r="D4" s="3"/>
      <c r="E4" s="3"/>
      <c r="F4" s="3"/>
      <c r="G4" s="3"/>
      <c r="H4" s="3"/>
      <c r="I4" s="3"/>
      <c r="J4" s="3"/>
    </row>
    <row r="5" spans="1:10">
      <c r="A5" s="3"/>
      <c r="B5" s="3"/>
      <c r="C5" s="3"/>
      <c r="D5" s="3"/>
      <c r="E5" s="3"/>
      <c r="F5" s="3"/>
      <c r="G5" s="3"/>
      <c r="H5" s="3"/>
      <c r="I5" s="3"/>
      <c r="J5" s="3"/>
    </row>
    <row r="6" spans="1:10">
      <c r="A6" s="3"/>
      <c r="B6" s="3"/>
      <c r="C6" s="3"/>
      <c r="D6" s="3"/>
      <c r="E6" s="3"/>
      <c r="F6" s="3"/>
      <c r="G6" s="3"/>
      <c r="H6" s="3"/>
      <c r="I6" s="3"/>
      <c r="J6" s="3"/>
    </row>
    <row r="7" spans="1:10">
      <c r="A7" s="2"/>
      <c r="B7" s="2"/>
      <c r="C7" s="2"/>
      <c r="D7" s="2"/>
      <c r="E7" s="2"/>
      <c r="F7" s="2"/>
      <c r="G7" s="2"/>
      <c r="H7" s="2"/>
      <c r="I7" s="2"/>
      <c r="J7" s="2"/>
    </row>
    <row r="8" ht="22" customHeight="1" spans="1:10">
      <c r="A8" s="4" t="s">
        <v>212</v>
      </c>
      <c r="B8" s="4"/>
      <c r="C8" s="4"/>
      <c r="D8" s="4"/>
      <c r="E8" s="2"/>
      <c r="F8" s="4" t="s">
        <v>82</v>
      </c>
      <c r="G8" s="4"/>
      <c r="H8" s="4"/>
      <c r="I8" s="4"/>
      <c r="J8" s="4"/>
    </row>
    <row r="9" ht="58" customHeight="1" spans="1:10">
      <c r="A9" s="5" t="s">
        <v>213</v>
      </c>
      <c r="B9" s="5" t="s">
        <v>214</v>
      </c>
      <c r="C9" s="5" t="s">
        <v>215</v>
      </c>
      <c r="D9" s="5" t="s">
        <v>55</v>
      </c>
      <c r="E9" s="2"/>
      <c r="F9" s="3" t="str">
        <f>"The final investment comparison uses "&amp;TEXT('1_Investment_Stategy1'!C8,"#,##0")&amp;" simulated paths per strategy. The running means below show how the estimated difference evolves as the Monte Carlo sample grows."</f>
        <v>The final investment comparison uses 2,000 simulated paths per strategy. The running means below show how the estimated difference evolves as the Monte Carlo sample grows.</v>
      </c>
      <c r="G9" s="3"/>
      <c r="H9" s="3"/>
      <c r="I9" s="3"/>
      <c r="J9" s="3"/>
    </row>
    <row r="10" ht="24" customHeight="1" spans="1:10">
      <c r="A10" s="6">
        <v>50</v>
      </c>
      <c r="B10" s="7">
        <f ca="1">AVERAGE('1_Investment_Stategy1'!$S$2:$S$51)</f>
        <v>11.84</v>
      </c>
      <c r="C10" s="7">
        <f ca="1">AVERAGE('1_Investment_Stategy2'!$R$2:$R$51)</f>
        <v>11.86</v>
      </c>
      <c r="D10" s="7">
        <f ca="1" t="shared" ref="D10:D16" si="0">C10-B10</f>
        <v>0.0199999999999996</v>
      </c>
      <c r="E10" s="2"/>
      <c r="F10" s="3"/>
      <c r="G10" s="3"/>
      <c r="H10" s="3"/>
      <c r="I10" s="3"/>
      <c r="J10" s="3"/>
    </row>
    <row r="11" ht="24" customHeight="1" spans="1:10">
      <c r="A11" s="6">
        <v>100</v>
      </c>
      <c r="B11" s="7">
        <f ca="1">AVERAGE('1_Investment_Stategy1'!$S$2:$S$101)</f>
        <v>12.22</v>
      </c>
      <c r="C11" s="7">
        <f ca="1">AVERAGE('1_Investment_Stategy2'!$R$2:$R$101)</f>
        <v>12.12</v>
      </c>
      <c r="D11" s="7">
        <f ca="1" t="shared" si="0"/>
        <v>-0.100000000000001</v>
      </c>
      <c r="E11" s="2"/>
      <c r="F11" s="3"/>
      <c r="G11" s="3"/>
      <c r="H11" s="3"/>
      <c r="I11" s="3"/>
      <c r="J11" s="3"/>
    </row>
    <row r="12" ht="24" customHeight="1" spans="1:10">
      <c r="A12" s="6">
        <v>250</v>
      </c>
      <c r="B12" s="7">
        <f ca="1">AVERAGE('1_Investment_Stategy1'!$S$2:$S$251)</f>
        <v>12.072</v>
      </c>
      <c r="C12" s="7">
        <f ca="1">AVERAGE('1_Investment_Stategy2'!$R$2:$R$251)</f>
        <v>12.176</v>
      </c>
      <c r="D12" s="7">
        <f ca="1" t="shared" si="0"/>
        <v>0.104000000000001</v>
      </c>
      <c r="E12" s="2"/>
      <c r="F12" s="3"/>
      <c r="G12" s="3"/>
      <c r="H12" s="3"/>
      <c r="I12" s="3"/>
      <c r="J12" s="3"/>
    </row>
    <row r="13" ht="24" customHeight="1" spans="1:10">
      <c r="A13" s="6">
        <v>500</v>
      </c>
      <c r="B13" s="7">
        <f ca="1">AVERAGE('1_Investment_Stategy1'!$S$2:$S$501)</f>
        <v>11.93</v>
      </c>
      <c r="C13" s="7">
        <f ca="1">AVERAGE('1_Investment_Stategy2'!$R$2:$R$501)</f>
        <v>12.344</v>
      </c>
      <c r="D13" s="7">
        <f ca="1" t="shared" si="0"/>
        <v>0.414</v>
      </c>
      <c r="E13" s="2"/>
      <c r="F13" s="2"/>
      <c r="G13" s="2"/>
      <c r="H13" s="2"/>
      <c r="I13" s="2"/>
      <c r="J13" s="2"/>
    </row>
    <row r="14" ht="24" customHeight="1" spans="1:10">
      <c r="A14" s="6">
        <v>1000</v>
      </c>
      <c r="B14" s="7">
        <f ca="1">AVERAGE('1_Investment_Stategy1'!$S$2:$S$1001)</f>
        <v>11.955</v>
      </c>
      <c r="C14" s="7">
        <f ca="1">AVERAGE('1_Investment_Stategy2'!$R$2:$R$1001)</f>
        <v>12.5</v>
      </c>
      <c r="D14" s="7">
        <f ca="1" t="shared" si="0"/>
        <v>0.545</v>
      </c>
      <c r="E14" s="2"/>
      <c r="F14" s="2"/>
      <c r="G14" s="2"/>
      <c r="H14" s="2"/>
      <c r="I14" s="2"/>
      <c r="J14" s="2"/>
    </row>
    <row r="15" ht="24" customHeight="1" spans="1:10">
      <c r="A15" s="6">
        <v>1500</v>
      </c>
      <c r="B15" s="7">
        <f ca="1">AVERAGE('1_Investment_Stategy1'!$S$2:$S$1501)</f>
        <v>11.95</v>
      </c>
      <c r="C15" s="7">
        <f ca="1">AVERAGE('1_Investment_Stategy2'!$R$2:$R$1501)</f>
        <v>12.5593333333333</v>
      </c>
      <c r="D15" s="7">
        <f ca="1" t="shared" si="0"/>
        <v>0.609333333333334</v>
      </c>
      <c r="E15" s="2"/>
      <c r="F15" s="2"/>
      <c r="G15" s="2"/>
      <c r="H15" s="2"/>
      <c r="I15" s="2"/>
      <c r="J15" s="2"/>
    </row>
    <row r="16" ht="24" customHeight="1" spans="1:10">
      <c r="A16" s="6">
        <v>2000</v>
      </c>
      <c r="B16" s="7">
        <f ca="1">AVERAGE('1_Investment_Stategy1'!$S$2:$S$2001)</f>
        <v>11.9445</v>
      </c>
      <c r="C16" s="7">
        <f ca="1">AVERAGE('1_Investment_Stategy2'!$R$2:$R$2001)</f>
        <v>12.5695</v>
      </c>
      <c r="D16" s="7">
        <f ca="1" t="shared" si="0"/>
        <v>0.625</v>
      </c>
      <c r="E16" s="2"/>
      <c r="F16" s="2"/>
      <c r="G16" s="2"/>
      <c r="H16" s="2"/>
      <c r="I16" s="2"/>
      <c r="J16" s="2"/>
    </row>
    <row r="17" spans="1:10">
      <c r="A17" s="2"/>
      <c r="B17" s="2"/>
      <c r="C17" s="2"/>
      <c r="D17" s="2"/>
      <c r="E17" s="2"/>
      <c r="F17" s="2"/>
      <c r="G17" s="2"/>
      <c r="H17" s="2"/>
      <c r="I17" s="2"/>
      <c r="J17" s="2"/>
    </row>
    <row r="18" spans="1:10">
      <c r="A18" s="2"/>
      <c r="B18" s="2"/>
      <c r="C18" s="2"/>
      <c r="D18" s="2"/>
      <c r="E18" s="2"/>
      <c r="F18" s="2"/>
      <c r="G18" s="2"/>
      <c r="H18" s="2"/>
      <c r="I18" s="2"/>
      <c r="J18" s="2"/>
    </row>
    <row r="19" spans="1:10">
      <c r="A19" s="2"/>
      <c r="B19" s="2"/>
      <c r="C19" s="2"/>
      <c r="D19" s="2"/>
      <c r="E19" s="2"/>
      <c r="F19" s="2"/>
      <c r="G19" s="2"/>
      <c r="H19" s="2"/>
      <c r="I19" s="2"/>
      <c r="J19" s="2"/>
    </row>
    <row r="20" ht="22" customHeight="1" spans="1:10">
      <c r="A20" s="4" t="s">
        <v>216</v>
      </c>
      <c r="B20" s="4"/>
      <c r="C20" s="4"/>
      <c r="D20" s="2"/>
      <c r="E20" s="2"/>
      <c r="F20" s="4" t="s">
        <v>82</v>
      </c>
      <c r="G20" s="4"/>
      <c r="H20" s="4"/>
      <c r="I20" s="4"/>
      <c r="J20" s="4"/>
    </row>
    <row r="21" ht="58" customHeight="1" spans="1:10">
      <c r="A21" s="5" t="s">
        <v>217</v>
      </c>
      <c r="B21" s="5" t="s">
        <v>218</v>
      </c>
      <c r="C21" s="5" t="s">
        <v>175</v>
      </c>
      <c r="D21" s="2"/>
      <c r="E21" s="2"/>
      <c r="F21" s="3" t="str">
        <f>"The insurance model contains "&amp;TEXT('2_Insurance'!C5,"#,##0")&amp;" simulated years. The running mean and P(R&gt;1) below show how estimates change as additional years are included."</f>
        <v>The insurance model contains 500 simulated years. The running mean and P(R&gt;1) below show how estimates change as additional years are included.</v>
      </c>
      <c r="G21" s="3"/>
      <c r="H21" s="3"/>
      <c r="I21" s="3"/>
      <c r="J21" s="3"/>
    </row>
    <row r="22" ht="24" customHeight="1" spans="1:10">
      <c r="A22" s="6">
        <v>25</v>
      </c>
      <c r="B22" s="8">
        <f ca="1">AVERAGE('2_Insurance'!$U$2:$U$26)</f>
        <v>1.15772690625585</v>
      </c>
      <c r="C22" s="9">
        <f ca="1">AVERAGE('2_Insurance'!$V$2:$V$26)</f>
        <v>0.32</v>
      </c>
      <c r="D22" s="2"/>
      <c r="E22" s="2"/>
      <c r="F22" s="3"/>
      <c r="G22" s="3"/>
      <c r="H22" s="3"/>
      <c r="I22" s="3"/>
      <c r="J22" s="3"/>
    </row>
    <row r="23" ht="24" customHeight="1" spans="1:10">
      <c r="A23" s="6">
        <v>50</v>
      </c>
      <c r="B23" s="8">
        <f ca="1">AVERAGE('2_Insurance'!$U$2:$U$51)</f>
        <v>0.981880100492931</v>
      </c>
      <c r="C23" s="9">
        <f ca="1">AVERAGE('2_Insurance'!$V$2:$V$51)</f>
        <v>0.3</v>
      </c>
      <c r="D23" s="2"/>
      <c r="E23" s="2"/>
      <c r="F23" s="3"/>
      <c r="G23" s="3"/>
      <c r="H23" s="3"/>
      <c r="I23" s="3"/>
      <c r="J23" s="3"/>
    </row>
    <row r="24" ht="24" customHeight="1" spans="1:10">
      <c r="A24" s="6">
        <v>100</v>
      </c>
      <c r="B24" s="8">
        <f ca="1">AVERAGE('2_Insurance'!$U$2:$U$101)</f>
        <v>0.977092711739038</v>
      </c>
      <c r="C24" s="9">
        <f ca="1">AVERAGE('2_Insurance'!$V$2:$V$101)</f>
        <v>0.35</v>
      </c>
      <c r="D24" s="2"/>
      <c r="E24" s="2"/>
      <c r="F24" s="3"/>
      <c r="G24" s="3"/>
      <c r="H24" s="3"/>
      <c r="I24" s="3"/>
      <c r="J24" s="3"/>
    </row>
    <row r="25" ht="24" customHeight="1" spans="1:10">
      <c r="A25" s="6">
        <v>200</v>
      </c>
      <c r="B25" s="8">
        <f ca="1">AVERAGE('2_Insurance'!$U$2:$U$201)</f>
        <v>0.863573998961152</v>
      </c>
      <c r="C25" s="9">
        <f ca="1">AVERAGE('2_Insurance'!$V$2:$V$201)</f>
        <v>0.305</v>
      </c>
      <c r="D25" s="2"/>
      <c r="E25" s="2"/>
      <c r="F25" s="2"/>
      <c r="G25" s="2"/>
      <c r="H25" s="2"/>
      <c r="I25" s="2"/>
      <c r="J25" s="2"/>
    </row>
    <row r="26" ht="24" customHeight="1" spans="1:10">
      <c r="A26" s="6">
        <v>300</v>
      </c>
      <c r="B26" s="8">
        <f ca="1">AVERAGE('2_Insurance'!$U$2:$U$301)</f>
        <v>0.906296165631739</v>
      </c>
      <c r="C26" s="9">
        <f ca="1">AVERAGE('2_Insurance'!$V$2:$V$301)</f>
        <v>0.323333333333333</v>
      </c>
      <c r="D26" s="2"/>
      <c r="E26" s="2"/>
      <c r="F26" s="2"/>
      <c r="G26" s="2"/>
      <c r="H26" s="2"/>
      <c r="I26" s="2"/>
      <c r="J26" s="2"/>
    </row>
    <row r="27" ht="24" customHeight="1" spans="1:10">
      <c r="A27" s="6">
        <v>400</v>
      </c>
      <c r="B27" s="8">
        <f ca="1">AVERAGE('2_Insurance'!$U$2:$U$401)</f>
        <v>0.844553745270022</v>
      </c>
      <c r="C27" s="9">
        <f ca="1">AVERAGE('2_Insurance'!$V$2:$V$401)</f>
        <v>0.3025</v>
      </c>
      <c r="D27" s="2"/>
      <c r="E27" s="2"/>
      <c r="F27" s="2"/>
      <c r="G27" s="2"/>
      <c r="H27" s="2"/>
      <c r="I27" s="2"/>
      <c r="J27" s="2"/>
    </row>
    <row r="28" ht="24" customHeight="1" spans="1:10">
      <c r="A28" s="6">
        <v>500</v>
      </c>
      <c r="B28" s="8">
        <f ca="1">AVERAGE('2_Insurance'!$U$2:$U$501)</f>
        <v>0.836728620108733</v>
      </c>
      <c r="C28" s="9">
        <f ca="1">AVERAGE('2_Insurance'!$V$2:$V$501)</f>
        <v>0.294</v>
      </c>
      <c r="D28" s="2"/>
      <c r="E28" s="2"/>
      <c r="F28" s="2"/>
      <c r="G28" s="2"/>
      <c r="H28" s="2"/>
      <c r="I28" s="2"/>
      <c r="J28" s="2"/>
    </row>
    <row r="29" spans="1:10">
      <c r="A29" s="2"/>
      <c r="B29" s="2"/>
      <c r="C29" s="2"/>
      <c r="D29" s="2"/>
      <c r="E29" s="2"/>
      <c r="F29" s="2"/>
      <c r="G29" s="2"/>
      <c r="H29" s="2"/>
      <c r="I29" s="2"/>
      <c r="J29" s="2"/>
    </row>
    <row r="30" spans="1:10">
      <c r="A30" s="2"/>
      <c r="B30" s="2"/>
      <c r="C30" s="2"/>
      <c r="D30" s="2"/>
      <c r="E30" s="2"/>
      <c r="F30" s="2"/>
      <c r="G30" s="2"/>
      <c r="H30" s="2"/>
      <c r="I30" s="2"/>
      <c r="J30" s="2"/>
    </row>
    <row r="31" spans="1:10">
      <c r="A31" s="2"/>
      <c r="B31" s="2"/>
      <c r="C31" s="2"/>
      <c r="D31" s="2"/>
      <c r="E31" s="2"/>
      <c r="F31" s="2"/>
      <c r="G31" s="2"/>
      <c r="H31" s="2"/>
      <c r="I31" s="2"/>
      <c r="J31" s="2"/>
    </row>
    <row r="32" ht="22" customHeight="1" spans="1:10">
      <c r="A32" s="4" t="s">
        <v>219</v>
      </c>
      <c r="B32" s="4"/>
      <c r="C32" s="4"/>
      <c r="D32" s="4"/>
      <c r="E32" s="4"/>
      <c r="F32" s="2"/>
      <c r="G32" s="2"/>
      <c r="H32" s="2"/>
      <c r="I32" s="2"/>
      <c r="J32" s="2"/>
    </row>
    <row r="33" ht="60" customHeight="1" spans="1:10">
      <c r="A33" s="3" t="s">
        <v>220</v>
      </c>
      <c r="B33" s="3"/>
      <c r="C33" s="3"/>
      <c r="D33" s="3"/>
      <c r="E33" s="3"/>
      <c r="F33" s="2"/>
      <c r="G33" s="2"/>
      <c r="H33" s="2"/>
      <c r="I33" s="2"/>
      <c r="J33" s="2"/>
    </row>
    <row r="34" spans="1:10">
      <c r="A34" s="3"/>
      <c r="B34" s="3"/>
      <c r="C34" s="3"/>
      <c r="D34" s="3"/>
      <c r="E34" s="3"/>
      <c r="F34" s="2"/>
      <c r="G34" s="2"/>
      <c r="H34" s="2"/>
      <c r="I34" s="2"/>
      <c r="J34" s="2"/>
    </row>
    <row r="35" spans="1:10">
      <c r="A35" s="3"/>
      <c r="B35" s="3"/>
      <c r="C35" s="3"/>
      <c r="D35" s="3"/>
      <c r="E35" s="3"/>
      <c r="F35" s="2"/>
      <c r="G35" s="2"/>
      <c r="H35" s="2"/>
      <c r="I35" s="2"/>
      <c r="J35" s="2"/>
    </row>
    <row r="36" spans="1:10">
      <c r="A36" s="3"/>
      <c r="B36" s="3"/>
      <c r="C36" s="3"/>
      <c r="D36" s="3"/>
      <c r="E36" s="3"/>
      <c r="F36" s="2"/>
      <c r="G36" s="2"/>
      <c r="H36" s="2"/>
      <c r="I36" s="2"/>
      <c r="J36" s="2"/>
    </row>
    <row r="37" spans="1:10">
      <c r="A37" s="3"/>
      <c r="B37" s="3"/>
      <c r="C37" s="3"/>
      <c r="D37" s="3"/>
      <c r="E37" s="3"/>
      <c r="F37" s="2"/>
      <c r="G37" s="2"/>
      <c r="H37" s="2"/>
      <c r="I37" s="2"/>
      <c r="J37" s="2"/>
    </row>
    <row r="38" spans="1:10">
      <c r="A38" s="2"/>
      <c r="B38" s="2"/>
      <c r="C38" s="2"/>
      <c r="D38" s="2"/>
      <c r="E38" s="2"/>
      <c r="F38" s="2"/>
      <c r="G38" s="2"/>
      <c r="H38" s="2"/>
      <c r="I38" s="2"/>
      <c r="J38" s="2"/>
    </row>
    <row r="39" spans="1:10">
      <c r="A39" s="2"/>
      <c r="B39" s="2"/>
      <c r="C39" s="2"/>
      <c r="D39" s="2"/>
      <c r="E39" s="2"/>
      <c r="F39" s="2"/>
      <c r="G39" s="2"/>
      <c r="H39" s="2"/>
      <c r="I39" s="2"/>
      <c r="J39" s="2"/>
    </row>
    <row r="40" spans="1:10">
      <c r="A40" s="2"/>
      <c r="B40" s="2"/>
      <c r="C40" s="2"/>
      <c r="D40" s="2"/>
      <c r="E40" s="2"/>
      <c r="F40" s="2"/>
      <c r="G40" s="2"/>
      <c r="H40" s="2"/>
      <c r="I40" s="2"/>
      <c r="J40" s="2"/>
    </row>
    <row r="41" spans="1:10">
      <c r="A41" s="2"/>
      <c r="B41" s="2"/>
      <c r="C41" s="2"/>
      <c r="D41" s="2"/>
      <c r="E41" s="2"/>
      <c r="F41" s="2"/>
      <c r="G41" s="2"/>
      <c r="H41" s="2"/>
      <c r="I41" s="2"/>
      <c r="J41" s="2"/>
    </row>
    <row r="42" spans="1:10">
      <c r="A42" s="2"/>
      <c r="B42" s="2"/>
      <c r="C42" s="2"/>
      <c r="D42" s="2"/>
      <c r="E42" s="2"/>
      <c r="F42" s="2"/>
      <c r="G42" s="2"/>
      <c r="H42" s="2"/>
      <c r="I42" s="2"/>
      <c r="J42" s="2"/>
    </row>
    <row r="43" spans="1:10">
      <c r="A43" s="2"/>
      <c r="B43" s="2"/>
      <c r="C43" s="2"/>
      <c r="D43" s="2"/>
      <c r="E43" s="2"/>
      <c r="F43" s="2"/>
      <c r="G43" s="2"/>
      <c r="H43" s="2"/>
      <c r="I43" s="2"/>
      <c r="J43" s="2"/>
    </row>
    <row r="44" spans="1:10">
      <c r="A44" s="2"/>
      <c r="B44" s="2"/>
      <c r="C44" s="2"/>
      <c r="D44" s="2"/>
      <c r="E44" s="2"/>
      <c r="F44" s="2"/>
      <c r="G44" s="2"/>
      <c r="H44" s="2"/>
      <c r="I44" s="2"/>
      <c r="J44" s="2"/>
    </row>
    <row r="45" spans="1:10">
      <c r="A45" s="2"/>
      <c r="B45" s="2"/>
      <c r="C45" s="2"/>
      <c r="D45" s="2"/>
      <c r="E45" s="2"/>
      <c r="F45" s="2"/>
      <c r="G45" s="2"/>
      <c r="H45" s="2"/>
      <c r="I45" s="2"/>
      <c r="J45" s="2"/>
    </row>
    <row r="46" spans="1:10">
      <c r="A46" s="2"/>
      <c r="B46" s="2"/>
      <c r="C46" s="2"/>
      <c r="D46" s="2"/>
      <c r="E46" s="2"/>
      <c r="F46" s="2"/>
      <c r="G46" s="2"/>
      <c r="H46" s="2"/>
      <c r="I46" s="2"/>
      <c r="J46" s="2"/>
    </row>
    <row r="47" spans="1:10">
      <c r="A47" s="2"/>
      <c r="B47" s="2"/>
      <c r="C47" s="2"/>
      <c r="D47" s="2"/>
      <c r="E47" s="2"/>
      <c r="F47" s="2"/>
      <c r="G47" s="2"/>
      <c r="H47" s="2"/>
      <c r="I47" s="2"/>
      <c r="J47" s="2"/>
    </row>
    <row r="48" spans="1:10">
      <c r="A48" s="2"/>
      <c r="B48" s="2"/>
      <c r="C48" s="2"/>
      <c r="D48" s="2"/>
      <c r="E48" s="2"/>
      <c r="F48" s="2"/>
      <c r="G48" s="2"/>
      <c r="H48" s="2"/>
      <c r="I48" s="2"/>
      <c r="J48" s="2"/>
    </row>
    <row r="49" spans="1:10">
      <c r="A49" s="2"/>
      <c r="B49" s="2"/>
      <c r="C49" s="2"/>
      <c r="D49" s="2"/>
      <c r="E49" s="2"/>
      <c r="F49" s="2"/>
      <c r="G49" s="2"/>
      <c r="H49" s="2"/>
      <c r="I49" s="2"/>
      <c r="J49" s="2"/>
    </row>
    <row r="50" spans="1:10">
      <c r="A50" s="2"/>
      <c r="B50" s="2"/>
      <c r="C50" s="2"/>
      <c r="D50" s="2"/>
      <c r="E50" s="2"/>
      <c r="F50" s="2"/>
      <c r="G50" s="2"/>
      <c r="H50" s="2"/>
      <c r="I50" s="2"/>
      <c r="J50" s="2"/>
    </row>
    <row r="51" spans="1:10">
      <c r="A51" s="2"/>
      <c r="B51" s="2"/>
      <c r="C51" s="2"/>
      <c r="D51" s="2"/>
      <c r="E51" s="2"/>
      <c r="F51" s="2"/>
      <c r="G51" s="2"/>
      <c r="H51" s="2"/>
      <c r="I51" s="2"/>
      <c r="J51" s="2"/>
    </row>
    <row r="52" spans="1:10">
      <c r="A52" s="2"/>
      <c r="B52" s="2"/>
      <c r="C52" s="2"/>
      <c r="D52" s="2"/>
      <c r="E52" s="2"/>
      <c r="F52" s="2"/>
      <c r="G52" s="2"/>
      <c r="H52" s="2"/>
      <c r="I52" s="2"/>
      <c r="J52" s="2"/>
    </row>
    <row r="53" spans="1:10">
      <c r="A53" s="2"/>
      <c r="B53" s="2"/>
      <c r="C53" s="2"/>
      <c r="D53" s="2"/>
      <c r="E53" s="2"/>
      <c r="F53" s="2"/>
      <c r="G53" s="2"/>
      <c r="H53" s="2"/>
      <c r="I53" s="2"/>
      <c r="J53" s="2"/>
    </row>
    <row r="54" spans="1:10">
      <c r="A54" s="2"/>
      <c r="B54" s="2"/>
      <c r="C54" s="2"/>
      <c r="D54" s="2"/>
      <c r="E54" s="2"/>
      <c r="F54" s="2"/>
      <c r="G54" s="2"/>
      <c r="H54" s="2"/>
      <c r="I54" s="2"/>
      <c r="J54" s="2"/>
    </row>
    <row r="55" spans="1:10">
      <c r="A55" s="2"/>
      <c r="B55" s="2"/>
      <c r="C55" s="2"/>
      <c r="D55" s="2"/>
      <c r="E55" s="2"/>
      <c r="F55" s="2"/>
      <c r="G55" s="2"/>
      <c r="H55" s="2"/>
      <c r="I55" s="2"/>
      <c r="J55" s="2"/>
    </row>
    <row r="56" spans="1:10">
      <c r="A56" s="2"/>
      <c r="B56" s="2"/>
      <c r="C56" s="2"/>
      <c r="D56" s="2"/>
      <c r="E56" s="2"/>
      <c r="F56" s="2"/>
      <c r="G56" s="2"/>
      <c r="H56" s="2"/>
      <c r="I56" s="2"/>
      <c r="J56" s="2"/>
    </row>
    <row r="57" spans="1:10">
      <c r="A57" s="2"/>
      <c r="B57" s="2"/>
      <c r="C57" s="2"/>
      <c r="D57" s="2"/>
      <c r="E57" s="2"/>
      <c r="F57" s="2"/>
      <c r="G57" s="2"/>
      <c r="H57" s="2"/>
      <c r="I57" s="2"/>
      <c r="J57" s="2"/>
    </row>
    <row r="58" spans="1:10">
      <c r="A58" s="2"/>
      <c r="B58" s="2"/>
      <c r="C58" s="2"/>
      <c r="D58" s="2"/>
      <c r="E58" s="2"/>
      <c r="F58" s="2"/>
      <c r="G58" s="2"/>
      <c r="H58" s="2"/>
      <c r="I58" s="2"/>
      <c r="J58" s="2"/>
    </row>
    <row r="59" spans="1:10">
      <c r="A59" s="2"/>
      <c r="B59" s="2"/>
      <c r="C59" s="2"/>
      <c r="D59" s="2"/>
      <c r="E59" s="2"/>
      <c r="F59" s="2"/>
      <c r="G59" s="2"/>
      <c r="H59" s="2"/>
      <c r="I59" s="2"/>
      <c r="J59" s="2"/>
    </row>
    <row r="60" spans="1:10">
      <c r="A60" s="2"/>
      <c r="B60" s="2"/>
      <c r="C60" s="2"/>
      <c r="D60" s="2"/>
      <c r="E60" s="2"/>
      <c r="F60" s="2"/>
      <c r="G60" s="2"/>
      <c r="H60" s="2"/>
      <c r="I60" s="2"/>
      <c r="J60" s="2"/>
    </row>
  </sheetData>
  <mergeCells count="10">
    <mergeCell ref="A8:D8"/>
    <mergeCell ref="F8:J8"/>
    <mergeCell ref="A20:C20"/>
    <mergeCell ref="F20:J20"/>
    <mergeCell ref="A32:E32"/>
    <mergeCell ref="A1:J2"/>
    <mergeCell ref="A4:J6"/>
    <mergeCell ref="F9:J12"/>
    <mergeCell ref="F21:J24"/>
    <mergeCell ref="A33:E3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7</vt:i4>
      </vt:variant>
    </vt:vector>
  </HeadingPairs>
  <TitlesOfParts>
    <vt:vector size="7" baseType="lpstr">
      <vt:lpstr>Portfolio Overview</vt:lpstr>
      <vt:lpstr>Investment Analysis</vt:lpstr>
      <vt:lpstr>1_Investment_Stategy1</vt:lpstr>
      <vt:lpstr>1_Investment_Stategy2</vt:lpstr>
      <vt:lpstr>Insurance Analysis</vt:lpstr>
      <vt:lpstr>2_Insurance</vt:lpstr>
      <vt:lpstr>Convergence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2026-10-01T10:28:52Z</dcterms:created>
  <dcterms:modified xsi:type="dcterms:W3CDTF">2026-10-01T10:44:54Z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F5B0F4A0F23AB1DB1AC6BD6AA1D636FD_42</vt:lpwstr>
  </property>
  <property fmtid="{D5CDD505-2E9C-101B-9397-08002B2CF9AE}" pid="3" name="KSOProductBuildVer">
    <vt:lpwstr>1033-6.14.0.8924</vt:lpwstr>
  </property>
</Properties>
</file>