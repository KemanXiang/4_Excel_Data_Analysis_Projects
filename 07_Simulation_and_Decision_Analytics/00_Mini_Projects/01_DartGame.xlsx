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680"/>
  </bookViews>
  <sheets>
    <sheet name="Project Overview" sheetId="2" r:id="rId1"/>
    <sheet name="Sheet1" sheetId="1" r:id="rId2"/>
    <sheet name="Results &amp; Interpretation" sheetId="3" r:id="rId3"/>
  </sheets>
  <definedNames>
    <definedName name="_xlchart.v1.0" hidden="1">Sheet1!$N$11:$N$28</definedName>
    <definedName name="_xlchart.v1.1" hidden="1">Sheet1!$O$11:$O$28</definedName>
    <definedName name="_xlchart.v2.2" hidden="1">Sheet1!$N$11:$N$28</definedName>
    <definedName name="_xlchart.v2.3" hidden="1">Sheet1!$O$11:$O$28</definedName>
    <definedName name="d">Sheet1!$J$2:$J$101</definedName>
    <definedName name="hit">Sheet1!$K$2:$K$101</definedName>
    <definedName name="n">Sheet1!$D$2</definedName>
    <definedName name="p">Sheet1!$O$2</definedName>
    <definedName name="s">Sheet1!$O$3</definedName>
    <definedName name="t">Sheet1!$M$11:$M$28</definedName>
    <definedName name="x">Sheet1!$H$2:$H$101</definedName>
    <definedName name="y">Sheet1!$I$2:$I$101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<sst xmlns="http://schemas.openxmlformats.org/spreadsheetml/2006/main" count="59" uniqueCount="56">
  <si>
    <t>Monte Carlo Dart Game Simulation</t>
  </si>
  <si>
    <t>MGT 239 · Simulation for Business · Course Mini-Project</t>
  </si>
  <si>
    <t>PURPOSE</t>
  </si>
  <si>
    <t>Use repeated random sampling to estimate the probability that a uniformly generated point in a unit square falls inside a quarter circle. The exercise introduces Monte Carlo simulation as a way to estimate an uncertain quantity from simulated observations.</t>
  </si>
  <si>
    <t>METHOD</t>
  </si>
  <si>
    <t>Generate independent x and y coordinates with RAND(). For each simulated point, compute d = SQRT(x^2 + y^2) and record hit = 1 when d &lt; 1, otherwise 0. Repeat the experiment for n = 100 trials. The sample mean of the hit indicator estimates the hit probability; the sample standard deviation is used to construct an approximate 95% confidence interval.</t>
  </si>
  <si>
    <t>KEY TAKEAWAY</t>
  </si>
  <si>
    <t>Simulation produces an estimate rather than an exact answer. Because RAND() generates a new sample when the workbook recalculates, the estimated probability and confidence interval vary from run to run. The confidence interval makes this simulation uncertainty visible.</t>
  </si>
  <si>
    <t>BUSINESS / DECISION RELEVANCE</t>
  </si>
  <si>
    <t>The same Monte Carlo logic can be used when business outcomes depend on uncertain inputs: generate plausible random outcomes, repeat the model, summarize the resulting distribution, and quantify uncertainty before making a decision. This exercise focuses on the simulation mechanics rather than a specific business application.</t>
  </si>
  <si>
    <t>MODEL FLOW</t>
  </si>
  <si>
    <t>INPUT  →  RANDOM SAMPLE  →  DISTANCE / HIT RULE  →  OUTPUT STATISTICS  →  UNCERTAINTY INTERPRETATION</t>
  </si>
  <si>
    <t>Model input</t>
  </si>
  <si>
    <t>Current value</t>
  </si>
  <si>
    <t>Output measure</t>
  </si>
  <si>
    <t>Radius</t>
  </si>
  <si>
    <t>Estimated hit probability</t>
  </si>
  <si>
    <t>Number of trials (n)</t>
  </si>
  <si>
    <t>Sample standard deviation</t>
  </si>
  <si>
    <t>Random coordinates</t>
  </si>
  <si>
    <t>x, y ~ Uniform(0,1)</t>
  </si>
  <si>
    <t>Approx. 95% confidence interval</t>
  </si>
  <si>
    <t>Interpretation note: A hit is a Bernoulli outcome (1 = inside the quarter circle; 0 = outside). The average of the hit indicators is therefore the simulated probability of a hit.</t>
  </si>
  <si>
    <t>input</t>
  </si>
  <si>
    <t>radius</t>
  </si>
  <si>
    <t>sample</t>
  </si>
  <si>
    <t>run</t>
  </si>
  <si>
    <t>x</t>
  </si>
  <si>
    <t>y</t>
  </si>
  <si>
    <t>d</t>
  </si>
  <si>
    <t>hit</t>
  </si>
  <si>
    <t>output</t>
  </si>
  <si>
    <t>n</t>
  </si>
  <si>
    <t>p</t>
  </si>
  <si>
    <t>s</t>
  </si>
  <si>
    <t>95%CI</t>
  </si>
  <si>
    <t>LB</t>
  </si>
  <si>
    <t>UB</t>
  </si>
  <si>
    <t>t</t>
  </si>
  <si>
    <t>cost</t>
  </si>
  <si>
    <t>sint</t>
  </si>
  <si>
    <t>Simulation Results &amp; Interpretation</t>
  </si>
  <si>
    <t>Monte Carlo Dart Game · Interpretation of the current simulation run</t>
  </si>
  <si>
    <t>CURRENT SIMULATION RESULTS</t>
  </si>
  <si>
    <t>Metric</t>
  </si>
  <si>
    <t>Current result</t>
  </si>
  <si>
    <t>Number of trials</t>
  </si>
  <si>
    <t>95% CI — lower bound</t>
  </si>
  <si>
    <t>95% CI — upper bound</t>
  </si>
  <si>
    <t>RESULT INTERPRETATION</t>
  </si>
  <si>
    <t>Because the x and y coordinates are generated with RAND(), recalculating the workbook produces a new random sample. The point estimate, sample standard deviation, and confidence interval can therefore change from one run to another. This variation is an expected feature of stochastic simulation, not an error in the model.</t>
  </si>
  <si>
    <t>WHAT THE EXERCISE DEMONSTRATES</t>
  </si>
  <si>
    <t>The model converts random inputs into a measurable output through a simple rule: each simulated point is classified as a hit or miss. Repeating that rule many times creates an empirical estimate of the underlying probability. The exercise therefore demonstrates the core Monte Carlo workflow used throughout simulation analysis: generate random inputs → evaluate each trial → aggregate outcomes → quantify uncertainty.</t>
  </si>
  <si>
    <t>BUSINESS / DECISION-MAKING INTERPRETATION</t>
  </si>
  <si>
    <t>The dart geometry itself is a teaching example, but the decision logic generalizes to business settings in which outcomes depend on uncertain inputs. For example, a simulated trial could represent a period of demand, a customer arrival, a supply disruption, or another uncertain operating condition. Managers can use repeated trials to estimate expected outcomes and the uncertainty around those estimates before evaluating a decision. The key lesson is to interpret both the estimated outcome and its uncertainty rather than relying on a single simulated value.</t>
  </si>
  <si>
    <t>Note: The results shown on this sheet are linked directly to the simulation formulas. They update whenever Excel recalculates the RAND() functions, so the written interpretation remains consistent with the current simulation run.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</si>
</sst>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
    <numFmt numFmtId="179" formatCode="0.0000"/>
  </numFmts>
  <fonts count="32">
    <font>
      <sz val="12"/>
      <color theme="1"/>
      <name val="Calibri"/>
      <charset val="134"/>
    </font>
    <font>
      <b/>
      <sz val="18"/>
      <color rgb="FFFFFFFF"/>
      <name val="Calibri"/>
      <charset val="134"/>
    </font>
    <font>
      <i/>
      <sz val="10"/>
      <color rgb="FF334155"/>
      <name val="Calibri"/>
      <charset val="134"/>
    </font>
    <font>
      <b/>
      <sz val="10"/>
      <color rgb="FFFFFFFF"/>
      <name val="Calibri"/>
      <charset val="134"/>
    </font>
    <font>
      <b/>
      <sz val="12"/>
      <color rgb="FF1F2937"/>
      <name val="Calibri"/>
      <charset val="134"/>
    </font>
    <font>
      <sz val="10"/>
      <color rgb="FF1F2937"/>
      <name val="Calibri"/>
      <charset val="134"/>
    </font>
    <font>
      <sz val="10"/>
      <color rgb="FF1F2937"/>
      <name val="Aptos"/>
      <charset val="134"/>
    </font>
    <font>
      <b/>
      <sz val="10"/>
      <color rgb="FFFFFFFF"/>
      <name val="Aptos"/>
      <charset val="134"/>
    </font>
    <font>
      <b/>
      <sz val="10"/>
      <color rgb="FF334155"/>
      <name val="Aptos"/>
      <charset val="134"/>
    </font>
    <font>
      <b/>
      <sz val="10"/>
      <color rgb="FF17365D"/>
      <name val="Aptos"/>
      <charset val="134"/>
    </font>
    <font>
      <b/>
      <sz val="10"/>
      <color rgb="FF1F2937"/>
      <name val="Aptos"/>
      <charset val="134"/>
    </font>
    <font>
      <sz val="12"/>
      <color rgb="FF1F2937"/>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D9E2F3"/>
        <bgColor indexed="64"/>
      </patternFill>
    </fill>
    <fill>
      <patternFill patternType="solid">
        <fgColor rgb="FFF8FAFC"/>
        <bgColor indexed="64"/>
      </patternFill>
    </fill>
    <fill>
      <patternFill patternType="solid">
        <fgColor rgb="FFEAF2F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B8C4D6"/>
      </left>
      <right style="thin">
        <color rgb="FFD9E2F3"/>
      </right>
      <top style="thin">
        <color rgb="FFB8C4D6"/>
      </top>
      <bottom style="thin">
        <color rgb="FFD9E2F3"/>
      </bottom>
      <diagonal/>
    </border>
    <border>
      <left style="thin">
        <color rgb="FFD9E2F3"/>
      </left>
      <right style="thin">
        <color rgb="FFB8C4D6"/>
      </right>
      <top style="thin">
        <color rgb="FFB8C4D6"/>
      </top>
      <bottom style="thin">
        <color rgb="FFD9E2F3"/>
      </bottom>
      <diagonal/>
    </border>
    <border>
      <left style="thin">
        <color rgb="FFB8C4D6"/>
      </left>
      <right style="thin">
        <color rgb="FFD9E2F3"/>
      </right>
      <top style="thin">
        <color rgb="FFD9E2F3"/>
      </top>
      <bottom style="thin">
        <color rgb="FFD9E2F3"/>
      </bottom>
      <diagonal/>
    </border>
    <border>
      <left style="thin">
        <color rgb="FFD9E2F3"/>
      </left>
      <right style="thin">
        <color rgb="FFB8C4D6"/>
      </right>
      <top style="thin">
        <color rgb="FFD9E2F3"/>
      </top>
      <bottom style="thin">
        <color rgb="FFD9E2F3"/>
      </bottom>
      <diagonal/>
    </border>
    <border>
      <left style="thin">
        <color rgb="FFB8C4D6"/>
      </left>
      <right style="thin">
        <color rgb="FFD9E2F3"/>
      </right>
      <top style="thin">
        <color rgb="FFD9E2F3"/>
      </top>
      <bottom style="thin">
        <color rgb="FFB8C4D6"/>
      </bottom>
      <diagonal/>
    </border>
    <border>
      <left style="thin">
        <color rgb="FFD9E2F3"/>
      </left>
      <right style="thin">
        <color rgb="FFB8C4D6"/>
      </right>
      <top style="thin">
        <color rgb="FFD9E2F3"/>
      </top>
      <bottom style="thin">
        <color rgb="FFB8C4D6"/>
      </bottom>
      <diagonal/>
    </border>
    <border>
      <left/>
      <right/>
      <top/>
      <bottom style="thin">
        <color rgb="FF17365D"/>
      </bottom>
      <diagonal/>
    </border>
    <border>
      <left/>
      <right/>
      <top/>
      <bottom style="hair">
        <color rgb="FFD9E2F3"/>
      </bottom>
      <diagonal/>
    </border>
    <border>
      <left style="thin">
        <color rgb="FFD9E2F3"/>
      </left>
      <right style="thin">
        <color rgb="FFD9E2F3"/>
      </right>
      <top style="thin">
        <color rgb="FFB8C4D6"/>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B8C4D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177"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8" borderId="1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3" applyNumberFormat="0" applyFill="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0" fillId="0" borderId="0" applyNumberFormat="0" applyFill="0" applyBorder="0" applyAlignment="0" applyProtection="0">
      <alignment vertical="center"/>
    </xf>
    <xf numFmtId="0" fontId="21" fillId="9" borderId="15" applyNumberFormat="0" applyAlignment="0" applyProtection="0">
      <alignment vertical="center"/>
    </xf>
    <xf numFmtId="0" fontId="22" fillId="10" borderId="16" applyNumberFormat="0" applyAlignment="0" applyProtection="0">
      <alignment vertical="center"/>
    </xf>
    <xf numFmtId="0" fontId="23" fillId="10" borderId="15" applyNumberFormat="0" applyAlignment="0" applyProtection="0">
      <alignment vertical="center"/>
    </xf>
    <xf numFmtId="0" fontId="24" fillId="11" borderId="17" applyNumberFormat="0" applyAlignment="0" applyProtection="0">
      <alignment vertical="center"/>
    </xf>
    <xf numFmtId="0" fontId="25" fillId="0" borderId="18" applyNumberFormat="0" applyFill="0" applyAlignment="0" applyProtection="0">
      <alignment vertical="center"/>
    </xf>
    <xf numFmtId="0" fontId="26" fillId="0" borderId="19" applyNumberFormat="0" applyFill="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0" fillId="38" borderId="0" applyNumberFormat="0" applyBorder="0" applyAlignment="0" applyProtection="0">
      <alignment vertical="center"/>
    </xf>
  </cellStyleXfs>
  <cellXfs count="39">
    <xf numFmtId="0" fontId="0" fillId="0" borderId="0" xfId="0"/>
    <xf numFmtId="0" fontId="1" fillId="2" borderId="0" xfId="0" applyNumberFormat="1" applyFont="1" applyFill="1" applyBorder="1" applyAlignment="1">
      <alignment vertical="center"/>
    </xf>
    <xf numFmtId="0" fontId="2" fillId="3" borderId="0" xfId="0" applyNumberFormat="1" applyFont="1" applyFill="1" applyBorder="1"/>
    <xf numFmtId="0" fontId="3" fillId="4" borderId="0" xfId="0" applyNumberFormat="1" applyFont="1" applyFill="1" applyBorder="1" applyAlignment="1">
      <alignment vertical="center"/>
    </xf>
    <xf numFmtId="0" fontId="4" fillId="5" borderId="1" xfId="0" applyNumberFormat="1" applyFont="1" applyFill="1" applyBorder="1"/>
    <xf numFmtId="0" fontId="4" fillId="5" borderId="2" xfId="0" applyNumberFormat="1" applyFont="1" applyFill="1" applyBorder="1"/>
    <xf numFmtId="0" fontId="0" fillId="0" borderId="3" xfId="0" applyNumberFormat="1" applyFont="1" applyFill="1" applyBorder="1"/>
    <xf numFmtId="1" fontId="0" fillId="0" borderId="4" xfId="0" applyNumberFormat="1" applyFont="1" applyFill="1" applyBorder="1"/>
    <xf numFmtId="178" fontId="0" fillId="0" borderId="4" xfId="0" applyNumberFormat="1" applyFont="1" applyFill="1" applyBorder="1"/>
    <xf numFmtId="0" fontId="0" fillId="0" borderId="5" xfId="0" applyNumberFormat="1" applyFont="1" applyFill="1" applyBorder="1"/>
    <xf numFmtId="178" fontId="0" fillId="0" borderId="6" xfId="0" applyNumberFormat="1" applyFont="1" applyFill="1" applyBorder="1"/>
    <xf numFmtId="0" fontId="5" fillId="6" borderId="0" xfId="0" applyNumberFormat="1" applyFont="1" applyFill="1" applyBorder="1" applyAlignment="1">
      <alignment vertical="top" wrapText="1"/>
    </xf>
    <xf numFmtId="0" fontId="6" fillId="0" borderId="0" xfId="0" applyNumberFormat="1" applyFont="1" applyFill="1" applyBorder="1"/>
    <xf numFmtId="0" fontId="7" fillId="2" borderId="0" xfId="0" applyNumberFormat="1" applyFont="1" applyFill="1" applyBorder="1" applyAlignment="1">
      <alignment vertical="center"/>
    </xf>
    <xf numFmtId="0" fontId="8" fillId="2" borderId="0" xfId="0" applyNumberFormat="1" applyFont="1" applyFill="1" applyBorder="1" applyAlignment="1">
      <alignment vertical="center"/>
    </xf>
    <xf numFmtId="0" fontId="8" fillId="0" borderId="0" xfId="0" applyNumberFormat="1" applyFont="1" applyFill="1" applyBorder="1"/>
    <xf numFmtId="0" fontId="7" fillId="2" borderId="7" xfId="0" applyNumberFormat="1" applyFont="1" applyFill="1" applyBorder="1" applyAlignment="1">
      <alignment horizontal="center" vertical="center"/>
    </xf>
    <xf numFmtId="0" fontId="6" fillId="0" borderId="0" xfId="0" applyNumberFormat="1" applyFont="1" applyFill="1" applyBorder="1" applyAlignment="1">
      <alignment horizontal="center" vertical="center"/>
    </xf>
    <xf numFmtId="179" fontId="6" fillId="0" borderId="0" xfId="0" applyNumberFormat="1" applyFont="1" applyFill="1" applyBorder="1" applyAlignment="1">
      <alignment horizontal="center" vertical="center"/>
    </xf>
    <xf numFmtId="1" fontId="6" fillId="0" borderId="0" xfId="0" applyNumberFormat="1" applyFont="1" applyFill="1" applyBorder="1" applyAlignment="1">
      <alignment horizontal="center" vertical="center"/>
    </xf>
    <xf numFmtId="178" fontId="9" fillId="7" borderId="0" xfId="0" applyNumberFormat="1" applyFont="1" applyFill="1" applyBorder="1"/>
    <xf numFmtId="0" fontId="10" fillId="5" borderId="0" xfId="0" applyNumberFormat="1" applyFont="1" applyFill="1" applyBorder="1"/>
    <xf numFmtId="178" fontId="6" fillId="0" borderId="0" xfId="0" applyNumberFormat="1" applyFont="1" applyFill="1" applyBorder="1"/>
    <xf numFmtId="178" fontId="6" fillId="0" borderId="8" xfId="0" applyNumberFormat="1" applyFont="1" applyFill="1" applyBorder="1"/>
    <xf numFmtId="0" fontId="6" fillId="0" borderId="8" xfId="0" applyNumberFormat="1" applyFont="1" applyFill="1" applyBorder="1" applyAlignment="1">
      <alignment horizontal="center" vertical="center"/>
    </xf>
    <xf numFmtId="179" fontId="6" fillId="0" borderId="8" xfId="0" applyNumberFormat="1" applyFont="1" applyFill="1" applyBorder="1" applyAlignment="1">
      <alignment horizontal="center" vertical="center"/>
    </xf>
    <xf numFmtId="1" fontId="6" fillId="0" borderId="8" xfId="0" applyNumberFormat="1" applyFont="1" applyFill="1" applyBorder="1" applyAlignment="1">
      <alignment horizontal="center" vertical="center"/>
    </xf>
    <xf numFmtId="0" fontId="1" fillId="2" borderId="0" xfId="0" applyNumberFormat="1" applyFont="1" applyFill="1" applyBorder="1" applyAlignment="1">
      <alignment horizontal="left" vertical="center"/>
    </xf>
    <xf numFmtId="0" fontId="2" fillId="3" borderId="0" xfId="0" applyNumberFormat="1" applyFont="1" applyFill="1" applyBorder="1" applyAlignment="1">
      <alignment vertical="center"/>
    </xf>
    <xf numFmtId="0" fontId="4" fillId="5" borderId="1" xfId="0" applyNumberFormat="1" applyFont="1" applyFill="1" applyBorder="1" applyAlignment="1">
      <alignment horizontal="center" vertical="center"/>
    </xf>
    <xf numFmtId="0" fontId="4" fillId="5" borderId="9" xfId="0" applyNumberFormat="1" applyFont="1" applyFill="1" applyBorder="1" applyAlignment="1">
      <alignment horizontal="center" vertical="center"/>
    </xf>
    <xf numFmtId="0" fontId="4" fillId="5" borderId="2" xfId="0" applyNumberFormat="1" applyFont="1" applyFill="1" applyBorder="1" applyAlignment="1">
      <alignment horizontal="center" vertical="center"/>
    </xf>
    <xf numFmtId="0" fontId="11" fillId="0" borderId="3" xfId="0" applyNumberFormat="1" applyFont="1" applyFill="1" applyBorder="1" applyAlignment="1">
      <alignment vertical="center"/>
    </xf>
    <xf numFmtId="1" fontId="11" fillId="0" borderId="10" xfId="0" applyNumberFormat="1" applyFont="1" applyFill="1" applyBorder="1" applyAlignment="1">
      <alignment vertical="center"/>
    </xf>
    <xf numFmtId="0" fontId="11" fillId="0" borderId="10" xfId="0" applyNumberFormat="1" applyFont="1" applyFill="1" applyBorder="1" applyAlignment="1">
      <alignment vertical="center"/>
    </xf>
    <xf numFmtId="178" fontId="11" fillId="0" borderId="4" xfId="0" applyNumberFormat="1" applyFont="1" applyFill="1" applyBorder="1" applyAlignment="1">
      <alignment vertical="center"/>
    </xf>
    <xf numFmtId="0" fontId="11" fillId="0" borderId="5" xfId="0" applyNumberFormat="1" applyFont="1" applyFill="1" applyBorder="1" applyAlignment="1">
      <alignment vertical="center"/>
    </xf>
    <xf numFmtId="0" fontId="11" fillId="0" borderId="11" xfId="0" applyNumberFormat="1" applyFont="1" applyFill="1" applyBorder="1" applyAlignment="1">
      <alignment vertical="center"/>
    </xf>
    <xf numFmtId="0" fontId="11" fillId="0" borderId="6" xfId="0" applyNumberFormat="1" applyFont="1" applyFill="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400" b="0" i="0" u="none">
                <a:solidFill>
                  <a:schemeClr val="tx1">
                    <a:lumMod val="65000"/>
                    <a:lumOff val="35000"/>
                  </a:schemeClr>
                </a:solidFill>
                <a:latin typeface="+mn-lt"/>
                <a:ea typeface="+mn-lt"/>
                <a:cs typeface="+mn-lt"/>
              </a:rPr>
              <a:t>y</a:t>
            </a:r>
            <a:endParaRPr sz="1400" b="0" i="0" u="none">
              <a:solidFill>
                <a:schemeClr val="tx1">
                  <a:lumMod val="65000"/>
                  <a:lumOff val="35000"/>
                </a:schemeClr>
              </a:solidFill>
              <a:latin typeface="+mn-lt"/>
              <a:ea typeface="+mn-lt"/>
              <a:cs typeface="+mn-lt"/>
            </a:endParaRPr>
          </a:p>
        </c:rich>
      </c:tx>
      <c:layout/>
      <c:overlay val="0"/>
    </c:title>
    <c:autoTitleDeleted val="0"/>
    <c:plotArea>
      <c:layout/>
      <c:scatterChart>
        <c:scatterStyle val="marker"/>
        <c:varyColors val="0"/>
        <c:ser>
          <c:idx val="0"/>
          <c:order val="0"/>
          <c:tx>
            <c:strRef>
              <c:f>Sheet1!$I$1</c:f>
              <c:strCache>
                <c:ptCount val="1"/>
                <c:pt idx="0">
                  <c:v>y</c:v>
                </c:pt>
              </c:strCache>
            </c:strRef>
          </c:tx>
          <c:spPr>
            <a:ln w="19050" cap="rnd">
              <a:noFill/>
              <a:prstDash val="solid"/>
              <a:round/>
            </a:ln>
          </c:spPr>
          <c:marker>
            <c:symbol val="circle"/>
            <c:size val="5"/>
            <c:spPr>
              <a:solidFill>
                <a:schemeClr val="accent1"/>
              </a:solidFill>
              <a:ln w="9525">
                <a:solidFill>
                  <a:schemeClr val="accent1"/>
                </a:solidFill>
                <a:prstDash val="solid"/>
                <a:round/>
              </a:ln>
            </c:spPr>
          </c:marker>
          <c:dLbls>
            <c:delete val="1"/>
          </c:dLbls>
          <c:xVal>
            <c:numRef>
              <c:f>Sheet1!$H$2:$H$101</c:f>
              <c:numCache>
                <c:formatCode>0.0000</c:formatCode>
                <c:ptCount val="100"/>
                <c:pt idx="0">
                  <c:v>0.00623420013842924</c:v>
                </c:pt>
                <c:pt idx="1">
                  <c:v>0.508502615875748</c:v>
                </c:pt>
                <c:pt idx="2">
                  <c:v>0.283472527764928</c:v>
                </c:pt>
                <c:pt idx="3">
                  <c:v>0.257572209851538</c:v>
                </c:pt>
                <c:pt idx="4">
                  <c:v>0.756096965879144</c:v>
                </c:pt>
                <c:pt idx="5">
                  <c:v>0.872775695832848</c:v>
                </c:pt>
                <c:pt idx="6">
                  <c:v>0.421865594239523</c:v>
                </c:pt>
                <c:pt idx="7">
                  <c:v>0.160540916437632</c:v>
                </c:pt>
                <c:pt idx="8">
                  <c:v>0.16781700224777</c:v>
                </c:pt>
                <c:pt idx="9">
                  <c:v>0.254986241573705</c:v>
                </c:pt>
                <c:pt idx="10">
                  <c:v>0.10138043294974</c:v>
                </c:pt>
                <c:pt idx="11">
                  <c:v>0.841353423144529</c:v>
                </c:pt>
                <c:pt idx="12">
                  <c:v>0.287129397938361</c:v>
                </c:pt>
                <c:pt idx="13">
                  <c:v>0.345478848468233</c:v>
                </c:pt>
                <c:pt idx="14">
                  <c:v>0.756084783475919</c:v>
                </c:pt>
                <c:pt idx="15">
                  <c:v>0.869387033708449</c:v>
                </c:pt>
                <c:pt idx="16">
                  <c:v>0.36649040883684</c:v>
                </c:pt>
                <c:pt idx="17">
                  <c:v>0.480993318234303</c:v>
                </c:pt>
                <c:pt idx="18">
                  <c:v>0.267972951915416</c:v>
                </c:pt>
                <c:pt idx="19">
                  <c:v>0.433191614179894</c:v>
                </c:pt>
                <c:pt idx="20">
                  <c:v>0.841353315947846</c:v>
                </c:pt>
                <c:pt idx="21">
                  <c:v>0.690578580567953</c:v>
                </c:pt>
                <c:pt idx="22">
                  <c:v>0.996037891372313</c:v>
                </c:pt>
                <c:pt idx="23">
                  <c:v>0.372285427324951</c:v>
                </c:pt>
                <c:pt idx="24">
                  <c:v>0.254979726310183</c:v>
                </c:pt>
                <c:pt idx="25">
                  <c:v>0.0554280139376435</c:v>
                </c:pt>
                <c:pt idx="26">
                  <c:v>0.887823674270112</c:v>
                </c:pt>
                <c:pt idx="27">
                  <c:v>0.561552215379982</c:v>
                </c:pt>
                <c:pt idx="28">
                  <c:v>0.372308815557827</c:v>
                </c:pt>
                <c:pt idx="29">
                  <c:v>0.210366138948457</c:v>
                </c:pt>
                <c:pt idx="30">
                  <c:v>0.86940057053846</c:v>
                </c:pt>
                <c:pt idx="31">
                  <c:v>0.552109003670415</c:v>
                </c:pt>
                <c:pt idx="32">
                  <c:v>0.413514757453024</c:v>
                </c:pt>
                <c:pt idx="33">
                  <c:v>0.287135563121001</c:v>
                </c:pt>
                <c:pt idx="34">
                  <c:v>0.409953237411164</c:v>
                </c:pt>
                <c:pt idx="35">
                  <c:v>0.925469980873024</c:v>
                </c:pt>
                <c:pt idx="36">
                  <c:v>0.415500750582452</c:v>
                </c:pt>
                <c:pt idx="37">
                  <c:v>0.934025058825507</c:v>
                </c:pt>
                <c:pt idx="38">
                  <c:v>0.015306100628387</c:v>
                </c:pt>
                <c:pt idx="39">
                  <c:v>0.697109896542137</c:v>
                </c:pt>
                <c:pt idx="40">
                  <c:v>0.621396237608128</c:v>
                </c:pt>
                <c:pt idx="41">
                  <c:v>0.480992179006697</c:v>
                </c:pt>
                <c:pt idx="42">
                  <c:v>0.236630769034489</c:v>
                </c:pt>
                <c:pt idx="43">
                  <c:v>0.592893500393635</c:v>
                </c:pt>
                <c:pt idx="44">
                  <c:v>0.892790802591964</c:v>
                </c:pt>
                <c:pt idx="45">
                  <c:v>0.42186671553917</c:v>
                </c:pt>
                <c:pt idx="46">
                  <c:v>0.287109808904962</c:v>
                </c:pt>
                <c:pt idx="47">
                  <c:v>0.368157104141407</c:v>
                </c:pt>
                <c:pt idx="48">
                  <c:v>0.756088559248631</c:v>
                </c:pt>
                <c:pt idx="49">
                  <c:v>0.415518955153913</c:v>
                </c:pt>
                <c:pt idx="50">
                  <c:v>0.47497319314945</c:v>
                </c:pt>
                <c:pt idx="51">
                  <c:v>0.267967887596077</c:v>
                </c:pt>
                <c:pt idx="52">
                  <c:v>0.137852538658928</c:v>
                </c:pt>
                <c:pt idx="53">
                  <c:v>0.214340456910283</c:v>
                </c:pt>
                <c:pt idx="54">
                  <c:v>0.0153052206195035</c:v>
                </c:pt>
                <c:pt idx="55">
                  <c:v>0.781395878055376</c:v>
                </c:pt>
                <c:pt idx="56">
                  <c:v>0.925458289329546</c:v>
                </c:pt>
                <c:pt idx="57">
                  <c:v>0.561549950645406</c:v>
                </c:pt>
                <c:pt idx="58">
                  <c:v>0.781395622068997</c:v>
                </c:pt>
                <c:pt idx="59">
                  <c:v>0.228762383548809</c:v>
                </c:pt>
                <c:pt idx="60">
                  <c:v>0.421873218240751</c:v>
                </c:pt>
                <c:pt idx="61">
                  <c:v>0.196158618910265</c:v>
                </c:pt>
                <c:pt idx="62">
                  <c:v>0.22876122407585</c:v>
                </c:pt>
                <c:pt idx="63">
                  <c:v>0.841346957819543</c:v>
                </c:pt>
                <c:pt idx="64">
                  <c:v>0.516336970730339</c:v>
                </c:pt>
                <c:pt idx="65">
                  <c:v>0.508504796176474</c:v>
                </c:pt>
                <c:pt idx="66">
                  <c:v>0.366515974505533</c:v>
                </c:pt>
                <c:pt idx="67">
                  <c:v>0.366507043846001</c:v>
                </c:pt>
                <c:pt idx="68">
                  <c:v>0.690576103047996</c:v>
                </c:pt>
                <c:pt idx="69">
                  <c:v>0.409967506106105</c:v>
                </c:pt>
                <c:pt idx="70">
                  <c:v>0.00624263734797359</c:v>
                </c:pt>
                <c:pt idx="71">
                  <c:v>0.697107383528241</c:v>
                </c:pt>
                <c:pt idx="72">
                  <c:v>0.697083354447208</c:v>
                </c:pt>
                <c:pt idx="73">
                  <c:v>0.101392589206811</c:v>
                </c:pt>
                <c:pt idx="74">
                  <c:v>0.297724616169434</c:v>
                </c:pt>
                <c:pt idx="75">
                  <c:v>0.697089324144876</c:v>
                </c:pt>
                <c:pt idx="76">
                  <c:v>0.946907657103388</c:v>
                </c:pt>
                <c:pt idx="77">
                  <c:v>0.946907913231648</c:v>
                </c:pt>
                <c:pt idx="78">
                  <c:v>0.711921040616102</c:v>
                </c:pt>
                <c:pt idx="79">
                  <c:v>0.481017823141136</c:v>
                </c:pt>
                <c:pt idx="80">
                  <c:v>0.372297401573943</c:v>
                </c:pt>
                <c:pt idx="81">
                  <c:v>0.756078810846041</c:v>
                </c:pt>
                <c:pt idx="82">
                  <c:v>0.42382847507845</c:v>
                </c:pt>
                <c:pt idx="83">
                  <c:v>0.67548111567713</c:v>
                </c:pt>
                <c:pt idx="84">
                  <c:v>0.781379905365723</c:v>
                </c:pt>
                <c:pt idx="85">
                  <c:v>0.354249830117497</c:v>
                </c:pt>
                <c:pt idx="86">
                  <c:v>0.055427819886035</c:v>
                </c:pt>
                <c:pt idx="87">
                  <c:v>0.931340659921486</c:v>
                </c:pt>
                <c:pt idx="88">
                  <c:v>0.474972790390635</c:v>
                </c:pt>
                <c:pt idx="89">
                  <c:v>0.287133987756125</c:v>
                </c:pt>
                <c:pt idx="90">
                  <c:v>0.869390649177262</c:v>
                </c:pt>
                <c:pt idx="91">
                  <c:v>0.508505887733825</c:v>
                </c:pt>
                <c:pt idx="92">
                  <c:v>0.996060439788695</c:v>
                </c:pt>
                <c:pt idx="93">
                  <c:v>0.213075312847507</c:v>
                </c:pt>
                <c:pt idx="94">
                  <c:v>0.101393421110701</c:v>
                </c:pt>
                <c:pt idx="95">
                  <c:v>0.257575864053911</c:v>
                </c:pt>
                <c:pt idx="96">
                  <c:v>0.257577111151228</c:v>
                </c:pt>
                <c:pt idx="97">
                  <c:v>0.921378157986888</c:v>
                </c:pt>
                <c:pt idx="98">
                  <c:v>0.196142217464801</c:v>
                </c:pt>
                <c:pt idx="99">
                  <c:v>0.409957633133663</c:v>
                </c:pt>
              </c:numCache>
            </c:numRef>
          </c:xVal>
          <c:yVal>
            <c:numRef>
              <c:f>Sheet1!$I$2:$I$101</c:f>
              <c:numCache>
                <c:formatCode>0.0000</c:formatCode>
                <c:ptCount val="100"/>
                <c:pt idx="0">
                  <c:v>0.404717529604314</c:v>
                </c:pt>
                <c:pt idx="1">
                  <c:v>0.409947508622272</c:v>
                </c:pt>
                <c:pt idx="2">
                  <c:v>0.690572947868995</c:v>
                </c:pt>
                <c:pt idx="3">
                  <c:v>0.196156090245783</c:v>
                </c:pt>
                <c:pt idx="4">
                  <c:v>0.196137659826779</c:v>
                </c:pt>
                <c:pt idx="5">
                  <c:v>0.345486132076516</c:v>
                </c:pt>
                <c:pt idx="6">
                  <c:v>0.214326726357901</c:v>
                </c:pt>
                <c:pt idx="7">
                  <c:v>0.934049462816626</c:v>
                </c:pt>
                <c:pt idx="8">
                  <c:v>0.691210913640461</c:v>
                </c:pt>
                <c:pt idx="9">
                  <c:v>0.946909439583856</c:v>
                </c:pt>
                <c:pt idx="10">
                  <c:v>0.433192091684621</c:v>
                </c:pt>
                <c:pt idx="11">
                  <c:v>0.372298183461081</c:v>
                </c:pt>
                <c:pt idx="12">
                  <c:v>0.711919294759167</c:v>
                </c:pt>
                <c:pt idx="13">
                  <c:v>0.0554401928647796</c:v>
                </c:pt>
                <c:pt idx="14">
                  <c:v>0.283463286236468</c:v>
                </c:pt>
                <c:pt idx="15">
                  <c:v>0.433174613204617</c:v>
                </c:pt>
                <c:pt idx="16">
                  <c:v>0.00625487766964006</c:v>
                </c:pt>
                <c:pt idx="17">
                  <c:v>0.423856188235119</c:v>
                </c:pt>
                <c:pt idx="18">
                  <c:v>0.167838686012996</c:v>
                </c:pt>
                <c:pt idx="19">
                  <c:v>0.892778730230322</c:v>
                </c:pt>
                <c:pt idx="20">
                  <c:v>0.137866830846116</c:v>
                </c:pt>
                <c:pt idx="21">
                  <c:v>0.946917234739253</c:v>
                </c:pt>
                <c:pt idx="22">
                  <c:v>0.506327153629532</c:v>
                </c:pt>
                <c:pt idx="23">
                  <c:v>0.986433735238774</c:v>
                </c:pt>
                <c:pt idx="24">
                  <c:v>0.228772143029044</c:v>
                </c:pt>
                <c:pt idx="25">
                  <c:v>0.62139755352327</c:v>
                </c:pt>
                <c:pt idx="26">
                  <c:v>0.0877292185824596</c:v>
                </c:pt>
                <c:pt idx="27">
                  <c:v>0.0153159399531624</c:v>
                </c:pt>
                <c:pt idx="28">
                  <c:v>0.872795121226323</c:v>
                </c:pt>
                <c:pt idx="29">
                  <c:v>0.690556791179469</c:v>
                </c:pt>
                <c:pt idx="30">
                  <c:v>0.675487673705093</c:v>
                </c:pt>
                <c:pt idx="31">
                  <c:v>0.691209032616243</c:v>
                </c:pt>
                <c:pt idx="32">
                  <c:v>0.65561597245155</c:v>
                </c:pt>
                <c:pt idx="33">
                  <c:v>0.508510808576737</c:v>
                </c:pt>
                <c:pt idx="34">
                  <c:v>0.711918499586131</c:v>
                </c:pt>
                <c:pt idx="35">
                  <c:v>0.409955609356976</c:v>
                </c:pt>
                <c:pt idx="36">
                  <c:v>0.9213584364583</c:v>
                </c:pt>
                <c:pt idx="37">
                  <c:v>0.287125441421768</c:v>
                </c:pt>
                <c:pt idx="38">
                  <c:v>0.892768320461375</c:v>
                </c:pt>
                <c:pt idx="39">
                  <c:v>0.443377879415734</c:v>
                </c:pt>
                <c:pt idx="40">
                  <c:v>0.319884310834595</c:v>
                </c:pt>
                <c:pt idx="41">
                  <c:v>0.925469148779959</c:v>
                </c:pt>
                <c:pt idx="42">
                  <c:v>0.160532567027068</c:v>
                </c:pt>
                <c:pt idx="43">
                  <c:v>0.50632989659825</c:v>
                </c:pt>
                <c:pt idx="44">
                  <c:v>0.213085532068219</c:v>
                </c:pt>
                <c:pt idx="45">
                  <c:v>0.801508896468871</c:v>
                </c:pt>
                <c:pt idx="46">
                  <c:v>0.621368754264399</c:v>
                </c:pt>
                <c:pt idx="47">
                  <c:v>0.50633505539408</c:v>
                </c:pt>
                <c:pt idx="48">
                  <c:v>0.404712861873778</c:v>
                </c:pt>
                <c:pt idx="49">
                  <c:v>0.423850663727832</c:v>
                </c:pt>
                <c:pt idx="50">
                  <c:v>0.43319325446814</c:v>
                </c:pt>
                <c:pt idx="51">
                  <c:v>0.415513575862007</c:v>
                </c:pt>
                <c:pt idx="52">
                  <c:v>0.421849683946664</c:v>
                </c:pt>
                <c:pt idx="53">
                  <c:v>0.65561009777425</c:v>
                </c:pt>
                <c:pt idx="54">
                  <c:v>0.592879584007839</c:v>
                </c:pt>
                <c:pt idx="55">
                  <c:v>0.167831096106906</c:v>
                </c:pt>
                <c:pt idx="56">
                  <c:v>0.506346161572215</c:v>
                </c:pt>
                <c:pt idx="57">
                  <c:v>0.167818393270804</c:v>
                </c:pt>
                <c:pt idx="58">
                  <c:v>0.621382215700937</c:v>
                </c:pt>
                <c:pt idx="59">
                  <c:v>0.869389115894706</c:v>
                </c:pt>
                <c:pt idx="60">
                  <c:v>0.137865171223831</c:v>
                </c:pt>
                <c:pt idx="61">
                  <c:v>0.934033348349483</c:v>
                </c:pt>
                <c:pt idx="62">
                  <c:v>0.345480838288026</c:v>
                </c:pt>
                <c:pt idx="63">
                  <c:v>0.345476257059531</c:v>
                </c:pt>
                <c:pt idx="64">
                  <c:v>0.35426460444056</c:v>
                </c:pt>
                <c:pt idx="65">
                  <c:v>0.137875165726593</c:v>
                </c:pt>
                <c:pt idx="66">
                  <c:v>0.443375113133029</c:v>
                </c:pt>
                <c:pt idx="67">
                  <c:v>0.921370783321814</c:v>
                </c:pt>
                <c:pt idx="68">
                  <c:v>0.781383507595931</c:v>
                </c:pt>
                <c:pt idx="69">
                  <c:v>0.254994911157326</c:v>
                </c:pt>
                <c:pt idx="70">
                  <c:v>0.415511763151755</c:v>
                </c:pt>
                <c:pt idx="71">
                  <c:v>0.236625537042526</c:v>
                </c:pt>
                <c:pt idx="72">
                  <c:v>0.55211344205913</c:v>
                </c:pt>
                <c:pt idx="73">
                  <c:v>0.986438606974429</c:v>
                </c:pt>
                <c:pt idx="74">
                  <c:v>0.267948966753883</c:v>
                </c:pt>
                <c:pt idx="75">
                  <c:v>0.42382950047188</c:v>
                </c:pt>
                <c:pt idx="76">
                  <c:v>0.0153163136136036</c:v>
                </c:pt>
                <c:pt idx="77">
                  <c:v>0.0554239493112338</c:v>
                </c:pt>
                <c:pt idx="78">
                  <c:v>0.236616830024102</c:v>
                </c:pt>
                <c:pt idx="79">
                  <c:v>0.996055462689898</c:v>
                </c:pt>
                <c:pt idx="80">
                  <c:v>0.210362714051526</c:v>
                </c:pt>
                <c:pt idx="81">
                  <c:v>0.675498256028832</c:v>
                </c:pt>
                <c:pt idx="82">
                  <c:v>0.662542834883469</c:v>
                </c:pt>
                <c:pt idx="83">
                  <c:v>0.92545144058706</c:v>
                </c:pt>
                <c:pt idx="84">
                  <c:v>0.354252856706681</c:v>
                </c:pt>
                <c:pt idx="85">
                  <c:v>0.781382829985999</c:v>
                </c:pt>
                <c:pt idx="86">
                  <c:v>0.946899984977158</c:v>
                </c:pt>
                <c:pt idx="87">
                  <c:v>0.925447858984191</c:v>
                </c:pt>
                <c:pt idx="88">
                  <c:v>0.865243876356344</c:v>
                </c:pt>
                <c:pt idx="89">
                  <c:v>0.00625543032591458</c:v>
                </c:pt>
                <c:pt idx="90">
                  <c:v>0.137850664770605</c:v>
                </c:pt>
                <c:pt idx="91">
                  <c:v>0.474957456562803</c:v>
                </c:pt>
                <c:pt idx="92">
                  <c:v>0.160548146620378</c:v>
                </c:pt>
                <c:pt idx="93">
                  <c:v>0.423846631623134</c:v>
                </c:pt>
                <c:pt idx="94">
                  <c:v>0.934041720149987</c:v>
                </c:pt>
                <c:pt idx="95">
                  <c:v>0.167819170401285</c:v>
                </c:pt>
                <c:pt idx="96">
                  <c:v>0.368154145573332</c:v>
                </c:pt>
                <c:pt idx="97">
                  <c:v>0.443388356909295</c:v>
                </c:pt>
                <c:pt idx="98">
                  <c:v>0.691216529943049</c:v>
                </c:pt>
                <c:pt idx="99">
                  <c:v>0.257594751672264</c:v>
                </c:pt>
              </c:numCache>
            </c:numRef>
          </c:yVal>
          <c:smooth val="1"/>
        </c:ser>
        <c:dLbls>
          <c:showLegendKey val="0"/>
          <c:showVal val="0"/>
          <c:showCatName val="0"/>
          <c:showSerName val="0"/>
          <c:showPercent val="0"/>
          <c:showBubbleSize val="0"/>
        </c:dLbls>
        <c:axId val="650367503"/>
        <c:axId val="650270991"/>
      </c:scatterChart>
      <c:valAx>
        <c:axId val="650367503"/>
        <c:scaling>
          <c:orientation val="minMax"/>
        </c:scaling>
        <c:delete val="0"/>
        <c:axPos val="b"/>
        <c:majorGridlines>
          <c:spPr>
            <a:ln w="9525" cmpd="sng">
              <a:solidFill>
                <a:schemeClr val="tx1">
                  <a:lumMod val="15000"/>
                  <a:lumOff val="85000"/>
                </a:schemeClr>
              </a:solidFill>
              <a:prstDash val="solid"/>
              <a:round/>
            </a:ln>
          </c:spPr>
        </c:majorGridlines>
        <c:numFmt formatCode="0.0000"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650270991"/>
        <c:crosses val="autoZero"/>
        <c:crossBetween val="midCat"/>
      </c:valAx>
      <c:valAx>
        <c:axId val="650270991"/>
        <c:scaling>
          <c:orientation val="minMax"/>
        </c:scaling>
        <c:delete val="0"/>
        <c:axPos val="l"/>
        <c:majorGridlines>
          <c:spPr>
            <a:ln w="9525" cmpd="sng">
              <a:solidFill>
                <a:schemeClr val="tx1">
                  <a:lumMod val="15000"/>
                  <a:lumOff val="85000"/>
                </a:schemeClr>
              </a:solidFill>
              <a:prstDash val="solid"/>
              <a:round/>
            </a:ln>
          </c:spPr>
        </c:majorGridlines>
        <c:numFmt formatCode="0.0000"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650367503"/>
        <c:crosses val="autoZero"/>
        <c:crossBetween val="midCat"/>
      </c:valAx>
      <c:spPr>
        <a:noFill/>
        <a:ln>
          <a:noFill/>
        </a:ln>
      </c:spPr>
    </c:plotArea>
    <c:plotVisOnly val="1"/>
    <c:dispBlanksAs val="gap"/>
    <c:showDLblsOverMax val="0"/>
    <c:extLst>
      <c:ext uri="{0b15fc19-7d7d-44ad-8c2d-2c3a37ce22c3}">
        <chartProps xmlns="https://web.wps.cn/et/2018/main" chartId="{135167e1-70fb-41b4-a5c3-bccdbab99724}"/>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xPr>
        <a:bodyPr rot="0" spcFirstLastPara="0" vertOverflow="ellipsis" vert="horz" wrap="square" anchor="ctr" anchorCtr="1"/>
        <a:lstStyle/>
        <a:p>
          <a:pPr>
            <a:defRPr lang="en-US" sz="1400" b="0" i="0" u="none" strike="noStrike" kern="1200" baseline="0">
              <a:solidFill>
                <a:schemeClr val="tx1">
                  <a:lumMod val="65000"/>
                  <a:lumOff val="35000"/>
                </a:schemeClr>
              </a:solidFill>
              <a:latin typeface="+mn-lt"/>
              <a:ea typeface="+mn-lt"/>
              <a:cs typeface="+mn-lt"/>
            </a:defRPr>
          </a:pPr>
        </a:p>
      </c:txPr>
    </c:title>
    <c:autoTitleDeleted val="0"/>
    <c:plotArea>
      <c:layout/>
      <c:scatterChart>
        <c:scatterStyle val="marker"/>
        <c:varyColors val="0"/>
        <c:ser>
          <c:idx val="0"/>
          <c:order val="0"/>
          <c:spPr>
            <a:ln w="25400" cap="rnd">
              <a:noFill/>
              <a:prstDash val="solid"/>
              <a:round/>
            </a:ln>
          </c:spPr>
          <c:marker>
            <c:symbol val="circle"/>
            <c:size val="5"/>
            <c:spPr>
              <a:solidFill>
                <a:schemeClr val="accent2"/>
              </a:solidFill>
              <a:ln w="9525">
                <a:solidFill>
                  <a:schemeClr val="accent2"/>
                </a:solidFill>
                <a:prstDash val="solid"/>
                <a:round/>
              </a:ln>
            </c:spPr>
          </c:marker>
          <c:dLbls>
            <c:delete val="1"/>
          </c:dLbls>
          <c:xVal>
            <c:numRef>
              <c:f>Sheet1!$H$2:$H$101</c:f>
              <c:numCache>
                <c:formatCode>0.0000</c:formatCode>
                <c:ptCount val="100"/>
                <c:pt idx="0">
                  <c:v>0.00623420013842924</c:v>
                </c:pt>
                <c:pt idx="1">
                  <c:v>0.508502615875748</c:v>
                </c:pt>
                <c:pt idx="2">
                  <c:v>0.283472527764928</c:v>
                </c:pt>
                <c:pt idx="3">
                  <c:v>0.257572209851538</c:v>
                </c:pt>
                <c:pt idx="4">
                  <c:v>0.756096965879144</c:v>
                </c:pt>
                <c:pt idx="5">
                  <c:v>0.872775695832848</c:v>
                </c:pt>
                <c:pt idx="6">
                  <c:v>0.421865594239523</c:v>
                </c:pt>
                <c:pt idx="7">
                  <c:v>0.160540916437632</c:v>
                </c:pt>
                <c:pt idx="8">
                  <c:v>0.16781700224777</c:v>
                </c:pt>
                <c:pt idx="9">
                  <c:v>0.254986241573705</c:v>
                </c:pt>
                <c:pt idx="10">
                  <c:v>0.10138043294974</c:v>
                </c:pt>
                <c:pt idx="11">
                  <c:v>0.841353423144529</c:v>
                </c:pt>
                <c:pt idx="12">
                  <c:v>0.287129397938361</c:v>
                </c:pt>
                <c:pt idx="13">
                  <c:v>0.345478848468233</c:v>
                </c:pt>
                <c:pt idx="14">
                  <c:v>0.756084783475919</c:v>
                </c:pt>
                <c:pt idx="15">
                  <c:v>0.869387033708449</c:v>
                </c:pt>
                <c:pt idx="16">
                  <c:v>0.36649040883684</c:v>
                </c:pt>
                <c:pt idx="17">
                  <c:v>0.480993318234303</c:v>
                </c:pt>
                <c:pt idx="18">
                  <c:v>0.267972951915416</c:v>
                </c:pt>
                <c:pt idx="19">
                  <c:v>0.433191614179894</c:v>
                </c:pt>
                <c:pt idx="20">
                  <c:v>0.841353315947846</c:v>
                </c:pt>
                <c:pt idx="21">
                  <c:v>0.690578580567953</c:v>
                </c:pt>
                <c:pt idx="22">
                  <c:v>0.996037891372313</c:v>
                </c:pt>
                <c:pt idx="23">
                  <c:v>0.372285427324951</c:v>
                </c:pt>
                <c:pt idx="24">
                  <c:v>0.254979726310183</c:v>
                </c:pt>
                <c:pt idx="25">
                  <c:v>0.0554280139376435</c:v>
                </c:pt>
                <c:pt idx="26">
                  <c:v>0.887823674270112</c:v>
                </c:pt>
                <c:pt idx="27">
                  <c:v>0.561552215379982</c:v>
                </c:pt>
                <c:pt idx="28">
                  <c:v>0.372308815557827</c:v>
                </c:pt>
                <c:pt idx="29">
                  <c:v>0.210366138948457</c:v>
                </c:pt>
                <c:pt idx="30">
                  <c:v>0.86940057053846</c:v>
                </c:pt>
                <c:pt idx="31">
                  <c:v>0.552109003670415</c:v>
                </c:pt>
                <c:pt idx="32">
                  <c:v>0.413514757453024</c:v>
                </c:pt>
                <c:pt idx="33">
                  <c:v>0.287135563121001</c:v>
                </c:pt>
                <c:pt idx="34">
                  <c:v>0.409953237411164</c:v>
                </c:pt>
                <c:pt idx="35">
                  <c:v>0.925469980873024</c:v>
                </c:pt>
                <c:pt idx="36">
                  <c:v>0.415500750582452</c:v>
                </c:pt>
                <c:pt idx="37">
                  <c:v>0.934025058825507</c:v>
                </c:pt>
                <c:pt idx="38">
                  <c:v>0.015306100628387</c:v>
                </c:pt>
                <c:pt idx="39">
                  <c:v>0.697109896542137</c:v>
                </c:pt>
                <c:pt idx="40">
                  <c:v>0.621396237608128</c:v>
                </c:pt>
                <c:pt idx="41">
                  <c:v>0.480992179006697</c:v>
                </c:pt>
                <c:pt idx="42">
                  <c:v>0.236630769034489</c:v>
                </c:pt>
                <c:pt idx="43">
                  <c:v>0.592893500393635</c:v>
                </c:pt>
                <c:pt idx="44">
                  <c:v>0.892790802591964</c:v>
                </c:pt>
                <c:pt idx="45">
                  <c:v>0.42186671553917</c:v>
                </c:pt>
                <c:pt idx="46">
                  <c:v>0.287109808904962</c:v>
                </c:pt>
                <c:pt idx="47">
                  <c:v>0.368157104141407</c:v>
                </c:pt>
                <c:pt idx="48">
                  <c:v>0.756088559248631</c:v>
                </c:pt>
                <c:pt idx="49">
                  <c:v>0.415518955153913</c:v>
                </c:pt>
                <c:pt idx="50">
                  <c:v>0.47497319314945</c:v>
                </c:pt>
                <c:pt idx="51">
                  <c:v>0.267967887596077</c:v>
                </c:pt>
                <c:pt idx="52">
                  <c:v>0.137852538658928</c:v>
                </c:pt>
                <c:pt idx="53">
                  <c:v>0.214340456910283</c:v>
                </c:pt>
                <c:pt idx="54">
                  <c:v>0.0153052206195035</c:v>
                </c:pt>
                <c:pt idx="55">
                  <c:v>0.781395878055376</c:v>
                </c:pt>
                <c:pt idx="56">
                  <c:v>0.925458289329546</c:v>
                </c:pt>
                <c:pt idx="57">
                  <c:v>0.561549950645406</c:v>
                </c:pt>
                <c:pt idx="58">
                  <c:v>0.781395622068997</c:v>
                </c:pt>
                <c:pt idx="59">
                  <c:v>0.228762383548809</c:v>
                </c:pt>
                <c:pt idx="60">
                  <c:v>0.421873218240751</c:v>
                </c:pt>
                <c:pt idx="61">
                  <c:v>0.196158618910265</c:v>
                </c:pt>
                <c:pt idx="62">
                  <c:v>0.22876122407585</c:v>
                </c:pt>
                <c:pt idx="63">
                  <c:v>0.841346957819543</c:v>
                </c:pt>
                <c:pt idx="64">
                  <c:v>0.516336970730339</c:v>
                </c:pt>
                <c:pt idx="65">
                  <c:v>0.508504796176474</c:v>
                </c:pt>
                <c:pt idx="66">
                  <c:v>0.366515974505533</c:v>
                </c:pt>
                <c:pt idx="67">
                  <c:v>0.366507043846001</c:v>
                </c:pt>
                <c:pt idx="68">
                  <c:v>0.690576103047996</c:v>
                </c:pt>
                <c:pt idx="69">
                  <c:v>0.409967506106105</c:v>
                </c:pt>
                <c:pt idx="70">
                  <c:v>0.00624263734797359</c:v>
                </c:pt>
                <c:pt idx="71">
                  <c:v>0.697107383528241</c:v>
                </c:pt>
                <c:pt idx="72">
                  <c:v>0.697083354447208</c:v>
                </c:pt>
                <c:pt idx="73">
                  <c:v>0.101392589206811</c:v>
                </c:pt>
                <c:pt idx="74">
                  <c:v>0.297724616169434</c:v>
                </c:pt>
                <c:pt idx="75">
                  <c:v>0.697089324144876</c:v>
                </c:pt>
                <c:pt idx="76">
                  <c:v>0.946907657103388</c:v>
                </c:pt>
                <c:pt idx="77">
                  <c:v>0.946907913231648</c:v>
                </c:pt>
                <c:pt idx="78">
                  <c:v>0.711921040616102</c:v>
                </c:pt>
                <c:pt idx="79">
                  <c:v>0.481017823141136</c:v>
                </c:pt>
                <c:pt idx="80">
                  <c:v>0.372297401573943</c:v>
                </c:pt>
                <c:pt idx="81">
                  <c:v>0.756078810846041</c:v>
                </c:pt>
                <c:pt idx="82">
                  <c:v>0.42382847507845</c:v>
                </c:pt>
                <c:pt idx="83">
                  <c:v>0.67548111567713</c:v>
                </c:pt>
                <c:pt idx="84">
                  <c:v>0.781379905365723</c:v>
                </c:pt>
                <c:pt idx="85">
                  <c:v>0.354249830117497</c:v>
                </c:pt>
                <c:pt idx="86">
                  <c:v>0.055427819886035</c:v>
                </c:pt>
                <c:pt idx="87">
                  <c:v>0.931340659921486</c:v>
                </c:pt>
                <c:pt idx="88">
                  <c:v>0.474972790390635</c:v>
                </c:pt>
                <c:pt idx="89">
                  <c:v>0.287133987756125</c:v>
                </c:pt>
                <c:pt idx="90">
                  <c:v>0.869390649177262</c:v>
                </c:pt>
                <c:pt idx="91">
                  <c:v>0.508505887733825</c:v>
                </c:pt>
                <c:pt idx="92">
                  <c:v>0.996060439788695</c:v>
                </c:pt>
                <c:pt idx="93">
                  <c:v>0.213075312847507</c:v>
                </c:pt>
                <c:pt idx="94">
                  <c:v>0.101393421110701</c:v>
                </c:pt>
                <c:pt idx="95">
                  <c:v>0.257575864053911</c:v>
                </c:pt>
                <c:pt idx="96">
                  <c:v>0.257577111151228</c:v>
                </c:pt>
                <c:pt idx="97">
                  <c:v>0.921378157986888</c:v>
                </c:pt>
                <c:pt idx="98">
                  <c:v>0.196142217464801</c:v>
                </c:pt>
                <c:pt idx="99">
                  <c:v>0.409957633133663</c:v>
                </c:pt>
              </c:numCache>
            </c:numRef>
          </c:xVal>
          <c:yVal>
            <c:numRef>
              <c:f>Sheet1!$I$2:$I$101</c:f>
              <c:numCache>
                <c:formatCode>0.0000</c:formatCode>
                <c:ptCount val="100"/>
                <c:pt idx="0">
                  <c:v>0.404717529604314</c:v>
                </c:pt>
                <c:pt idx="1">
                  <c:v>0.409947508622272</c:v>
                </c:pt>
                <c:pt idx="2">
                  <c:v>0.690572947868995</c:v>
                </c:pt>
                <c:pt idx="3">
                  <c:v>0.196156090245783</c:v>
                </c:pt>
                <c:pt idx="4">
                  <c:v>0.196137659826779</c:v>
                </c:pt>
                <c:pt idx="5">
                  <c:v>0.345486132076516</c:v>
                </c:pt>
                <c:pt idx="6">
                  <c:v>0.214326726357901</c:v>
                </c:pt>
                <c:pt idx="7">
                  <c:v>0.934049462816626</c:v>
                </c:pt>
                <c:pt idx="8">
                  <c:v>0.691210913640461</c:v>
                </c:pt>
                <c:pt idx="9">
                  <c:v>0.946909439583856</c:v>
                </c:pt>
                <c:pt idx="10">
                  <c:v>0.433192091684621</c:v>
                </c:pt>
                <c:pt idx="11">
                  <c:v>0.372298183461081</c:v>
                </c:pt>
                <c:pt idx="12">
                  <c:v>0.711919294759167</c:v>
                </c:pt>
                <c:pt idx="13">
                  <c:v>0.0554401928647796</c:v>
                </c:pt>
                <c:pt idx="14">
                  <c:v>0.283463286236468</c:v>
                </c:pt>
                <c:pt idx="15">
                  <c:v>0.433174613204617</c:v>
                </c:pt>
                <c:pt idx="16">
                  <c:v>0.00625487766964006</c:v>
                </c:pt>
                <c:pt idx="17">
                  <c:v>0.423856188235119</c:v>
                </c:pt>
                <c:pt idx="18">
                  <c:v>0.167838686012996</c:v>
                </c:pt>
                <c:pt idx="19">
                  <c:v>0.892778730230322</c:v>
                </c:pt>
                <c:pt idx="20">
                  <c:v>0.137866830846116</c:v>
                </c:pt>
                <c:pt idx="21">
                  <c:v>0.946917234739253</c:v>
                </c:pt>
                <c:pt idx="22">
                  <c:v>0.506327153629532</c:v>
                </c:pt>
                <c:pt idx="23">
                  <c:v>0.986433735238774</c:v>
                </c:pt>
                <c:pt idx="24">
                  <c:v>0.228772143029044</c:v>
                </c:pt>
                <c:pt idx="25">
                  <c:v>0.62139755352327</c:v>
                </c:pt>
                <c:pt idx="26">
                  <c:v>0.0877292185824596</c:v>
                </c:pt>
                <c:pt idx="27">
                  <c:v>0.0153159399531624</c:v>
                </c:pt>
                <c:pt idx="28">
                  <c:v>0.872795121226323</c:v>
                </c:pt>
                <c:pt idx="29">
                  <c:v>0.690556791179469</c:v>
                </c:pt>
                <c:pt idx="30">
                  <c:v>0.675487673705093</c:v>
                </c:pt>
                <c:pt idx="31">
                  <c:v>0.691209032616243</c:v>
                </c:pt>
                <c:pt idx="32">
                  <c:v>0.65561597245155</c:v>
                </c:pt>
                <c:pt idx="33">
                  <c:v>0.508510808576737</c:v>
                </c:pt>
                <c:pt idx="34">
                  <c:v>0.711918499586131</c:v>
                </c:pt>
                <c:pt idx="35">
                  <c:v>0.409955609356976</c:v>
                </c:pt>
                <c:pt idx="36">
                  <c:v>0.9213584364583</c:v>
                </c:pt>
                <c:pt idx="37">
                  <c:v>0.287125441421768</c:v>
                </c:pt>
                <c:pt idx="38">
                  <c:v>0.892768320461375</c:v>
                </c:pt>
                <c:pt idx="39">
                  <c:v>0.443377879415734</c:v>
                </c:pt>
                <c:pt idx="40">
                  <c:v>0.319884310834595</c:v>
                </c:pt>
                <c:pt idx="41">
                  <c:v>0.925469148779959</c:v>
                </c:pt>
                <c:pt idx="42">
                  <c:v>0.160532567027068</c:v>
                </c:pt>
                <c:pt idx="43">
                  <c:v>0.50632989659825</c:v>
                </c:pt>
                <c:pt idx="44">
                  <c:v>0.213085532068219</c:v>
                </c:pt>
                <c:pt idx="45">
                  <c:v>0.801508896468871</c:v>
                </c:pt>
                <c:pt idx="46">
                  <c:v>0.621368754264399</c:v>
                </c:pt>
                <c:pt idx="47">
                  <c:v>0.50633505539408</c:v>
                </c:pt>
                <c:pt idx="48">
                  <c:v>0.404712861873778</c:v>
                </c:pt>
                <c:pt idx="49">
                  <c:v>0.423850663727832</c:v>
                </c:pt>
                <c:pt idx="50">
                  <c:v>0.43319325446814</c:v>
                </c:pt>
                <c:pt idx="51">
                  <c:v>0.415513575862007</c:v>
                </c:pt>
                <c:pt idx="52">
                  <c:v>0.421849683946664</c:v>
                </c:pt>
                <c:pt idx="53">
                  <c:v>0.65561009777425</c:v>
                </c:pt>
                <c:pt idx="54">
                  <c:v>0.592879584007839</c:v>
                </c:pt>
                <c:pt idx="55">
                  <c:v>0.167831096106906</c:v>
                </c:pt>
                <c:pt idx="56">
                  <c:v>0.506346161572215</c:v>
                </c:pt>
                <c:pt idx="57">
                  <c:v>0.167818393270804</c:v>
                </c:pt>
                <c:pt idx="58">
                  <c:v>0.621382215700937</c:v>
                </c:pt>
                <c:pt idx="59">
                  <c:v>0.869389115894706</c:v>
                </c:pt>
                <c:pt idx="60">
                  <c:v>0.137865171223831</c:v>
                </c:pt>
                <c:pt idx="61">
                  <c:v>0.934033348349483</c:v>
                </c:pt>
                <c:pt idx="62">
                  <c:v>0.345480838288026</c:v>
                </c:pt>
                <c:pt idx="63">
                  <c:v>0.345476257059531</c:v>
                </c:pt>
                <c:pt idx="64">
                  <c:v>0.35426460444056</c:v>
                </c:pt>
                <c:pt idx="65">
                  <c:v>0.137875165726593</c:v>
                </c:pt>
                <c:pt idx="66">
                  <c:v>0.443375113133029</c:v>
                </c:pt>
                <c:pt idx="67">
                  <c:v>0.921370783321814</c:v>
                </c:pt>
                <c:pt idx="68">
                  <c:v>0.781383507595931</c:v>
                </c:pt>
                <c:pt idx="69">
                  <c:v>0.254994911157326</c:v>
                </c:pt>
                <c:pt idx="70">
                  <c:v>0.415511763151755</c:v>
                </c:pt>
                <c:pt idx="71">
                  <c:v>0.236625537042526</c:v>
                </c:pt>
                <c:pt idx="72">
                  <c:v>0.55211344205913</c:v>
                </c:pt>
                <c:pt idx="73">
                  <c:v>0.986438606974429</c:v>
                </c:pt>
                <c:pt idx="74">
                  <c:v>0.267948966753883</c:v>
                </c:pt>
                <c:pt idx="75">
                  <c:v>0.42382950047188</c:v>
                </c:pt>
                <c:pt idx="76">
                  <c:v>0.0153163136136036</c:v>
                </c:pt>
                <c:pt idx="77">
                  <c:v>0.0554239493112338</c:v>
                </c:pt>
                <c:pt idx="78">
                  <c:v>0.236616830024102</c:v>
                </c:pt>
                <c:pt idx="79">
                  <c:v>0.996055462689898</c:v>
                </c:pt>
                <c:pt idx="80">
                  <c:v>0.210362714051526</c:v>
                </c:pt>
                <c:pt idx="81">
                  <c:v>0.675498256028832</c:v>
                </c:pt>
                <c:pt idx="82">
                  <c:v>0.662542834883469</c:v>
                </c:pt>
                <c:pt idx="83">
                  <c:v>0.92545144058706</c:v>
                </c:pt>
                <c:pt idx="84">
                  <c:v>0.354252856706681</c:v>
                </c:pt>
                <c:pt idx="85">
                  <c:v>0.781382829985999</c:v>
                </c:pt>
                <c:pt idx="86">
                  <c:v>0.946899984977158</c:v>
                </c:pt>
                <c:pt idx="87">
                  <c:v>0.925447858984191</c:v>
                </c:pt>
                <c:pt idx="88">
                  <c:v>0.865243876356344</c:v>
                </c:pt>
                <c:pt idx="89">
                  <c:v>0.00625543032591458</c:v>
                </c:pt>
                <c:pt idx="90">
                  <c:v>0.137850664770605</c:v>
                </c:pt>
                <c:pt idx="91">
                  <c:v>0.474957456562803</c:v>
                </c:pt>
                <c:pt idx="92">
                  <c:v>0.160548146620378</c:v>
                </c:pt>
                <c:pt idx="93">
                  <c:v>0.423846631623134</c:v>
                </c:pt>
                <c:pt idx="94">
                  <c:v>0.934041720149987</c:v>
                </c:pt>
                <c:pt idx="95">
                  <c:v>0.167819170401285</c:v>
                </c:pt>
                <c:pt idx="96">
                  <c:v>0.368154145573332</c:v>
                </c:pt>
                <c:pt idx="97">
                  <c:v>0.443388356909295</c:v>
                </c:pt>
                <c:pt idx="98">
                  <c:v>0.691216529943049</c:v>
                </c:pt>
                <c:pt idx="99">
                  <c:v>0.257594751672264</c:v>
                </c:pt>
              </c:numCache>
            </c:numRef>
          </c:yVal>
          <c:smooth val="1"/>
        </c:ser>
        <c:dLbls>
          <c:showLegendKey val="0"/>
          <c:showVal val="0"/>
          <c:showCatName val="0"/>
          <c:showSerName val="0"/>
          <c:showPercent val="0"/>
          <c:showBubbleSize val="0"/>
        </c:dLbls>
        <c:axId val="552240271"/>
        <c:axId val="650654383"/>
      </c:scatterChart>
      <c:scatterChart>
        <c:scatterStyle val="smoothMarker"/>
        <c:varyColors val="0"/>
        <c:ser>
          <c:idx val="1"/>
          <c:order val="1"/>
          <c:spPr>
            <a:ln w="19050" cap="rnd">
              <a:solidFill>
                <a:schemeClr val="accent1"/>
              </a:solidFill>
              <a:prstDash val="solid"/>
              <a:round/>
            </a:ln>
          </c:spPr>
          <c:marker>
            <c:symbol val="circle"/>
            <c:size val="5"/>
            <c:spPr>
              <a:solidFill>
                <a:schemeClr val="accent1"/>
              </a:solidFill>
              <a:ln w="9525">
                <a:solidFill>
                  <a:schemeClr val="accent1"/>
                </a:solidFill>
                <a:prstDash val="solid"/>
                <a:round/>
              </a:ln>
            </c:spPr>
          </c:marker>
          <c:dLbls>
            <c:delete val="1"/>
          </c:dLbls>
          <c:xVal>
            <c:numRef>
              <c:f>Sheet1!$N$11:$N$28</c:f>
              <c:numCache>
                <c:formatCode>0.000</c:formatCode>
                <c:ptCount val="18"/>
                <c:pt idx="0">
                  <c:v>1</c:v>
                </c:pt>
                <c:pt idx="1">
                  <c:v>0.995004165278026</c:v>
                </c:pt>
                <c:pt idx="2">
                  <c:v>0.980066577841242</c:v>
                </c:pt>
                <c:pt idx="3">
                  <c:v>0.955336489125606</c:v>
                </c:pt>
                <c:pt idx="4">
                  <c:v>0.921060994002885</c:v>
                </c:pt>
                <c:pt idx="5">
                  <c:v>0.877582561890373</c:v>
                </c:pt>
                <c:pt idx="6">
                  <c:v>0.825335614909678</c:v>
                </c:pt>
                <c:pt idx="7">
                  <c:v>0.764842187284488</c:v>
                </c:pt>
                <c:pt idx="8">
                  <c:v>0.696706709347165</c:v>
                </c:pt>
                <c:pt idx="9">
                  <c:v>0.621609968270665</c:v>
                </c:pt>
                <c:pt idx="10">
                  <c:v>0.54030230586814</c:v>
                </c:pt>
                <c:pt idx="11">
                  <c:v>0.453596121425577</c:v>
                </c:pt>
                <c:pt idx="12">
                  <c:v>0.362357754476674</c:v>
                </c:pt>
                <c:pt idx="13">
                  <c:v>0.267498828624587</c:v>
                </c:pt>
                <c:pt idx="14">
                  <c:v>0.169967142900241</c:v>
                </c:pt>
                <c:pt idx="15">
                  <c:v>0.0707372016677029</c:v>
                </c:pt>
                <c:pt idx="16">
                  <c:v>-0.0291995223012888</c:v>
                </c:pt>
                <c:pt idx="17">
                  <c:v>-0.128844494295525</c:v>
                </c:pt>
              </c:numCache>
            </c:numRef>
          </c:xVal>
          <c:yVal>
            <c:numRef>
              <c:f>Sheet1!$O$11:$O$28</c:f>
              <c:numCache>
                <c:formatCode>0.000</c:formatCode>
                <c:ptCount val="18"/>
                <c:pt idx="0">
                  <c:v>0</c:v>
                </c:pt>
                <c:pt idx="1">
                  <c:v>0.0998334166468282</c:v>
                </c:pt>
                <c:pt idx="2">
                  <c:v>0.198669330795061</c:v>
                </c:pt>
                <c:pt idx="3">
                  <c:v>0.29552020666134</c:v>
                </c:pt>
                <c:pt idx="4">
                  <c:v>0.389418342308651</c:v>
                </c:pt>
                <c:pt idx="5">
                  <c:v>0.479425538604203</c:v>
                </c:pt>
                <c:pt idx="6">
                  <c:v>0.564642473395035</c:v>
                </c:pt>
                <c:pt idx="7">
                  <c:v>0.644217687237691</c:v>
                </c:pt>
                <c:pt idx="8">
                  <c:v>0.717356090899523</c:v>
                </c:pt>
                <c:pt idx="9">
                  <c:v>0.783326909627483</c:v>
                </c:pt>
                <c:pt idx="10">
                  <c:v>0.841470984807897</c:v>
                </c:pt>
                <c:pt idx="11">
                  <c:v>0.891207360061435</c:v>
                </c:pt>
                <c:pt idx="12">
                  <c:v>0.932039085967226</c:v>
                </c:pt>
                <c:pt idx="13">
                  <c:v>0.963558185417193</c:v>
                </c:pt>
                <c:pt idx="14">
                  <c:v>0.98544972998846</c:v>
                </c:pt>
                <c:pt idx="15">
                  <c:v>0.997494986604054</c:v>
                </c:pt>
                <c:pt idx="16">
                  <c:v>0.999573603041505</c:v>
                </c:pt>
                <c:pt idx="17">
                  <c:v>0.991664810452469</c:v>
                </c:pt>
              </c:numCache>
            </c:numRef>
          </c:yVal>
          <c:smooth val="1"/>
        </c:ser>
        <c:dLbls>
          <c:showLegendKey val="0"/>
          <c:showVal val="0"/>
          <c:showCatName val="0"/>
          <c:showSerName val="0"/>
          <c:showPercent val="0"/>
          <c:showBubbleSize val="0"/>
        </c:dLbls>
        <c:axId val="552240271"/>
        <c:axId val="650654383"/>
      </c:scatterChart>
      <c:valAx>
        <c:axId val="552240271"/>
        <c:scaling>
          <c:orientation val="minMax"/>
        </c:scaling>
        <c:delete val="0"/>
        <c:axPos val="b"/>
        <c:majorGridlines>
          <c:spPr>
            <a:ln w="9525" cmpd="sng">
              <a:solidFill>
                <a:schemeClr val="tx1">
                  <a:lumMod val="15000"/>
                  <a:lumOff val="85000"/>
                </a:schemeClr>
              </a:solidFill>
              <a:prstDash val="solid"/>
              <a:round/>
            </a:ln>
          </c:spPr>
        </c:majorGridlines>
        <c:numFmt formatCode="0.0000"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650654383"/>
        <c:crosses val="autoZero"/>
        <c:crossBetween val="midCat"/>
      </c:valAx>
      <c:valAx>
        <c:axId val="650654383"/>
        <c:scaling>
          <c:orientation val="minMax"/>
        </c:scaling>
        <c:delete val="0"/>
        <c:axPos val="l"/>
        <c:majorGridlines>
          <c:spPr>
            <a:ln w="9525" cmpd="sng">
              <a:solidFill>
                <a:schemeClr val="tx1">
                  <a:lumMod val="15000"/>
                  <a:lumOff val="85000"/>
                </a:schemeClr>
              </a:solidFill>
              <a:prstDash val="solid"/>
              <a:round/>
            </a:ln>
          </c:spPr>
        </c:majorGridlines>
        <c:numFmt formatCode="0.0000"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552240271"/>
        <c:crosses val="autoZero"/>
        <c:crossBetween val="midCat"/>
      </c:valAx>
      <c:spPr>
        <a:noFill/>
        <a:ln>
          <a:noFill/>
        </a:ln>
      </c:spPr>
    </c:plotArea>
    <c:plotVisOnly val="1"/>
    <c:dispBlanksAs val="gap"/>
    <c:showDLblsOverMax val="0"/>
    <c:extLst>
      <c:ext uri="{0b15fc19-7d7d-44ad-8c2d-2c3a37ce22c3}">
        <chartProps xmlns="https://web.wps.cn/et/2018/main" chartId="{b31e71af-c41e-4ddc-90c7-d62438bd2f49}"/>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738320</xdr:colOff>
      <xdr:row>3</xdr:row>
      <xdr:rowOff>43695</xdr:rowOff>
    </xdr:from>
    <xdr:to>
      <xdr:col>6</xdr:col>
      <xdr:colOff>721102</xdr:colOff>
      <xdr:row>23</xdr:row>
      <xdr:rowOff>139915</xdr:rowOff>
    </xdr:to>
    <xdr:graphicFrame>
      <xdr:nvGraphicFramePr>
        <xdr:cNvPr id="2" name="Chart"/>
        <xdr:cNvGraphicFramePr/>
      </xdr:nvGraphicFramePr>
      <xdr:xfrm>
        <a:off x="737870" y="713740"/>
        <a:ext cx="5134610" cy="4566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716794</xdr:colOff>
      <xdr:row>23</xdr:row>
      <xdr:rowOff>162085</xdr:rowOff>
    </xdr:from>
    <xdr:to>
      <xdr:col>6</xdr:col>
      <xdr:colOff>333642</xdr:colOff>
      <xdr:row>44</xdr:row>
      <xdr:rowOff>75338</xdr:rowOff>
    </xdr:to>
    <xdr:graphicFrame>
      <xdr:nvGraphicFramePr>
        <xdr:cNvPr id="3" name="Chart"/>
        <xdr:cNvGraphicFramePr/>
      </xdr:nvGraphicFramePr>
      <xdr:xfrm>
        <a:off x="716280" y="5302885"/>
        <a:ext cx="4798695" cy="460692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
  <sheetViews>
    <sheetView tabSelected="1" workbookViewId="0">
      <selection activeCell="A1" sqref="A1:H1"/>
    </sheetView>
  </sheetViews>
  <sheetFormatPr defaultColWidth="9" defaultRowHeight="17.6" outlineLevelCol="7"/>
  <cols>
    <col min="1" max="1" width="20" customWidth="1"/>
    <col min="2" max="2" width="18" customWidth="1"/>
    <col min="3" max="3" width="28" customWidth="1"/>
    <col min="4" max="4" width="22" customWidth="1"/>
    <col min="5" max="8" width="14" customWidth="1"/>
  </cols>
  <sheetData>
    <row r="1" ht="30" customHeight="1" spans="1:8">
      <c r="A1" s="27" t="s">
        <v>0</v>
      </c>
      <c r="B1" s="27"/>
      <c r="C1" s="27"/>
      <c r="D1" s="27"/>
      <c r="E1" s="27"/>
      <c r="F1" s="27"/>
      <c r="G1" s="27"/>
      <c r="H1" s="27"/>
    </row>
    <row r="2" ht="20" customHeight="1" spans="1:8">
      <c r="A2" s="28" t="s">
        <v>1</v>
      </c>
      <c r="B2" s="28"/>
      <c r="C2" s="28"/>
      <c r="D2" s="28"/>
      <c r="E2" s="28"/>
      <c r="F2" s="28"/>
      <c r="G2" s="28"/>
      <c r="H2" s="28"/>
    </row>
    <row r="4" spans="1:2">
      <c r="A4" s="3" t="s">
        <v>2</v>
      </c>
      <c r="B4" s="3"/>
    </row>
    <row r="5" ht="28" customHeight="1" spans="1:8">
      <c r="A5" s="11" t="s">
        <v>3</v>
      </c>
      <c r="B5" s="11"/>
      <c r="C5" s="11"/>
      <c r="D5" s="11"/>
      <c r="E5" s="11"/>
      <c r="F5" s="11"/>
      <c r="G5" s="11"/>
      <c r="H5" s="11"/>
    </row>
    <row r="6" ht="28" customHeight="1" spans="1:8">
      <c r="A6" s="11"/>
      <c r="B6" s="11"/>
      <c r="C6" s="11"/>
      <c r="D6" s="11"/>
      <c r="E6" s="11"/>
      <c r="F6" s="11"/>
      <c r="G6" s="11"/>
      <c r="H6" s="11"/>
    </row>
    <row r="8" spans="1:2">
      <c r="A8" s="3" t="s">
        <v>4</v>
      </c>
      <c r="B8" s="3"/>
    </row>
    <row r="9" ht="28" customHeight="1" spans="1:8">
      <c r="A9" s="11" t="s">
        <v>5</v>
      </c>
      <c r="B9" s="11"/>
      <c r="C9" s="11"/>
      <c r="D9" s="11"/>
      <c r="E9" s="11"/>
      <c r="F9" s="11"/>
      <c r="G9" s="11"/>
      <c r="H9" s="11"/>
    </row>
    <row r="10" ht="28" customHeight="1" spans="1:8">
      <c r="A10" s="11"/>
      <c r="B10" s="11"/>
      <c r="C10" s="11"/>
      <c r="D10" s="11"/>
      <c r="E10" s="11"/>
      <c r="F10" s="11"/>
      <c r="G10" s="11"/>
      <c r="H10" s="11"/>
    </row>
    <row r="11" ht="28" customHeight="1" spans="1:8">
      <c r="A11" s="11"/>
      <c r="B11" s="11"/>
      <c r="C11" s="11"/>
      <c r="D11" s="11"/>
      <c r="E11" s="11"/>
      <c r="F11" s="11"/>
      <c r="G11" s="11"/>
      <c r="H11" s="11"/>
    </row>
    <row r="13" spans="1:2">
      <c r="A13" s="3" t="s">
        <v>6</v>
      </c>
      <c r="B13" s="3"/>
    </row>
    <row r="14" ht="28" customHeight="1" spans="1:8">
      <c r="A14" s="11" t="s">
        <v>7</v>
      </c>
      <c r="B14" s="11"/>
      <c r="C14" s="11"/>
      <c r="D14" s="11"/>
      <c r="E14" s="11"/>
      <c r="F14" s="11"/>
      <c r="G14" s="11"/>
      <c r="H14" s="11"/>
    </row>
    <row r="15" ht="28" customHeight="1" spans="1:8">
      <c r="A15" s="11"/>
      <c r="B15" s="11"/>
      <c r="C15" s="11"/>
      <c r="D15" s="11"/>
      <c r="E15" s="11"/>
      <c r="F15" s="11"/>
      <c r="G15" s="11"/>
      <c r="H15" s="11"/>
    </row>
    <row r="16" ht="28" customHeight="1" spans="1:8">
      <c r="A16" s="11"/>
      <c r="B16" s="11"/>
      <c r="C16" s="11"/>
      <c r="D16" s="11"/>
      <c r="E16" s="11"/>
      <c r="F16" s="11"/>
      <c r="G16" s="11"/>
      <c r="H16" s="11"/>
    </row>
    <row r="18" spans="1:2">
      <c r="A18" s="3" t="s">
        <v>8</v>
      </c>
      <c r="B18" s="3"/>
    </row>
    <row r="19" ht="28" customHeight="1" spans="1:8">
      <c r="A19" s="11" t="s">
        <v>9</v>
      </c>
      <c r="B19" s="11"/>
      <c r="C19" s="11"/>
      <c r="D19" s="11"/>
      <c r="E19" s="11"/>
      <c r="F19" s="11"/>
      <c r="G19" s="11"/>
      <c r="H19" s="11"/>
    </row>
    <row r="20" ht="28" customHeight="1" spans="1:8">
      <c r="A20" s="11"/>
      <c r="B20" s="11"/>
      <c r="C20" s="11"/>
      <c r="D20" s="11"/>
      <c r="E20" s="11"/>
      <c r="F20" s="11"/>
      <c r="G20" s="11"/>
      <c r="H20" s="11"/>
    </row>
    <row r="21" ht="28" customHeight="1" spans="1:8">
      <c r="A21" s="11"/>
      <c r="B21" s="11"/>
      <c r="C21" s="11"/>
      <c r="D21" s="11"/>
      <c r="E21" s="11"/>
      <c r="F21" s="11"/>
      <c r="G21" s="11"/>
      <c r="H21" s="11"/>
    </row>
    <row r="23" spans="1:8">
      <c r="A23" s="3" t="s">
        <v>10</v>
      </c>
      <c r="B23" s="3"/>
      <c r="C23" s="3"/>
      <c r="D23" s="3"/>
      <c r="E23" s="3"/>
      <c r="F23" s="3"/>
      <c r="G23" s="3"/>
      <c r="H23" s="3"/>
    </row>
    <row r="24" ht="24" customHeight="1" spans="1:8">
      <c r="A24" s="11" t="s">
        <v>11</v>
      </c>
      <c r="B24" s="11"/>
      <c r="C24" s="11"/>
      <c r="D24" s="11"/>
      <c r="E24" s="11"/>
      <c r="F24" s="11"/>
      <c r="G24" s="11"/>
      <c r="H24" s="11"/>
    </row>
    <row r="26" spans="1:4">
      <c r="A26" s="29" t="s">
        <v>12</v>
      </c>
      <c r="B26" s="30" t="s">
        <v>13</v>
      </c>
      <c r="C26" s="30" t="s">
        <v>14</v>
      </c>
      <c r="D26" s="31" t="s">
        <v>13</v>
      </c>
    </row>
    <row r="27" spans="1:4">
      <c r="A27" s="32" t="s">
        <v>15</v>
      </c>
      <c r="B27" s="33">
        <f>Sheet1!D1</f>
        <v>1</v>
      </c>
      <c r="C27" s="34" t="s">
        <v>16</v>
      </c>
      <c r="D27" s="35">
        <f ca="1">Sheet1!O2</f>
        <v>0.85</v>
      </c>
    </row>
    <row r="28" spans="1:4">
      <c r="A28" s="32" t="s">
        <v>17</v>
      </c>
      <c r="B28" s="33">
        <f>Sheet1!D2</f>
        <v>100</v>
      </c>
      <c r="C28" s="34" t="s">
        <v>18</v>
      </c>
      <c r="D28" s="35">
        <f ca="1">Sheet1!O3</f>
        <v>0.358870281282637</v>
      </c>
    </row>
    <row r="29" spans="1:4">
      <c r="A29" s="36" t="s">
        <v>19</v>
      </c>
      <c r="B29" s="37" t="s">
        <v>20</v>
      </c>
      <c r="C29" s="37" t="s">
        <v>21</v>
      </c>
      <c r="D29" s="38" t="str">
        <f ca="1">TEXT(Sheet1!O5,"0.000")&amp;" to "&amp;TEXT(Sheet1!P5,"0.000")</f>
        <v>0.780 to 0.920</v>
      </c>
    </row>
    <row r="31" ht="26" customHeight="1" spans="1:8">
      <c r="A31" s="11" t="s">
        <v>22</v>
      </c>
      <c r="B31" s="11"/>
      <c r="C31" s="11"/>
      <c r="D31" s="11"/>
      <c r="E31" s="11"/>
      <c r="F31" s="11"/>
      <c r="G31" s="11"/>
      <c r="H31" s="11"/>
    </row>
    <row r="32" ht="26" customHeight="1" spans="1:8">
      <c r="A32" s="11"/>
      <c r="B32" s="11"/>
      <c r="C32" s="11"/>
      <c r="D32" s="11"/>
      <c r="E32" s="11"/>
      <c r="F32" s="11"/>
      <c r="G32" s="11"/>
      <c r="H32" s="11"/>
    </row>
  </sheetData>
  <mergeCells count="13">
    <mergeCell ref="A1:H1"/>
    <mergeCell ref="A2:H2"/>
    <mergeCell ref="A4:B4"/>
    <mergeCell ref="A8:B8"/>
    <mergeCell ref="A13:B13"/>
    <mergeCell ref="A18:B18"/>
    <mergeCell ref="A23:H23"/>
    <mergeCell ref="A24:H24"/>
    <mergeCell ref="A5:H6"/>
    <mergeCell ref="A9:H11"/>
    <mergeCell ref="A14:H16"/>
    <mergeCell ref="A19:H21"/>
    <mergeCell ref="A31:H3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1"/>
  <sheetViews>
    <sheetView workbookViewId="0">
      <selection activeCell="A1" sqref="A1"/>
    </sheetView>
  </sheetViews>
  <sheetFormatPr defaultColWidth="11" defaultRowHeight="17.6"/>
  <cols>
    <col min="2" max="3" width="12" customWidth="1"/>
    <col min="4" max="4" width="10" customWidth="1"/>
    <col min="6" max="6" width="4" customWidth="1"/>
    <col min="7" max="7" width="8" customWidth="1"/>
    <col min="8" max="9" width="12" customWidth="1"/>
    <col min="10" max="10" width="13" customWidth="1"/>
    <col min="11" max="11" width="9" customWidth="1"/>
    <col min="13" max="13" width="10" customWidth="1"/>
    <col min="14" max="16" width="13" customWidth="1"/>
  </cols>
  <sheetData>
    <row r="1" spans="1:16">
      <c r="A1" s="12"/>
      <c r="B1" s="13" t="s">
        <v>23</v>
      </c>
      <c r="C1" s="14" t="s">
        <v>24</v>
      </c>
      <c r="D1" s="13">
        <v>1</v>
      </c>
      <c r="E1" s="12"/>
      <c r="F1" s="13" t="s">
        <v>25</v>
      </c>
      <c r="G1" s="16" t="s">
        <v>26</v>
      </c>
      <c r="H1" s="16" t="s">
        <v>27</v>
      </c>
      <c r="I1" s="16" t="s">
        <v>28</v>
      </c>
      <c r="J1" s="16" t="s">
        <v>29</v>
      </c>
      <c r="K1" s="16" t="s">
        <v>30</v>
      </c>
      <c r="L1" s="12"/>
      <c r="M1" s="13" t="s">
        <v>31</v>
      </c>
      <c r="N1" s="13"/>
      <c r="O1" s="13"/>
      <c r="P1" s="13"/>
    </row>
    <row r="2" spans="1:16">
      <c r="A2" s="12"/>
      <c r="B2" s="12"/>
      <c r="C2" s="15" t="s">
        <v>32</v>
      </c>
      <c r="D2" s="12">
        <v>100</v>
      </c>
      <c r="E2" s="12"/>
      <c r="F2" s="12"/>
      <c r="G2" s="17">
        <v>1</v>
      </c>
      <c r="H2" s="18">
        <f ca="1">RAND()</f>
        <v>0.00623420013842924</v>
      </c>
      <c r="I2" s="18">
        <f ca="1">RAND()</f>
        <v>0.404717529604314</v>
      </c>
      <c r="J2" s="18">
        <f ca="1">SQRT(H2^2+I2^2)</f>
        <v>0.40476554203685</v>
      </c>
      <c r="K2" s="19">
        <f ca="1">IF(J2&lt;1,1,0)</f>
        <v>1</v>
      </c>
      <c r="L2" s="12"/>
      <c r="M2" s="12"/>
      <c r="N2" s="15" t="s">
        <v>33</v>
      </c>
      <c r="O2" s="20">
        <f ca="1">AVERAGE(hit)</f>
        <v>0.85</v>
      </c>
      <c r="P2" s="20"/>
    </row>
    <row r="3" spans="1:16">
      <c r="A3" s="12"/>
      <c r="B3" s="12"/>
      <c r="C3" s="12"/>
      <c r="D3" s="12"/>
      <c r="E3" s="12"/>
      <c r="F3" s="12"/>
      <c r="G3" s="17">
        <v>2</v>
      </c>
      <c r="H3" s="18">
        <f ca="1" t="shared" ref="H3:I66" si="0">RAND()</f>
        <v>0.508502615875748</v>
      </c>
      <c r="I3" s="18">
        <f ca="1" t="shared" si="0"/>
        <v>0.409947508622272</v>
      </c>
      <c r="J3" s="18">
        <f ca="1" t="shared" ref="J3:J66" si="1">SQRT(H3^2+I3^2)</f>
        <v>0.653170628686017</v>
      </c>
      <c r="K3" s="19">
        <f ca="1" t="shared" ref="K3:K66" si="2">IF(J3&lt;1,1,0)</f>
        <v>1</v>
      </c>
      <c r="L3" s="12"/>
      <c r="M3" s="12"/>
      <c r="N3" s="15" t="s">
        <v>34</v>
      </c>
      <c r="O3" s="20">
        <f ca="1">STDEV(hit)</f>
        <v>0.358870281282637</v>
      </c>
      <c r="P3" s="20"/>
    </row>
    <row r="4" spans="1:16">
      <c r="A4" s="12"/>
      <c r="B4" s="12"/>
      <c r="C4" s="12"/>
      <c r="D4" s="12"/>
      <c r="E4" s="12"/>
      <c r="F4" s="12"/>
      <c r="G4" s="17">
        <v>3</v>
      </c>
      <c r="H4" s="18">
        <f ca="1" t="shared" si="0"/>
        <v>0.283472527764928</v>
      </c>
      <c r="I4" s="18">
        <f ca="1" t="shared" si="0"/>
        <v>0.690572947868995</v>
      </c>
      <c r="J4" s="18">
        <f ca="1" t="shared" si="1"/>
        <v>0.746490234581747</v>
      </c>
      <c r="K4" s="19">
        <f ca="1" t="shared" si="2"/>
        <v>1</v>
      </c>
      <c r="L4" s="12"/>
      <c r="M4" s="12"/>
      <c r="N4" s="15" t="s">
        <v>35</v>
      </c>
      <c r="O4" s="20" t="s">
        <v>36</v>
      </c>
      <c r="P4" s="20" t="s">
        <v>37</v>
      </c>
    </row>
    <row r="5" spans="1:16">
      <c r="A5" s="12"/>
      <c r="B5" s="12"/>
      <c r="C5" s="12"/>
      <c r="D5" s="12"/>
      <c r="E5" s="12"/>
      <c r="F5" s="12"/>
      <c r="G5" s="17">
        <v>4</v>
      </c>
      <c r="H5" s="18">
        <f ca="1" t="shared" si="0"/>
        <v>0.257572209851538</v>
      </c>
      <c r="I5" s="18">
        <f ca="1" t="shared" si="0"/>
        <v>0.196156090245783</v>
      </c>
      <c r="J5" s="18">
        <f ca="1" t="shared" si="1"/>
        <v>0.323760181350821</v>
      </c>
      <c r="K5" s="19">
        <f ca="1" t="shared" si="2"/>
        <v>1</v>
      </c>
      <c r="L5" s="12"/>
      <c r="M5" s="12"/>
      <c r="N5" s="12"/>
      <c r="O5" s="20">
        <f ca="1">p-1.96*s/SQRT(n)</f>
        <v>0.779661424868603</v>
      </c>
      <c r="P5" s="20">
        <f ca="1">p+1.96*s/SQRT(n)</f>
        <v>0.920338575131397</v>
      </c>
    </row>
    <row r="6" spans="1:16">
      <c r="A6" s="12"/>
      <c r="B6" s="12"/>
      <c r="C6" s="12"/>
      <c r="D6" s="12"/>
      <c r="E6" s="12"/>
      <c r="F6" s="12"/>
      <c r="G6" s="17">
        <v>5</v>
      </c>
      <c r="H6" s="18">
        <f ca="1" t="shared" si="0"/>
        <v>0.756096965879144</v>
      </c>
      <c r="I6" s="18">
        <f ca="1" t="shared" si="0"/>
        <v>0.196137659826779</v>
      </c>
      <c r="J6" s="18">
        <f ca="1" t="shared" si="1"/>
        <v>0.781122655806355</v>
      </c>
      <c r="K6" s="19">
        <f ca="1" t="shared" si="2"/>
        <v>1</v>
      </c>
      <c r="L6" s="12"/>
      <c r="M6" s="12"/>
      <c r="N6" s="12"/>
      <c r="O6" s="12"/>
      <c r="P6" s="12"/>
    </row>
    <row r="7" spans="1:16">
      <c r="A7" s="12"/>
      <c r="B7" s="12"/>
      <c r="C7" s="12"/>
      <c r="D7" s="12"/>
      <c r="E7" s="12"/>
      <c r="F7" s="12"/>
      <c r="G7" s="17">
        <v>6</v>
      </c>
      <c r="H7" s="18">
        <f ca="1" t="shared" si="0"/>
        <v>0.872775695832848</v>
      </c>
      <c r="I7" s="18">
        <f ca="1" t="shared" si="0"/>
        <v>0.345486132076516</v>
      </c>
      <c r="J7" s="18">
        <f ca="1" t="shared" si="1"/>
        <v>0.938668249539583</v>
      </c>
      <c r="K7" s="19">
        <f ca="1" t="shared" si="2"/>
        <v>1</v>
      </c>
      <c r="L7" s="12"/>
      <c r="M7" s="12"/>
      <c r="N7" s="12"/>
      <c r="O7" s="12"/>
      <c r="P7" s="12"/>
    </row>
    <row r="8" spans="1:16">
      <c r="A8" s="12"/>
      <c r="B8" s="12"/>
      <c r="C8" s="12"/>
      <c r="D8" s="12"/>
      <c r="E8" s="12"/>
      <c r="F8" s="12"/>
      <c r="G8" s="17">
        <v>7</v>
      </c>
      <c r="H8" s="18">
        <f ca="1" t="shared" si="0"/>
        <v>0.421865594239523</v>
      </c>
      <c r="I8" s="18">
        <f ca="1" t="shared" si="0"/>
        <v>0.214326726357901</v>
      </c>
      <c r="J8" s="18">
        <f ca="1" t="shared" si="1"/>
        <v>0.473187621598833</v>
      </c>
      <c r="K8" s="19">
        <f ca="1" t="shared" si="2"/>
        <v>1</v>
      </c>
      <c r="L8" s="12"/>
      <c r="M8" s="12"/>
      <c r="N8" s="12"/>
      <c r="O8" s="12"/>
      <c r="P8" s="12"/>
    </row>
    <row r="9" spans="1:16">
      <c r="A9" s="12"/>
      <c r="B9" s="12"/>
      <c r="C9" s="12"/>
      <c r="D9" s="12"/>
      <c r="E9" s="12"/>
      <c r="F9" s="12"/>
      <c r="G9" s="17">
        <v>8</v>
      </c>
      <c r="H9" s="18">
        <f ca="1" t="shared" si="0"/>
        <v>0.160540916437632</v>
      </c>
      <c r="I9" s="18">
        <f ca="1" t="shared" si="0"/>
        <v>0.934049462816626</v>
      </c>
      <c r="J9" s="18">
        <f ca="1" t="shared" si="1"/>
        <v>0.947745632983167</v>
      </c>
      <c r="K9" s="19">
        <f ca="1" t="shared" si="2"/>
        <v>1</v>
      </c>
      <c r="L9" s="12"/>
      <c r="M9" s="12"/>
      <c r="N9" s="12"/>
      <c r="O9" s="12"/>
      <c r="P9" s="12"/>
    </row>
    <row r="10" spans="1:16">
      <c r="A10" s="12"/>
      <c r="B10" s="12"/>
      <c r="C10" s="12"/>
      <c r="D10" s="12"/>
      <c r="E10" s="12"/>
      <c r="F10" s="12"/>
      <c r="G10" s="17">
        <v>9</v>
      </c>
      <c r="H10" s="18">
        <f ca="1" t="shared" si="0"/>
        <v>0.16781700224777</v>
      </c>
      <c r="I10" s="18">
        <f ca="1" t="shared" si="0"/>
        <v>0.691210913640461</v>
      </c>
      <c r="J10" s="18">
        <f ca="1" t="shared" si="1"/>
        <v>0.711291131238897</v>
      </c>
      <c r="K10" s="19">
        <f ca="1" t="shared" si="2"/>
        <v>1</v>
      </c>
      <c r="L10" s="12"/>
      <c r="M10" s="21" t="s">
        <v>38</v>
      </c>
      <c r="N10" s="21" t="s">
        <v>39</v>
      </c>
      <c r="O10" s="21" t="s">
        <v>40</v>
      </c>
      <c r="P10" s="12"/>
    </row>
    <row r="11" spans="1:16">
      <c r="A11" s="12"/>
      <c r="B11" s="12"/>
      <c r="C11" s="12"/>
      <c r="D11" s="12"/>
      <c r="E11" s="12"/>
      <c r="F11" s="12"/>
      <c r="G11" s="17">
        <v>10</v>
      </c>
      <c r="H11" s="18">
        <f ca="1" t="shared" si="0"/>
        <v>0.254986241573705</v>
      </c>
      <c r="I11" s="18">
        <f ca="1" t="shared" si="0"/>
        <v>0.946909439583856</v>
      </c>
      <c r="J11" s="18">
        <f ca="1" t="shared" si="1"/>
        <v>0.980640336802895</v>
      </c>
      <c r="K11" s="19">
        <f ca="1" t="shared" si="2"/>
        <v>1</v>
      </c>
      <c r="L11" s="12"/>
      <c r="M11" s="22">
        <v>0</v>
      </c>
      <c r="N11" s="22" cm="1">
        <f t="array" ref="N11:N28">COS(t)</f>
        <v>1</v>
      </c>
      <c r="O11" s="22" cm="1">
        <f t="array" ref="O11:O28">SIN(t)</f>
        <v>0</v>
      </c>
      <c r="P11" s="12"/>
    </row>
    <row r="12" spans="1:16">
      <c r="A12" s="12"/>
      <c r="B12" s="12"/>
      <c r="C12" s="12"/>
      <c r="D12" s="12"/>
      <c r="E12" s="12"/>
      <c r="F12" s="12"/>
      <c r="G12" s="17">
        <v>11</v>
      </c>
      <c r="H12" s="18">
        <f ca="1" t="shared" si="0"/>
        <v>0.10138043294974</v>
      </c>
      <c r="I12" s="18">
        <f ca="1" t="shared" si="0"/>
        <v>0.433192091684621</v>
      </c>
      <c r="J12" s="18">
        <f ca="1" t="shared" si="1"/>
        <v>0.444897044812813</v>
      </c>
      <c r="K12" s="19">
        <f ca="1" t="shared" si="2"/>
        <v>1</v>
      </c>
      <c r="L12" s="12"/>
      <c r="M12" s="22">
        <v>0.1</v>
      </c>
      <c r="N12" s="22">
        <v>0.995004165278026</v>
      </c>
      <c r="O12" s="22">
        <v>0.0998334166468282</v>
      </c>
      <c r="P12" s="12"/>
    </row>
    <row r="13" spans="1:16">
      <c r="A13" s="12"/>
      <c r="B13" s="12"/>
      <c r="C13" s="12"/>
      <c r="D13" s="12"/>
      <c r="E13" s="12"/>
      <c r="F13" s="12"/>
      <c r="G13" s="17">
        <v>12</v>
      </c>
      <c r="H13" s="18">
        <f ca="1" t="shared" si="0"/>
        <v>0.841353423144529</v>
      </c>
      <c r="I13" s="18">
        <f ca="1" t="shared" si="0"/>
        <v>0.372298183461081</v>
      </c>
      <c r="J13" s="18">
        <f ca="1" t="shared" si="1"/>
        <v>0.920044303305791</v>
      </c>
      <c r="K13" s="19">
        <f ca="1" t="shared" si="2"/>
        <v>1</v>
      </c>
      <c r="L13" s="12"/>
      <c r="M13" s="22">
        <v>0.2</v>
      </c>
      <c r="N13" s="22">
        <v>0.980066577841242</v>
      </c>
      <c r="O13" s="22">
        <v>0.198669330795061</v>
      </c>
      <c r="P13" s="12"/>
    </row>
    <row r="14" spans="1:16">
      <c r="A14" s="12"/>
      <c r="B14" s="12"/>
      <c r="C14" s="12"/>
      <c r="D14" s="12"/>
      <c r="E14" s="12"/>
      <c r="F14" s="12"/>
      <c r="G14" s="17">
        <v>13</v>
      </c>
      <c r="H14" s="18">
        <f ca="1" t="shared" si="0"/>
        <v>0.287129397938361</v>
      </c>
      <c r="I14" s="18">
        <f ca="1" t="shared" si="0"/>
        <v>0.711919294759167</v>
      </c>
      <c r="J14" s="18">
        <f ca="1" t="shared" si="1"/>
        <v>0.767640784098159</v>
      </c>
      <c r="K14" s="19">
        <f ca="1" t="shared" si="2"/>
        <v>1</v>
      </c>
      <c r="L14" s="12"/>
      <c r="M14" s="22">
        <v>0.3</v>
      </c>
      <c r="N14" s="22">
        <v>0.955336489125606</v>
      </c>
      <c r="O14" s="22">
        <v>0.29552020666134</v>
      </c>
      <c r="P14" s="12"/>
    </row>
    <row r="15" spans="1:16">
      <c r="A15" s="12"/>
      <c r="B15" s="12"/>
      <c r="C15" s="12"/>
      <c r="D15" s="12"/>
      <c r="E15" s="12"/>
      <c r="F15" s="12"/>
      <c r="G15" s="17">
        <v>14</v>
      </c>
      <c r="H15" s="18">
        <f ca="1" t="shared" si="0"/>
        <v>0.345478848468233</v>
      </c>
      <c r="I15" s="18">
        <f ca="1" t="shared" si="0"/>
        <v>0.0554401928647796</v>
      </c>
      <c r="J15" s="18">
        <f ca="1" t="shared" si="1"/>
        <v>0.349898913579079</v>
      </c>
      <c r="K15" s="19">
        <f ca="1" t="shared" si="2"/>
        <v>1</v>
      </c>
      <c r="L15" s="12"/>
      <c r="M15" s="22">
        <v>0.4</v>
      </c>
      <c r="N15" s="22">
        <v>0.921060994002885</v>
      </c>
      <c r="O15" s="22">
        <v>0.389418342308651</v>
      </c>
      <c r="P15" s="12"/>
    </row>
    <row r="16" spans="1:16">
      <c r="A16" s="12"/>
      <c r="B16" s="12"/>
      <c r="C16" s="12"/>
      <c r="D16" s="12"/>
      <c r="E16" s="12"/>
      <c r="F16" s="12"/>
      <c r="G16" s="17">
        <v>15</v>
      </c>
      <c r="H16" s="18">
        <f ca="1" t="shared" si="0"/>
        <v>0.756084783475919</v>
      </c>
      <c r="I16" s="18">
        <f ca="1" t="shared" si="0"/>
        <v>0.283463286236468</v>
      </c>
      <c r="J16" s="18">
        <f ca="1" t="shared" si="1"/>
        <v>0.807474850659639</v>
      </c>
      <c r="K16" s="19">
        <f ca="1" t="shared" si="2"/>
        <v>1</v>
      </c>
      <c r="L16" s="12"/>
      <c r="M16" s="22">
        <v>0.5</v>
      </c>
      <c r="N16" s="22">
        <v>0.877582561890373</v>
      </c>
      <c r="O16" s="22">
        <v>0.479425538604203</v>
      </c>
      <c r="P16" s="12"/>
    </row>
    <row r="17" spans="1:16">
      <c r="A17" s="12"/>
      <c r="B17" s="12"/>
      <c r="C17" s="12"/>
      <c r="D17" s="12"/>
      <c r="E17" s="12"/>
      <c r="F17" s="12"/>
      <c r="G17" s="17">
        <v>16</v>
      </c>
      <c r="H17" s="18">
        <f ca="1" t="shared" si="0"/>
        <v>0.869387033708449</v>
      </c>
      <c r="I17" s="18">
        <f ca="1" t="shared" si="0"/>
        <v>0.433174613204617</v>
      </c>
      <c r="J17" s="18">
        <f ca="1" t="shared" si="1"/>
        <v>0.971325928772287</v>
      </c>
      <c r="K17" s="19">
        <f ca="1" t="shared" si="2"/>
        <v>1</v>
      </c>
      <c r="L17" s="12"/>
      <c r="M17" s="22">
        <v>0.6</v>
      </c>
      <c r="N17" s="22">
        <v>0.825335614909678</v>
      </c>
      <c r="O17" s="22">
        <v>0.564642473395035</v>
      </c>
      <c r="P17" s="12"/>
    </row>
    <row r="18" spans="1:16">
      <c r="A18" s="12"/>
      <c r="B18" s="12"/>
      <c r="C18" s="12"/>
      <c r="D18" s="12"/>
      <c r="E18" s="12"/>
      <c r="F18" s="12"/>
      <c r="G18" s="17">
        <v>17</v>
      </c>
      <c r="H18" s="18">
        <f ca="1" t="shared" si="0"/>
        <v>0.36649040883684</v>
      </c>
      <c r="I18" s="18">
        <f ca="1" t="shared" si="0"/>
        <v>0.00625487766964006</v>
      </c>
      <c r="J18" s="18">
        <f ca="1" t="shared" si="1"/>
        <v>0.366543780828507</v>
      </c>
      <c r="K18" s="19">
        <f ca="1" t="shared" si="2"/>
        <v>1</v>
      </c>
      <c r="L18" s="12"/>
      <c r="M18" s="22">
        <v>0.7</v>
      </c>
      <c r="N18" s="22">
        <v>0.764842187284488</v>
      </c>
      <c r="O18" s="22">
        <v>0.644217687237691</v>
      </c>
      <c r="P18" s="12"/>
    </row>
    <row r="19" spans="1:16">
      <c r="A19" s="12"/>
      <c r="B19" s="12"/>
      <c r="C19" s="12"/>
      <c r="D19" s="12"/>
      <c r="E19" s="12"/>
      <c r="F19" s="12"/>
      <c r="G19" s="17">
        <v>18</v>
      </c>
      <c r="H19" s="18">
        <f ca="1" t="shared" si="0"/>
        <v>0.480993318234303</v>
      </c>
      <c r="I19" s="18">
        <f ca="1" t="shared" si="0"/>
        <v>0.423856188235119</v>
      </c>
      <c r="J19" s="18">
        <f ca="1" t="shared" si="1"/>
        <v>0.641099555834545</v>
      </c>
      <c r="K19" s="19">
        <f ca="1" t="shared" si="2"/>
        <v>1</v>
      </c>
      <c r="L19" s="12"/>
      <c r="M19" s="22">
        <v>0.8</v>
      </c>
      <c r="N19" s="22">
        <v>0.696706709347165</v>
      </c>
      <c r="O19" s="22">
        <v>0.717356090899523</v>
      </c>
      <c r="P19" s="12"/>
    </row>
    <row r="20" spans="1:16">
      <c r="A20" s="12"/>
      <c r="B20" s="12"/>
      <c r="C20" s="12"/>
      <c r="D20" s="12"/>
      <c r="E20" s="12"/>
      <c r="F20" s="12"/>
      <c r="G20" s="17">
        <v>19</v>
      </c>
      <c r="H20" s="18">
        <f ca="1" t="shared" si="0"/>
        <v>0.267972951915416</v>
      </c>
      <c r="I20" s="18">
        <f ca="1" t="shared" si="0"/>
        <v>0.167838686012996</v>
      </c>
      <c r="J20" s="18">
        <f ca="1" t="shared" si="1"/>
        <v>0.316195078204628</v>
      </c>
      <c r="K20" s="19">
        <f ca="1" t="shared" si="2"/>
        <v>1</v>
      </c>
      <c r="L20" s="12"/>
      <c r="M20" s="22">
        <v>0.9</v>
      </c>
      <c r="N20" s="22">
        <v>0.621609968270665</v>
      </c>
      <c r="O20" s="22">
        <v>0.783326909627483</v>
      </c>
      <c r="P20" s="12"/>
    </row>
    <row r="21" spans="1:16">
      <c r="A21" s="12"/>
      <c r="B21" s="12"/>
      <c r="C21" s="12"/>
      <c r="D21" s="12"/>
      <c r="E21" s="12"/>
      <c r="F21" s="12"/>
      <c r="G21" s="17">
        <v>20</v>
      </c>
      <c r="H21" s="18">
        <f ca="1" t="shared" si="0"/>
        <v>0.433191614179894</v>
      </c>
      <c r="I21" s="18">
        <f ca="1" t="shared" si="0"/>
        <v>0.892778730230322</v>
      </c>
      <c r="J21" s="18">
        <f ca="1" t="shared" si="1"/>
        <v>0.992324964790994</v>
      </c>
      <c r="K21" s="19">
        <f ca="1" t="shared" si="2"/>
        <v>1</v>
      </c>
      <c r="L21" s="12"/>
      <c r="M21" s="22">
        <v>1</v>
      </c>
      <c r="N21" s="22">
        <v>0.54030230586814</v>
      </c>
      <c r="O21" s="22">
        <v>0.841470984807897</v>
      </c>
      <c r="P21" s="12"/>
    </row>
    <row r="22" spans="1:16">
      <c r="A22" s="12"/>
      <c r="B22" s="12"/>
      <c r="C22" s="12"/>
      <c r="D22" s="12"/>
      <c r="E22" s="12"/>
      <c r="F22" s="12"/>
      <c r="G22" s="17">
        <v>21</v>
      </c>
      <c r="H22" s="18">
        <f ca="1" t="shared" si="0"/>
        <v>0.841353315947846</v>
      </c>
      <c r="I22" s="18">
        <f ca="1" t="shared" si="0"/>
        <v>0.137866830846116</v>
      </c>
      <c r="J22" s="18">
        <f ca="1" t="shared" si="1"/>
        <v>0.852574140649356</v>
      </c>
      <c r="K22" s="19">
        <f ca="1" t="shared" si="2"/>
        <v>1</v>
      </c>
      <c r="L22" s="12"/>
      <c r="M22" s="22">
        <v>1.1</v>
      </c>
      <c r="N22" s="22">
        <v>0.453596121425577</v>
      </c>
      <c r="O22" s="22">
        <v>0.891207360061435</v>
      </c>
      <c r="P22" s="12"/>
    </row>
    <row r="23" spans="1:16">
      <c r="A23" s="12"/>
      <c r="B23" s="12"/>
      <c r="C23" s="12"/>
      <c r="D23" s="12"/>
      <c r="E23" s="12"/>
      <c r="F23" s="12"/>
      <c r="G23" s="17">
        <v>22</v>
      </c>
      <c r="H23" s="18">
        <f ca="1" t="shared" si="0"/>
        <v>0.690578580567953</v>
      </c>
      <c r="I23" s="18">
        <f ca="1" t="shared" si="0"/>
        <v>0.946917234739253</v>
      </c>
      <c r="J23" s="18">
        <f ca="1" t="shared" si="1"/>
        <v>1.17198593224726</v>
      </c>
      <c r="K23" s="19">
        <f ca="1" t="shared" si="2"/>
        <v>0</v>
      </c>
      <c r="L23" s="12"/>
      <c r="M23" s="22">
        <v>1.2</v>
      </c>
      <c r="N23" s="22">
        <v>0.362357754476674</v>
      </c>
      <c r="O23" s="22">
        <v>0.932039085967226</v>
      </c>
      <c r="P23" s="12"/>
    </row>
    <row r="24" spans="1:16">
      <c r="A24" s="12"/>
      <c r="B24" s="12"/>
      <c r="C24" s="12"/>
      <c r="D24" s="12"/>
      <c r="E24" s="12"/>
      <c r="F24" s="12"/>
      <c r="G24" s="17">
        <v>23</v>
      </c>
      <c r="H24" s="18">
        <f ca="1" t="shared" si="0"/>
        <v>0.996037891372313</v>
      </c>
      <c r="I24" s="18">
        <f ca="1" t="shared" si="0"/>
        <v>0.506327153629532</v>
      </c>
      <c r="J24" s="18">
        <f ca="1" t="shared" si="1"/>
        <v>1.11734447130327</v>
      </c>
      <c r="K24" s="19">
        <f ca="1" t="shared" si="2"/>
        <v>0</v>
      </c>
      <c r="L24" s="12"/>
      <c r="M24" s="22">
        <v>1.3</v>
      </c>
      <c r="N24" s="22">
        <v>0.267498828624587</v>
      </c>
      <c r="O24" s="22">
        <v>0.963558185417193</v>
      </c>
      <c r="P24" s="12"/>
    </row>
    <row r="25" spans="1:16">
      <c r="A25" s="12"/>
      <c r="B25" s="12"/>
      <c r="C25" s="12"/>
      <c r="D25" s="12"/>
      <c r="E25" s="12"/>
      <c r="F25" s="12"/>
      <c r="G25" s="17">
        <v>24</v>
      </c>
      <c r="H25" s="18">
        <f ca="1" t="shared" si="0"/>
        <v>0.372285427324951</v>
      </c>
      <c r="I25" s="18">
        <f ca="1" t="shared" si="0"/>
        <v>0.986433735238774</v>
      </c>
      <c r="J25" s="18">
        <f ca="1" t="shared" si="1"/>
        <v>1.05434716930224</v>
      </c>
      <c r="K25" s="19">
        <f ca="1" t="shared" si="2"/>
        <v>0</v>
      </c>
      <c r="L25" s="12"/>
      <c r="M25" s="22">
        <v>1.4</v>
      </c>
      <c r="N25" s="22">
        <v>0.169967142900241</v>
      </c>
      <c r="O25" s="22">
        <v>0.98544972998846</v>
      </c>
      <c r="P25" s="12"/>
    </row>
    <row r="26" spans="1:16">
      <c r="A26" s="12"/>
      <c r="B26" s="12"/>
      <c r="C26" s="12"/>
      <c r="D26" s="12"/>
      <c r="E26" s="12"/>
      <c r="F26" s="12"/>
      <c r="G26" s="17">
        <v>25</v>
      </c>
      <c r="H26" s="18">
        <f ca="1" t="shared" si="0"/>
        <v>0.254979726310183</v>
      </c>
      <c r="I26" s="18">
        <f ca="1" t="shared" si="0"/>
        <v>0.228772143029044</v>
      </c>
      <c r="J26" s="18">
        <f ca="1" t="shared" si="1"/>
        <v>0.342565839300006</v>
      </c>
      <c r="K26" s="19">
        <f ca="1" t="shared" si="2"/>
        <v>1</v>
      </c>
      <c r="L26" s="12"/>
      <c r="M26" s="22">
        <v>1.5</v>
      </c>
      <c r="N26" s="22">
        <v>0.0707372016677029</v>
      </c>
      <c r="O26" s="22">
        <v>0.997494986604054</v>
      </c>
      <c r="P26" s="12"/>
    </row>
    <row r="27" spans="1:16">
      <c r="A27" s="12"/>
      <c r="B27" s="12"/>
      <c r="C27" s="12"/>
      <c r="D27" s="12"/>
      <c r="E27" s="12"/>
      <c r="F27" s="12"/>
      <c r="G27" s="17">
        <v>26</v>
      </c>
      <c r="H27" s="18">
        <f ca="1" t="shared" si="0"/>
        <v>0.0554280139376435</v>
      </c>
      <c r="I27" s="18">
        <f ca="1" t="shared" si="0"/>
        <v>0.62139755352327</v>
      </c>
      <c r="J27" s="18">
        <f ca="1" t="shared" si="1"/>
        <v>0.623864716307772</v>
      </c>
      <c r="K27" s="19">
        <f ca="1" t="shared" si="2"/>
        <v>1</v>
      </c>
      <c r="L27" s="12"/>
      <c r="M27" s="22">
        <v>1.6</v>
      </c>
      <c r="N27" s="22">
        <v>-0.0291995223012888</v>
      </c>
      <c r="O27" s="22">
        <v>0.999573603041505</v>
      </c>
      <c r="P27" s="12"/>
    </row>
    <row r="28" spans="1:16">
      <c r="A28" s="12"/>
      <c r="B28" s="12"/>
      <c r="C28" s="12"/>
      <c r="D28" s="12"/>
      <c r="E28" s="12"/>
      <c r="F28" s="12"/>
      <c r="G28" s="17">
        <v>27</v>
      </c>
      <c r="H28" s="18">
        <f ca="1" t="shared" si="0"/>
        <v>0.887823674270112</v>
      </c>
      <c r="I28" s="18">
        <f ca="1" t="shared" si="0"/>
        <v>0.0877292185824596</v>
      </c>
      <c r="J28" s="18">
        <f ca="1" t="shared" si="1"/>
        <v>0.892147573211726</v>
      </c>
      <c r="K28" s="19">
        <f ca="1" t="shared" si="2"/>
        <v>1</v>
      </c>
      <c r="L28" s="12"/>
      <c r="M28" s="23">
        <v>1.7</v>
      </c>
      <c r="N28" s="23">
        <v>-0.128844494295525</v>
      </c>
      <c r="O28" s="23">
        <v>0.991664810452469</v>
      </c>
      <c r="P28" s="12"/>
    </row>
    <row r="29" spans="1:16">
      <c r="A29" s="12"/>
      <c r="B29" s="12"/>
      <c r="C29" s="12"/>
      <c r="D29" s="12"/>
      <c r="E29" s="12"/>
      <c r="F29" s="12"/>
      <c r="G29" s="17">
        <v>28</v>
      </c>
      <c r="H29" s="18">
        <f ca="1" t="shared" si="0"/>
        <v>0.561552215379982</v>
      </c>
      <c r="I29" s="18">
        <f ca="1" t="shared" si="0"/>
        <v>0.0153159399531624</v>
      </c>
      <c r="J29" s="18">
        <f ca="1" t="shared" si="1"/>
        <v>0.561761042272259</v>
      </c>
      <c r="K29" s="19">
        <f ca="1" t="shared" si="2"/>
        <v>1</v>
      </c>
      <c r="L29" s="12"/>
      <c r="M29" s="12"/>
      <c r="N29" s="12"/>
      <c r="O29" s="12"/>
      <c r="P29" s="12"/>
    </row>
    <row r="30" spans="1:16">
      <c r="A30" s="12"/>
      <c r="B30" s="12"/>
      <c r="C30" s="12"/>
      <c r="D30" s="12"/>
      <c r="E30" s="12"/>
      <c r="F30" s="12"/>
      <c r="G30" s="17">
        <v>29</v>
      </c>
      <c r="H30" s="18">
        <f ca="1" t="shared" si="0"/>
        <v>0.372308815557827</v>
      </c>
      <c r="I30" s="18">
        <f ca="1" t="shared" si="0"/>
        <v>0.872795121226323</v>
      </c>
      <c r="J30" s="18">
        <f ca="1" t="shared" si="1"/>
        <v>0.948886282848764</v>
      </c>
      <c r="K30" s="19">
        <f ca="1" t="shared" si="2"/>
        <v>1</v>
      </c>
      <c r="L30" s="12"/>
      <c r="M30" s="12"/>
      <c r="N30" s="12"/>
      <c r="O30" s="12"/>
      <c r="P30" s="12"/>
    </row>
    <row r="31" spans="1:16">
      <c r="A31" s="12"/>
      <c r="B31" s="12"/>
      <c r="C31" s="12"/>
      <c r="D31" s="12"/>
      <c r="E31" s="12"/>
      <c r="F31" s="12"/>
      <c r="G31" s="17">
        <v>30</v>
      </c>
      <c r="H31" s="18">
        <f ca="1" t="shared" si="0"/>
        <v>0.210366138948457</v>
      </c>
      <c r="I31" s="18">
        <f ca="1" t="shared" si="0"/>
        <v>0.690556791179469</v>
      </c>
      <c r="J31" s="18">
        <f ca="1" t="shared" si="1"/>
        <v>0.721888214518125</v>
      </c>
      <c r="K31" s="19">
        <f ca="1" t="shared" si="2"/>
        <v>1</v>
      </c>
      <c r="L31" s="12"/>
      <c r="M31" s="12"/>
      <c r="N31" s="12"/>
      <c r="O31" s="12"/>
      <c r="P31" s="12"/>
    </row>
    <row r="32" spans="1:16">
      <c r="A32" s="12"/>
      <c r="B32" s="12"/>
      <c r="C32" s="12"/>
      <c r="D32" s="12"/>
      <c r="E32" s="12"/>
      <c r="F32" s="12"/>
      <c r="G32" s="17">
        <v>31</v>
      </c>
      <c r="H32" s="18">
        <f ca="1" t="shared" si="0"/>
        <v>0.86940057053846</v>
      </c>
      <c r="I32" s="18">
        <f ca="1" t="shared" si="0"/>
        <v>0.675487673705093</v>
      </c>
      <c r="J32" s="18">
        <f ca="1" t="shared" si="1"/>
        <v>1.10097272871771</v>
      </c>
      <c r="K32" s="19">
        <f ca="1" t="shared" si="2"/>
        <v>0</v>
      </c>
      <c r="L32" s="12"/>
      <c r="M32" s="12"/>
      <c r="N32" s="12"/>
      <c r="O32" s="12"/>
      <c r="P32" s="12"/>
    </row>
    <row r="33" spans="1:16">
      <c r="A33" s="12"/>
      <c r="B33" s="12"/>
      <c r="C33" s="12"/>
      <c r="D33" s="12"/>
      <c r="E33" s="12"/>
      <c r="F33" s="12"/>
      <c r="G33" s="17">
        <v>32</v>
      </c>
      <c r="H33" s="18">
        <f ca="1" t="shared" si="0"/>
        <v>0.552109003670415</v>
      </c>
      <c r="I33" s="18">
        <f ca="1" t="shared" si="0"/>
        <v>0.691209032616243</v>
      </c>
      <c r="J33" s="18">
        <f ca="1" t="shared" si="1"/>
        <v>0.884643588516992</v>
      </c>
      <c r="K33" s="19">
        <f ca="1" t="shared" si="2"/>
        <v>1</v>
      </c>
      <c r="L33" s="12"/>
      <c r="M33" s="12"/>
      <c r="N33" s="12"/>
      <c r="O33" s="12"/>
      <c r="P33" s="12"/>
    </row>
    <row r="34" spans="1:16">
      <c r="A34" s="12"/>
      <c r="B34" s="12"/>
      <c r="C34" s="12"/>
      <c r="D34" s="12"/>
      <c r="E34" s="12"/>
      <c r="F34" s="12"/>
      <c r="G34" s="17">
        <v>33</v>
      </c>
      <c r="H34" s="18">
        <f ca="1" t="shared" si="0"/>
        <v>0.413514757453024</v>
      </c>
      <c r="I34" s="18">
        <f ca="1" t="shared" si="0"/>
        <v>0.65561597245155</v>
      </c>
      <c r="J34" s="18">
        <f ca="1" t="shared" si="1"/>
        <v>0.775130155499723</v>
      </c>
      <c r="K34" s="19">
        <f ca="1" t="shared" si="2"/>
        <v>1</v>
      </c>
      <c r="L34" s="12"/>
      <c r="M34" s="12"/>
      <c r="N34" s="12"/>
      <c r="O34" s="12"/>
      <c r="P34" s="12"/>
    </row>
    <row r="35" spans="1:16">
      <c r="A35" s="12"/>
      <c r="B35" s="12"/>
      <c r="C35" s="12"/>
      <c r="D35" s="12"/>
      <c r="E35" s="12"/>
      <c r="F35" s="12"/>
      <c r="G35" s="17">
        <v>34</v>
      </c>
      <c r="H35" s="18">
        <f ca="1" t="shared" si="0"/>
        <v>0.287135563121001</v>
      </c>
      <c r="I35" s="18">
        <f ca="1" t="shared" si="0"/>
        <v>0.508510808576737</v>
      </c>
      <c r="J35" s="18">
        <f ca="1" t="shared" si="1"/>
        <v>0.583977802701594</v>
      </c>
      <c r="K35" s="19">
        <f ca="1" t="shared" si="2"/>
        <v>1</v>
      </c>
      <c r="L35" s="12"/>
      <c r="M35" s="12"/>
      <c r="N35" s="12"/>
      <c r="O35" s="12"/>
      <c r="P35" s="12"/>
    </row>
    <row r="36" spans="1:16">
      <c r="A36" s="12"/>
      <c r="B36" s="12"/>
      <c r="C36" s="12"/>
      <c r="D36" s="12"/>
      <c r="E36" s="12"/>
      <c r="F36" s="12"/>
      <c r="G36" s="17">
        <v>35</v>
      </c>
      <c r="H36" s="18">
        <f ca="1" t="shared" si="0"/>
        <v>0.409953237411164</v>
      </c>
      <c r="I36" s="18">
        <f ca="1" t="shared" si="0"/>
        <v>0.711918499586131</v>
      </c>
      <c r="J36" s="18">
        <f ca="1" t="shared" si="1"/>
        <v>0.821516650419735</v>
      </c>
      <c r="K36" s="19">
        <f ca="1" t="shared" si="2"/>
        <v>1</v>
      </c>
      <c r="L36" s="12"/>
      <c r="M36" s="12"/>
      <c r="N36" s="12"/>
      <c r="O36" s="12"/>
      <c r="P36" s="12"/>
    </row>
    <row r="37" spans="1:16">
      <c r="A37" s="12"/>
      <c r="B37" s="12"/>
      <c r="C37" s="12"/>
      <c r="D37" s="12"/>
      <c r="E37" s="12"/>
      <c r="F37" s="12"/>
      <c r="G37" s="17">
        <v>36</v>
      </c>
      <c r="H37" s="18">
        <f ca="1" t="shared" si="0"/>
        <v>0.925469980873024</v>
      </c>
      <c r="I37" s="18">
        <f ca="1" t="shared" si="0"/>
        <v>0.409955609356976</v>
      </c>
      <c r="J37" s="18">
        <f ca="1" t="shared" si="1"/>
        <v>1.01220466662645</v>
      </c>
      <c r="K37" s="19">
        <f ca="1" t="shared" si="2"/>
        <v>0</v>
      </c>
      <c r="L37" s="12"/>
      <c r="M37" s="12"/>
      <c r="N37" s="12"/>
      <c r="O37" s="12"/>
      <c r="P37" s="12"/>
    </row>
    <row r="38" spans="1:16">
      <c r="A38" s="12"/>
      <c r="B38" s="12"/>
      <c r="C38" s="12"/>
      <c r="D38" s="12"/>
      <c r="E38" s="12"/>
      <c r="F38" s="12"/>
      <c r="G38" s="17">
        <v>37</v>
      </c>
      <c r="H38" s="18">
        <f ca="1" t="shared" si="0"/>
        <v>0.415500750582452</v>
      </c>
      <c r="I38" s="18">
        <f ca="1" t="shared" si="0"/>
        <v>0.9213584364583</v>
      </c>
      <c r="J38" s="18">
        <f ca="1" t="shared" si="1"/>
        <v>1.01071372908824</v>
      </c>
      <c r="K38" s="19">
        <f ca="1" t="shared" si="2"/>
        <v>0</v>
      </c>
      <c r="L38" s="12"/>
      <c r="M38" s="12"/>
      <c r="N38" s="12"/>
      <c r="O38" s="12"/>
      <c r="P38" s="12"/>
    </row>
    <row r="39" spans="1:16">
      <c r="A39" s="12"/>
      <c r="B39" s="12"/>
      <c r="C39" s="12"/>
      <c r="D39" s="12"/>
      <c r="E39" s="12"/>
      <c r="F39" s="12"/>
      <c r="G39" s="17">
        <v>38</v>
      </c>
      <c r="H39" s="18">
        <f ca="1" t="shared" si="0"/>
        <v>0.934025058825507</v>
      </c>
      <c r="I39" s="18">
        <f ca="1" t="shared" si="0"/>
        <v>0.287125441421768</v>
      </c>
      <c r="J39" s="18">
        <f ca="1" t="shared" si="1"/>
        <v>0.977161107303006</v>
      </c>
      <c r="K39" s="19">
        <f ca="1" t="shared" si="2"/>
        <v>1</v>
      </c>
      <c r="L39" s="12"/>
      <c r="M39" s="12"/>
      <c r="N39" s="12"/>
      <c r="O39" s="12"/>
      <c r="P39" s="12"/>
    </row>
    <row r="40" spans="1:16">
      <c r="A40" s="12"/>
      <c r="B40" s="12"/>
      <c r="C40" s="12"/>
      <c r="D40" s="12"/>
      <c r="E40" s="12"/>
      <c r="F40" s="12"/>
      <c r="G40" s="17">
        <v>39</v>
      </c>
      <c r="H40" s="18">
        <f ca="1" t="shared" si="0"/>
        <v>0.015306100628387</v>
      </c>
      <c r="I40" s="18">
        <f ca="1" t="shared" si="0"/>
        <v>0.892768320461375</v>
      </c>
      <c r="J40" s="18">
        <f ca="1" t="shared" si="1"/>
        <v>0.892899518835053</v>
      </c>
      <c r="K40" s="19">
        <f ca="1" t="shared" si="2"/>
        <v>1</v>
      </c>
      <c r="L40" s="12"/>
      <c r="M40" s="12"/>
      <c r="N40" s="12"/>
      <c r="O40" s="12"/>
      <c r="P40" s="12"/>
    </row>
    <row r="41" spans="1:16">
      <c r="A41" s="12"/>
      <c r="B41" s="12"/>
      <c r="C41" s="12"/>
      <c r="D41" s="12"/>
      <c r="E41" s="12"/>
      <c r="F41" s="12"/>
      <c r="G41" s="17">
        <v>40</v>
      </c>
      <c r="H41" s="18">
        <f ca="1" t="shared" si="0"/>
        <v>0.697109896542137</v>
      </c>
      <c r="I41" s="18">
        <f ca="1" t="shared" si="0"/>
        <v>0.443377879415734</v>
      </c>
      <c r="J41" s="18">
        <f ca="1" t="shared" si="1"/>
        <v>0.826163513968138</v>
      </c>
      <c r="K41" s="19">
        <f ca="1" t="shared" si="2"/>
        <v>1</v>
      </c>
      <c r="L41" s="12"/>
      <c r="M41" s="12"/>
      <c r="N41" s="12"/>
      <c r="O41" s="12"/>
      <c r="P41" s="12"/>
    </row>
    <row r="42" spans="1:16">
      <c r="A42" s="12"/>
      <c r="B42" s="12"/>
      <c r="C42" s="12"/>
      <c r="D42" s="12"/>
      <c r="E42" s="12"/>
      <c r="F42" s="12"/>
      <c r="G42" s="17">
        <v>41</v>
      </c>
      <c r="H42" s="18">
        <f ca="1" t="shared" si="0"/>
        <v>0.621396237608128</v>
      </c>
      <c r="I42" s="18">
        <f ca="1" t="shared" si="0"/>
        <v>0.319884310834595</v>
      </c>
      <c r="J42" s="18">
        <f ca="1" t="shared" si="1"/>
        <v>0.698898602396414</v>
      </c>
      <c r="K42" s="19">
        <f ca="1" t="shared" si="2"/>
        <v>1</v>
      </c>
      <c r="L42" s="12"/>
      <c r="M42" s="12"/>
      <c r="N42" s="12"/>
      <c r="O42" s="12"/>
      <c r="P42" s="12"/>
    </row>
    <row r="43" spans="1:16">
      <c r="A43" s="12"/>
      <c r="B43" s="12"/>
      <c r="C43" s="12"/>
      <c r="D43" s="12"/>
      <c r="E43" s="12"/>
      <c r="F43" s="12"/>
      <c r="G43" s="17">
        <v>42</v>
      </c>
      <c r="H43" s="18">
        <f ca="1" t="shared" si="0"/>
        <v>0.480992179006697</v>
      </c>
      <c r="I43" s="18">
        <f ca="1" t="shared" si="0"/>
        <v>0.925469148779959</v>
      </c>
      <c r="J43" s="18">
        <f ca="1" t="shared" si="1"/>
        <v>1.04299885983117</v>
      </c>
      <c r="K43" s="19">
        <f ca="1" t="shared" si="2"/>
        <v>0</v>
      </c>
      <c r="L43" s="12"/>
      <c r="M43" s="12"/>
      <c r="N43" s="12"/>
      <c r="O43" s="12"/>
      <c r="P43" s="12"/>
    </row>
    <row r="44" spans="1:16">
      <c r="A44" s="12"/>
      <c r="B44" s="12"/>
      <c r="C44" s="12"/>
      <c r="D44" s="12"/>
      <c r="E44" s="12"/>
      <c r="F44" s="12"/>
      <c r="G44" s="17">
        <v>43</v>
      </c>
      <c r="H44" s="18">
        <f ca="1" t="shared" si="0"/>
        <v>0.236630769034489</v>
      </c>
      <c r="I44" s="18">
        <f ca="1" t="shared" si="0"/>
        <v>0.160532567027068</v>
      </c>
      <c r="J44" s="18">
        <f ca="1" t="shared" si="1"/>
        <v>0.285945494684133</v>
      </c>
      <c r="K44" s="19">
        <f ca="1" t="shared" si="2"/>
        <v>1</v>
      </c>
      <c r="L44" s="12"/>
      <c r="M44" s="12"/>
      <c r="N44" s="12"/>
      <c r="O44" s="12"/>
      <c r="P44" s="12"/>
    </row>
    <row r="45" spans="1:16">
      <c r="A45" s="12"/>
      <c r="B45" s="12"/>
      <c r="C45" s="12"/>
      <c r="D45" s="12"/>
      <c r="E45" s="12"/>
      <c r="F45" s="12"/>
      <c r="G45" s="17">
        <v>44</v>
      </c>
      <c r="H45" s="18">
        <f ca="1" t="shared" si="0"/>
        <v>0.592893500393635</v>
      </c>
      <c r="I45" s="18">
        <f ca="1" t="shared" si="0"/>
        <v>0.50632989659825</v>
      </c>
      <c r="J45" s="18">
        <f ca="1" t="shared" si="1"/>
        <v>0.779674718711728</v>
      </c>
      <c r="K45" s="19">
        <f ca="1" t="shared" si="2"/>
        <v>1</v>
      </c>
      <c r="L45" s="12"/>
      <c r="M45" s="12"/>
      <c r="N45" s="12"/>
      <c r="O45" s="12"/>
      <c r="P45" s="12"/>
    </row>
    <row r="46" spans="1:16">
      <c r="A46" s="12"/>
      <c r="B46" s="12"/>
      <c r="C46" s="12"/>
      <c r="D46" s="12"/>
      <c r="E46" s="12"/>
      <c r="F46" s="12"/>
      <c r="G46" s="17">
        <v>45</v>
      </c>
      <c r="H46" s="18">
        <f ca="1" t="shared" si="0"/>
        <v>0.892790802591964</v>
      </c>
      <c r="I46" s="18">
        <f ca="1" t="shared" si="0"/>
        <v>0.213085532068219</v>
      </c>
      <c r="J46" s="18">
        <f ca="1" t="shared" si="1"/>
        <v>0.91786756188984</v>
      </c>
      <c r="K46" s="19">
        <f ca="1" t="shared" si="2"/>
        <v>1</v>
      </c>
      <c r="L46" s="12"/>
      <c r="M46" s="12"/>
      <c r="N46" s="12"/>
      <c r="O46" s="12"/>
      <c r="P46" s="12"/>
    </row>
    <row r="47" spans="1:16">
      <c r="A47" s="12"/>
      <c r="B47" s="12"/>
      <c r="C47" s="12"/>
      <c r="D47" s="12"/>
      <c r="E47" s="12"/>
      <c r="F47" s="12"/>
      <c r="G47" s="17">
        <v>46</v>
      </c>
      <c r="H47" s="18">
        <f ca="1" t="shared" si="0"/>
        <v>0.42186671553917</v>
      </c>
      <c r="I47" s="18">
        <f ca="1" t="shared" si="0"/>
        <v>0.801508896468871</v>
      </c>
      <c r="J47" s="18">
        <f ca="1" t="shared" si="1"/>
        <v>0.90575274595143</v>
      </c>
      <c r="K47" s="19">
        <f ca="1" t="shared" si="2"/>
        <v>1</v>
      </c>
      <c r="L47" s="12"/>
      <c r="M47" s="12"/>
      <c r="N47" s="12"/>
      <c r="O47" s="12"/>
      <c r="P47" s="12"/>
    </row>
    <row r="48" spans="1:16">
      <c r="A48" s="12"/>
      <c r="B48" s="12"/>
      <c r="C48" s="12"/>
      <c r="D48" s="12"/>
      <c r="E48" s="12"/>
      <c r="F48" s="12"/>
      <c r="G48" s="17">
        <v>47</v>
      </c>
      <c r="H48" s="18">
        <f ca="1" t="shared" si="0"/>
        <v>0.287109808904962</v>
      </c>
      <c r="I48" s="18">
        <f ca="1" t="shared" si="0"/>
        <v>0.621368754264399</v>
      </c>
      <c r="J48" s="18">
        <f ca="1" t="shared" si="1"/>
        <v>0.684493368226117</v>
      </c>
      <c r="K48" s="19">
        <f ca="1" t="shared" si="2"/>
        <v>1</v>
      </c>
      <c r="L48" s="12"/>
      <c r="M48" s="12"/>
      <c r="N48" s="12"/>
      <c r="O48" s="12"/>
      <c r="P48" s="12"/>
    </row>
    <row r="49" spans="1:16">
      <c r="A49" s="12"/>
      <c r="B49" s="12"/>
      <c r="C49" s="12"/>
      <c r="D49" s="12"/>
      <c r="E49" s="12"/>
      <c r="F49" s="12"/>
      <c r="G49" s="17">
        <v>48</v>
      </c>
      <c r="H49" s="18">
        <f ca="1" t="shared" si="0"/>
        <v>0.368157104141407</v>
      </c>
      <c r="I49" s="18">
        <f ca="1" t="shared" si="0"/>
        <v>0.50633505539408</v>
      </c>
      <c r="J49" s="18">
        <f ca="1" t="shared" si="1"/>
        <v>0.626031022913971</v>
      </c>
      <c r="K49" s="19">
        <f ca="1" t="shared" si="2"/>
        <v>1</v>
      </c>
      <c r="L49" s="12"/>
      <c r="M49" s="12"/>
      <c r="N49" s="12"/>
      <c r="O49" s="12"/>
      <c r="P49" s="12"/>
    </row>
    <row r="50" spans="1:16">
      <c r="A50" s="12"/>
      <c r="B50" s="12"/>
      <c r="C50" s="12"/>
      <c r="D50" s="12"/>
      <c r="E50" s="12"/>
      <c r="F50" s="12"/>
      <c r="G50" s="17">
        <v>49</v>
      </c>
      <c r="H50" s="18">
        <f ca="1" t="shared" si="0"/>
        <v>0.756088559248631</v>
      </c>
      <c r="I50" s="18">
        <f ca="1" t="shared" si="0"/>
        <v>0.404712861873778</v>
      </c>
      <c r="J50" s="18">
        <f ca="1" t="shared" si="1"/>
        <v>0.857591050555411</v>
      </c>
      <c r="K50" s="19">
        <f ca="1" t="shared" si="2"/>
        <v>1</v>
      </c>
      <c r="L50" s="12"/>
      <c r="M50" s="12"/>
      <c r="N50" s="12"/>
      <c r="O50" s="12"/>
      <c r="P50" s="12"/>
    </row>
    <row r="51" spans="1:16">
      <c r="A51" s="12"/>
      <c r="B51" s="12"/>
      <c r="C51" s="12"/>
      <c r="D51" s="12"/>
      <c r="E51" s="12"/>
      <c r="F51" s="12"/>
      <c r="G51" s="17">
        <v>50</v>
      </c>
      <c r="H51" s="18">
        <f ca="1" t="shared" si="0"/>
        <v>0.415518955153913</v>
      </c>
      <c r="I51" s="18">
        <f ca="1" t="shared" si="0"/>
        <v>0.423850663727832</v>
      </c>
      <c r="J51" s="18">
        <f ca="1" t="shared" si="1"/>
        <v>0.593553188210394</v>
      </c>
      <c r="K51" s="19">
        <f ca="1" t="shared" si="2"/>
        <v>1</v>
      </c>
      <c r="L51" s="12"/>
      <c r="M51" s="12"/>
      <c r="N51" s="12"/>
      <c r="O51" s="12"/>
      <c r="P51" s="12"/>
    </row>
    <row r="52" spans="1:16">
      <c r="A52" s="12"/>
      <c r="B52" s="12"/>
      <c r="C52" s="12"/>
      <c r="D52" s="12"/>
      <c r="E52" s="12"/>
      <c r="F52" s="12"/>
      <c r="G52" s="17">
        <v>51</v>
      </c>
      <c r="H52" s="18">
        <f ca="1" t="shared" si="0"/>
        <v>0.47497319314945</v>
      </c>
      <c r="I52" s="18">
        <f ca="1" t="shared" si="0"/>
        <v>0.43319325446814</v>
      </c>
      <c r="J52" s="18">
        <f ca="1" t="shared" si="1"/>
        <v>0.642849850219539</v>
      </c>
      <c r="K52" s="19">
        <f ca="1" t="shared" si="2"/>
        <v>1</v>
      </c>
      <c r="L52" s="12"/>
      <c r="M52" s="12"/>
      <c r="N52" s="12"/>
      <c r="O52" s="12"/>
      <c r="P52" s="12"/>
    </row>
    <row r="53" spans="1:16">
      <c r="A53" s="12"/>
      <c r="B53" s="12"/>
      <c r="C53" s="12"/>
      <c r="D53" s="12"/>
      <c r="E53" s="12"/>
      <c r="F53" s="12"/>
      <c r="G53" s="17">
        <v>52</v>
      </c>
      <c r="H53" s="18">
        <f ca="1" t="shared" si="0"/>
        <v>0.267967887596077</v>
      </c>
      <c r="I53" s="18">
        <f ca="1" t="shared" si="0"/>
        <v>0.415513575862007</v>
      </c>
      <c r="J53" s="18">
        <f ca="1" t="shared" si="1"/>
        <v>0.494427265134454</v>
      </c>
      <c r="K53" s="19">
        <f ca="1" t="shared" si="2"/>
        <v>1</v>
      </c>
      <c r="L53" s="12"/>
      <c r="M53" s="12"/>
      <c r="N53" s="12"/>
      <c r="O53" s="12"/>
      <c r="P53" s="12"/>
    </row>
    <row r="54" spans="1:16">
      <c r="A54" s="12"/>
      <c r="B54" s="12"/>
      <c r="C54" s="12"/>
      <c r="D54" s="12"/>
      <c r="E54" s="12"/>
      <c r="F54" s="12"/>
      <c r="G54" s="17">
        <v>53</v>
      </c>
      <c r="H54" s="18">
        <f ca="1" t="shared" si="0"/>
        <v>0.137852538658928</v>
      </c>
      <c r="I54" s="18">
        <f ca="1" t="shared" si="0"/>
        <v>0.421849683946664</v>
      </c>
      <c r="J54" s="18">
        <f ca="1" t="shared" si="1"/>
        <v>0.443802296366987</v>
      </c>
      <c r="K54" s="19">
        <f ca="1" t="shared" si="2"/>
        <v>1</v>
      </c>
      <c r="L54" s="12"/>
      <c r="M54" s="12"/>
      <c r="N54" s="12"/>
      <c r="O54" s="12"/>
      <c r="P54" s="12"/>
    </row>
    <row r="55" spans="1:16">
      <c r="A55" s="12"/>
      <c r="B55" s="12"/>
      <c r="C55" s="12"/>
      <c r="D55" s="12"/>
      <c r="E55" s="12"/>
      <c r="F55" s="12"/>
      <c r="G55" s="17">
        <v>54</v>
      </c>
      <c r="H55" s="18">
        <f ca="1" t="shared" si="0"/>
        <v>0.214340456910283</v>
      </c>
      <c r="I55" s="18">
        <f ca="1" t="shared" si="0"/>
        <v>0.65561009777425</v>
      </c>
      <c r="J55" s="18">
        <f ca="1" t="shared" si="1"/>
        <v>0.689758241539796</v>
      </c>
      <c r="K55" s="19">
        <f ca="1" t="shared" si="2"/>
        <v>1</v>
      </c>
      <c r="L55" s="12"/>
      <c r="M55" s="12"/>
      <c r="N55" s="12"/>
      <c r="O55" s="12"/>
      <c r="P55" s="12"/>
    </row>
    <row r="56" spans="1:16">
      <c r="A56" s="12"/>
      <c r="B56" s="12"/>
      <c r="C56" s="12"/>
      <c r="D56" s="12"/>
      <c r="E56" s="12"/>
      <c r="F56" s="12"/>
      <c r="G56" s="17">
        <v>55</v>
      </c>
      <c r="H56" s="18">
        <f ca="1" t="shared" si="0"/>
        <v>0.0153052206195035</v>
      </c>
      <c r="I56" s="18">
        <f ca="1" t="shared" si="0"/>
        <v>0.592879584007839</v>
      </c>
      <c r="J56" s="18">
        <f ca="1" t="shared" si="1"/>
        <v>0.593077103681738</v>
      </c>
      <c r="K56" s="19">
        <f ca="1" t="shared" si="2"/>
        <v>1</v>
      </c>
      <c r="L56" s="12"/>
      <c r="M56" s="12"/>
      <c r="N56" s="12"/>
      <c r="O56" s="12"/>
      <c r="P56" s="12"/>
    </row>
    <row r="57" spans="1:16">
      <c r="A57" s="12"/>
      <c r="B57" s="12"/>
      <c r="C57" s="12"/>
      <c r="D57" s="12"/>
      <c r="E57" s="12"/>
      <c r="F57" s="12"/>
      <c r="G57" s="17">
        <v>56</v>
      </c>
      <c r="H57" s="18">
        <f ca="1" t="shared" si="0"/>
        <v>0.781395878055376</v>
      </c>
      <c r="I57" s="18">
        <f ca="1" t="shared" si="0"/>
        <v>0.167831096106906</v>
      </c>
      <c r="J57" s="18">
        <f ca="1" t="shared" si="1"/>
        <v>0.799216363109751</v>
      </c>
      <c r="K57" s="19">
        <f ca="1" t="shared" si="2"/>
        <v>1</v>
      </c>
      <c r="L57" s="12"/>
      <c r="M57" s="12"/>
      <c r="N57" s="12"/>
      <c r="O57" s="12"/>
      <c r="P57" s="12"/>
    </row>
    <row r="58" spans="1:16">
      <c r="A58" s="12"/>
      <c r="B58" s="12"/>
      <c r="C58" s="12"/>
      <c r="D58" s="12"/>
      <c r="E58" s="12"/>
      <c r="F58" s="12"/>
      <c r="G58" s="17">
        <v>57</v>
      </c>
      <c r="H58" s="18">
        <f ca="1" t="shared" si="0"/>
        <v>0.925458289329546</v>
      </c>
      <c r="I58" s="18">
        <f ca="1" t="shared" si="0"/>
        <v>0.506346161572215</v>
      </c>
      <c r="J58" s="18">
        <f ca="1" t="shared" si="1"/>
        <v>1.05492155188321</v>
      </c>
      <c r="K58" s="19">
        <f ca="1" t="shared" si="2"/>
        <v>0</v>
      </c>
      <c r="L58" s="12"/>
      <c r="M58" s="12"/>
      <c r="N58" s="12"/>
      <c r="O58" s="12"/>
      <c r="P58" s="12"/>
    </row>
    <row r="59" spans="1:16">
      <c r="A59" s="12"/>
      <c r="B59" s="12"/>
      <c r="C59" s="12"/>
      <c r="D59" s="12"/>
      <c r="E59" s="12"/>
      <c r="F59" s="12"/>
      <c r="G59" s="17">
        <v>58</v>
      </c>
      <c r="H59" s="18">
        <f ca="1" t="shared" si="0"/>
        <v>0.561549950645406</v>
      </c>
      <c r="I59" s="18">
        <f ca="1" t="shared" si="0"/>
        <v>0.167818393270804</v>
      </c>
      <c r="J59" s="18">
        <f ca="1" t="shared" si="1"/>
        <v>0.586089890878397</v>
      </c>
      <c r="K59" s="19">
        <f ca="1" t="shared" si="2"/>
        <v>1</v>
      </c>
      <c r="L59" s="12"/>
      <c r="M59" s="12"/>
      <c r="N59" s="12"/>
      <c r="O59" s="12"/>
      <c r="P59" s="12"/>
    </row>
    <row r="60" spans="1:16">
      <c r="A60" s="12"/>
      <c r="B60" s="12"/>
      <c r="C60" s="12"/>
      <c r="D60" s="12"/>
      <c r="E60" s="12"/>
      <c r="F60" s="12"/>
      <c r="G60" s="17">
        <v>59</v>
      </c>
      <c r="H60" s="18">
        <f ca="1" t="shared" si="0"/>
        <v>0.781395622068997</v>
      </c>
      <c r="I60" s="18">
        <f ca="1" t="shared" si="0"/>
        <v>0.621382215700937</v>
      </c>
      <c r="J60" s="18">
        <f ca="1" t="shared" si="1"/>
        <v>0.998346120430184</v>
      </c>
      <c r="K60" s="19">
        <f ca="1" t="shared" si="2"/>
        <v>1</v>
      </c>
      <c r="L60" s="12"/>
      <c r="M60" s="12"/>
      <c r="N60" s="12"/>
      <c r="O60" s="12"/>
      <c r="P60" s="12"/>
    </row>
    <row r="61" spans="1:16">
      <c r="A61" s="12"/>
      <c r="B61" s="12"/>
      <c r="C61" s="12"/>
      <c r="D61" s="12"/>
      <c r="E61" s="12"/>
      <c r="F61" s="12"/>
      <c r="G61" s="17">
        <v>60</v>
      </c>
      <c r="H61" s="18">
        <f ca="1" t="shared" si="0"/>
        <v>0.228762383548809</v>
      </c>
      <c r="I61" s="18">
        <f ca="1" t="shared" si="0"/>
        <v>0.869389115894706</v>
      </c>
      <c r="J61" s="18">
        <f ca="1" t="shared" si="1"/>
        <v>0.898982571000745</v>
      </c>
      <c r="K61" s="19">
        <f ca="1" t="shared" si="2"/>
        <v>1</v>
      </c>
      <c r="L61" s="12"/>
      <c r="M61" s="12"/>
      <c r="N61" s="12"/>
      <c r="O61" s="12"/>
      <c r="P61" s="12"/>
    </row>
    <row r="62" spans="1:16">
      <c r="A62" s="12"/>
      <c r="B62" s="12"/>
      <c r="C62" s="12"/>
      <c r="D62" s="12"/>
      <c r="E62" s="12"/>
      <c r="F62" s="12"/>
      <c r="G62" s="17">
        <v>61</v>
      </c>
      <c r="H62" s="18">
        <f ca="1" t="shared" si="0"/>
        <v>0.421873218240751</v>
      </c>
      <c r="I62" s="18">
        <f ca="1" t="shared" si="0"/>
        <v>0.137865171223831</v>
      </c>
      <c r="J62" s="18">
        <f ca="1" t="shared" si="1"/>
        <v>0.443828590455126</v>
      </c>
      <c r="K62" s="19">
        <f ca="1" t="shared" si="2"/>
        <v>1</v>
      </c>
      <c r="L62" s="12"/>
      <c r="M62" s="12"/>
      <c r="N62" s="12"/>
      <c r="O62" s="12"/>
      <c r="P62" s="12"/>
    </row>
    <row r="63" spans="1:16">
      <c r="A63" s="12"/>
      <c r="B63" s="12"/>
      <c r="C63" s="12"/>
      <c r="D63" s="12"/>
      <c r="E63" s="12"/>
      <c r="F63" s="12"/>
      <c r="G63" s="17">
        <v>62</v>
      </c>
      <c r="H63" s="18">
        <f ca="1" t="shared" si="0"/>
        <v>0.196158618910265</v>
      </c>
      <c r="I63" s="18">
        <f ca="1" t="shared" si="0"/>
        <v>0.934033348349483</v>
      </c>
      <c r="J63" s="18">
        <f ca="1" t="shared" si="1"/>
        <v>0.954408979212648</v>
      </c>
      <c r="K63" s="19">
        <f ca="1" t="shared" si="2"/>
        <v>1</v>
      </c>
      <c r="L63" s="12"/>
      <c r="M63" s="12"/>
      <c r="N63" s="12"/>
      <c r="O63" s="12"/>
      <c r="P63" s="12"/>
    </row>
    <row r="64" spans="1:16">
      <c r="A64" s="12"/>
      <c r="B64" s="12"/>
      <c r="C64" s="12"/>
      <c r="D64" s="12"/>
      <c r="E64" s="12"/>
      <c r="F64" s="12"/>
      <c r="G64" s="17">
        <v>63</v>
      </c>
      <c r="H64" s="18">
        <f ca="1" t="shared" si="0"/>
        <v>0.22876122407585</v>
      </c>
      <c r="I64" s="18">
        <f ca="1" t="shared" si="0"/>
        <v>0.345480838288026</v>
      </c>
      <c r="J64" s="18">
        <f ca="1" t="shared" si="1"/>
        <v>0.414353360388061</v>
      </c>
      <c r="K64" s="19">
        <f ca="1" t="shared" si="2"/>
        <v>1</v>
      </c>
      <c r="L64" s="12"/>
      <c r="M64" s="12"/>
      <c r="N64" s="12"/>
      <c r="O64" s="12"/>
      <c r="P64" s="12"/>
    </row>
    <row r="65" spans="1:16">
      <c r="A65" s="12"/>
      <c r="B65" s="12"/>
      <c r="C65" s="12"/>
      <c r="D65" s="12"/>
      <c r="E65" s="12"/>
      <c r="F65" s="12"/>
      <c r="G65" s="17">
        <v>64</v>
      </c>
      <c r="H65" s="18">
        <f ca="1" t="shared" si="0"/>
        <v>0.841346957819543</v>
      </c>
      <c r="I65" s="18">
        <f ca="1" t="shared" si="0"/>
        <v>0.345476257059531</v>
      </c>
      <c r="J65" s="18">
        <f ca="1" t="shared" si="1"/>
        <v>0.909515556559679</v>
      </c>
      <c r="K65" s="19">
        <f ca="1" t="shared" si="2"/>
        <v>1</v>
      </c>
      <c r="L65" s="12"/>
      <c r="M65" s="12"/>
      <c r="N65" s="12"/>
      <c r="O65" s="12"/>
      <c r="P65" s="12"/>
    </row>
    <row r="66" spans="1:16">
      <c r="A66" s="12"/>
      <c r="B66" s="12"/>
      <c r="C66" s="12"/>
      <c r="D66" s="12"/>
      <c r="E66" s="12"/>
      <c r="F66" s="12"/>
      <c r="G66" s="17">
        <v>65</v>
      </c>
      <c r="H66" s="18">
        <f ca="1" t="shared" si="0"/>
        <v>0.516336970730339</v>
      </c>
      <c r="I66" s="18">
        <f ca="1" t="shared" si="0"/>
        <v>0.35426460444056</v>
      </c>
      <c r="J66" s="18">
        <f ca="1" t="shared" si="1"/>
        <v>0.62618469903249</v>
      </c>
      <c r="K66" s="19">
        <f ca="1" t="shared" si="2"/>
        <v>1</v>
      </c>
      <c r="L66" s="12"/>
      <c r="M66" s="12"/>
      <c r="N66" s="12"/>
      <c r="O66" s="12"/>
      <c r="P66" s="12"/>
    </row>
    <row r="67" spans="1:16">
      <c r="A67" s="12"/>
      <c r="B67" s="12"/>
      <c r="C67" s="12"/>
      <c r="D67" s="12"/>
      <c r="E67" s="12"/>
      <c r="F67" s="12"/>
      <c r="G67" s="17">
        <v>66</v>
      </c>
      <c r="H67" s="18">
        <f ca="1" t="shared" ref="H67:I101" si="3">RAND()</f>
        <v>0.508504796176474</v>
      </c>
      <c r="I67" s="18">
        <f ca="1" t="shared" si="3"/>
        <v>0.137875165726593</v>
      </c>
      <c r="J67" s="18">
        <f ca="1" t="shared" ref="J67:J101" si="4">SQRT(H67^2+I67^2)</f>
        <v>0.526864962830717</v>
      </c>
      <c r="K67" s="19">
        <f ca="1" t="shared" ref="K67:K101" si="5">IF(J67&lt;1,1,0)</f>
        <v>1</v>
      </c>
      <c r="L67" s="12"/>
      <c r="M67" s="12"/>
      <c r="N67" s="12"/>
      <c r="O67" s="12"/>
      <c r="P67" s="12"/>
    </row>
    <row r="68" spans="1:16">
      <c r="A68" s="12"/>
      <c r="B68" s="12"/>
      <c r="C68" s="12"/>
      <c r="D68" s="12"/>
      <c r="E68" s="12"/>
      <c r="F68" s="12"/>
      <c r="G68" s="17">
        <v>67</v>
      </c>
      <c r="H68" s="18">
        <f ca="1" t="shared" si="3"/>
        <v>0.366515974505533</v>
      </c>
      <c r="I68" s="18">
        <f ca="1" t="shared" si="3"/>
        <v>0.443375113133029</v>
      </c>
      <c r="J68" s="18">
        <f ca="1" t="shared" si="4"/>
        <v>0.575252510219179</v>
      </c>
      <c r="K68" s="19">
        <f ca="1" t="shared" si="5"/>
        <v>1</v>
      </c>
      <c r="L68" s="12"/>
      <c r="M68" s="12"/>
      <c r="N68" s="12"/>
      <c r="O68" s="12"/>
      <c r="P68" s="12"/>
    </row>
    <row r="69" spans="1:16">
      <c r="A69" s="12"/>
      <c r="B69" s="12"/>
      <c r="C69" s="12"/>
      <c r="D69" s="12"/>
      <c r="E69" s="12"/>
      <c r="F69" s="12"/>
      <c r="G69" s="17">
        <v>68</v>
      </c>
      <c r="H69" s="18">
        <f ca="1" t="shared" si="3"/>
        <v>0.366507043846001</v>
      </c>
      <c r="I69" s="18">
        <f ca="1" t="shared" si="3"/>
        <v>0.921370783321814</v>
      </c>
      <c r="J69" s="18">
        <f ca="1" t="shared" si="4"/>
        <v>0.991590406139444</v>
      </c>
      <c r="K69" s="19">
        <f ca="1" t="shared" si="5"/>
        <v>1</v>
      </c>
      <c r="L69" s="12"/>
      <c r="M69" s="12"/>
      <c r="N69" s="12"/>
      <c r="O69" s="12"/>
      <c r="P69" s="12"/>
    </row>
    <row r="70" spans="1:16">
      <c r="A70" s="12"/>
      <c r="B70" s="12"/>
      <c r="C70" s="12"/>
      <c r="D70" s="12"/>
      <c r="E70" s="12"/>
      <c r="F70" s="12"/>
      <c r="G70" s="17">
        <v>69</v>
      </c>
      <c r="H70" s="18">
        <f ca="1" t="shared" si="3"/>
        <v>0.690576103047996</v>
      </c>
      <c r="I70" s="18">
        <f ca="1" t="shared" si="3"/>
        <v>0.781383507595931</v>
      </c>
      <c r="J70" s="18">
        <f ca="1" t="shared" si="4"/>
        <v>1.04281136359549</v>
      </c>
      <c r="K70" s="19">
        <f ca="1" t="shared" si="5"/>
        <v>0</v>
      </c>
      <c r="L70" s="12"/>
      <c r="M70" s="12"/>
      <c r="N70" s="12"/>
      <c r="O70" s="12"/>
      <c r="P70" s="12"/>
    </row>
    <row r="71" spans="1:16">
      <c r="A71" s="12"/>
      <c r="B71" s="12"/>
      <c r="C71" s="12"/>
      <c r="D71" s="12"/>
      <c r="E71" s="12"/>
      <c r="F71" s="12"/>
      <c r="G71" s="17">
        <v>70</v>
      </c>
      <c r="H71" s="18">
        <f ca="1" t="shared" si="3"/>
        <v>0.409967506106105</v>
      </c>
      <c r="I71" s="18">
        <f ca="1" t="shared" si="3"/>
        <v>0.254994911157326</v>
      </c>
      <c r="J71" s="18">
        <f ca="1" t="shared" si="4"/>
        <v>0.482799917956695</v>
      </c>
      <c r="K71" s="19">
        <f ca="1" t="shared" si="5"/>
        <v>1</v>
      </c>
      <c r="L71" s="12"/>
      <c r="M71" s="12"/>
      <c r="N71" s="12"/>
      <c r="O71" s="12"/>
      <c r="P71" s="12"/>
    </row>
    <row r="72" spans="1:16">
      <c r="A72" s="12"/>
      <c r="B72" s="12"/>
      <c r="C72" s="12"/>
      <c r="D72" s="12"/>
      <c r="E72" s="12"/>
      <c r="F72" s="12"/>
      <c r="G72" s="17">
        <v>71</v>
      </c>
      <c r="H72" s="18">
        <f ca="1" t="shared" si="3"/>
        <v>0.00624263734797359</v>
      </c>
      <c r="I72" s="18">
        <f ca="1" t="shared" si="3"/>
        <v>0.415511763151755</v>
      </c>
      <c r="J72" s="18">
        <f ca="1" t="shared" si="4"/>
        <v>0.415558655112053</v>
      </c>
      <c r="K72" s="19">
        <f ca="1" t="shared" si="5"/>
        <v>1</v>
      </c>
      <c r="L72" s="12"/>
      <c r="M72" s="12"/>
      <c r="N72" s="12"/>
      <c r="O72" s="12"/>
      <c r="P72" s="12"/>
    </row>
    <row r="73" spans="1:16">
      <c r="A73" s="12"/>
      <c r="B73" s="12"/>
      <c r="C73" s="12"/>
      <c r="D73" s="12"/>
      <c r="E73" s="12"/>
      <c r="F73" s="12"/>
      <c r="G73" s="17">
        <v>72</v>
      </c>
      <c r="H73" s="18">
        <f ca="1" t="shared" si="3"/>
        <v>0.697107383528241</v>
      </c>
      <c r="I73" s="18">
        <f ca="1" t="shared" si="3"/>
        <v>0.236625537042526</v>
      </c>
      <c r="J73" s="18">
        <f ca="1" t="shared" si="4"/>
        <v>0.736172771127983</v>
      </c>
      <c r="K73" s="19">
        <f ca="1" t="shared" si="5"/>
        <v>1</v>
      </c>
      <c r="L73" s="12"/>
      <c r="M73" s="12"/>
      <c r="N73" s="12"/>
      <c r="O73" s="12"/>
      <c r="P73" s="12"/>
    </row>
    <row r="74" spans="1:16">
      <c r="A74" s="12"/>
      <c r="B74" s="12"/>
      <c r="C74" s="12"/>
      <c r="D74" s="12"/>
      <c r="E74" s="12"/>
      <c r="F74" s="12"/>
      <c r="G74" s="17">
        <v>73</v>
      </c>
      <c r="H74" s="18">
        <f ca="1" t="shared" si="3"/>
        <v>0.697083354447208</v>
      </c>
      <c r="I74" s="18">
        <f ca="1" t="shared" si="3"/>
        <v>0.55211344205913</v>
      </c>
      <c r="J74" s="18">
        <f ca="1" t="shared" si="4"/>
        <v>0.889243755080547</v>
      </c>
      <c r="K74" s="19">
        <f ca="1" t="shared" si="5"/>
        <v>1</v>
      </c>
      <c r="L74" s="12"/>
      <c r="M74" s="12"/>
      <c r="N74" s="12"/>
      <c r="O74" s="12"/>
      <c r="P74" s="12"/>
    </row>
    <row r="75" spans="1:16">
      <c r="A75" s="12"/>
      <c r="B75" s="12"/>
      <c r="C75" s="12"/>
      <c r="D75" s="12"/>
      <c r="E75" s="12"/>
      <c r="F75" s="12"/>
      <c r="G75" s="17">
        <v>74</v>
      </c>
      <c r="H75" s="18">
        <f ca="1" t="shared" si="3"/>
        <v>0.101392589206811</v>
      </c>
      <c r="I75" s="18">
        <f ca="1" t="shared" si="3"/>
        <v>0.986438606974429</v>
      </c>
      <c r="J75" s="18">
        <f ca="1" t="shared" si="4"/>
        <v>0.991635811412493</v>
      </c>
      <c r="K75" s="19">
        <f ca="1" t="shared" si="5"/>
        <v>1</v>
      </c>
      <c r="L75" s="12"/>
      <c r="M75" s="12"/>
      <c r="N75" s="12"/>
      <c r="O75" s="12"/>
      <c r="P75" s="12"/>
    </row>
    <row r="76" spans="1:16">
      <c r="A76" s="12"/>
      <c r="B76" s="12"/>
      <c r="C76" s="12"/>
      <c r="D76" s="12"/>
      <c r="E76" s="12"/>
      <c r="F76" s="12"/>
      <c r="G76" s="17">
        <v>75</v>
      </c>
      <c r="H76" s="18">
        <f ca="1" t="shared" si="3"/>
        <v>0.297724616169434</v>
      </c>
      <c r="I76" s="18">
        <f ca="1" t="shared" si="3"/>
        <v>0.267948966753883</v>
      </c>
      <c r="J76" s="18">
        <f ca="1" t="shared" si="4"/>
        <v>0.400545373032457</v>
      </c>
      <c r="K76" s="19">
        <f ca="1" t="shared" si="5"/>
        <v>1</v>
      </c>
      <c r="L76" s="12"/>
      <c r="M76" s="12"/>
      <c r="N76" s="12"/>
      <c r="O76" s="12"/>
      <c r="P76" s="12"/>
    </row>
    <row r="77" spans="1:16">
      <c r="A77" s="12"/>
      <c r="B77" s="12"/>
      <c r="C77" s="12"/>
      <c r="D77" s="12"/>
      <c r="E77" s="12"/>
      <c r="F77" s="12"/>
      <c r="G77" s="17">
        <v>76</v>
      </c>
      <c r="H77" s="18">
        <f ca="1" t="shared" si="3"/>
        <v>0.697089324144876</v>
      </c>
      <c r="I77" s="18">
        <f ca="1" t="shared" si="3"/>
        <v>0.42382950047188</v>
      </c>
      <c r="J77" s="18">
        <f ca="1" t="shared" si="4"/>
        <v>0.815821654105236</v>
      </c>
      <c r="K77" s="19">
        <f ca="1" t="shared" si="5"/>
        <v>1</v>
      </c>
      <c r="L77" s="12"/>
      <c r="M77" s="12"/>
      <c r="N77" s="12"/>
      <c r="O77" s="12"/>
      <c r="P77" s="12"/>
    </row>
    <row r="78" spans="1:16">
      <c r="A78" s="12"/>
      <c r="B78" s="12"/>
      <c r="C78" s="12"/>
      <c r="D78" s="12"/>
      <c r="E78" s="12"/>
      <c r="F78" s="12"/>
      <c r="G78" s="17">
        <v>77</v>
      </c>
      <c r="H78" s="18">
        <f ca="1" t="shared" si="3"/>
        <v>0.946907657103388</v>
      </c>
      <c r="I78" s="18">
        <f ca="1" t="shared" si="3"/>
        <v>0.0153163136136036</v>
      </c>
      <c r="J78" s="18">
        <f ca="1" t="shared" si="4"/>
        <v>0.947031520353857</v>
      </c>
      <c r="K78" s="19">
        <f ca="1" t="shared" si="5"/>
        <v>1</v>
      </c>
      <c r="L78" s="12"/>
      <c r="M78" s="12"/>
      <c r="N78" s="12"/>
      <c r="O78" s="12"/>
      <c r="P78" s="12"/>
    </row>
    <row r="79" spans="1:16">
      <c r="A79" s="12"/>
      <c r="B79" s="12"/>
      <c r="C79" s="12"/>
      <c r="D79" s="12"/>
      <c r="E79" s="12"/>
      <c r="F79" s="12"/>
      <c r="G79" s="17">
        <v>78</v>
      </c>
      <c r="H79" s="18">
        <f ca="1" t="shared" si="3"/>
        <v>0.946907913231648</v>
      </c>
      <c r="I79" s="18">
        <f ca="1" t="shared" si="3"/>
        <v>0.0554239493112338</v>
      </c>
      <c r="J79" s="18">
        <f ca="1" t="shared" si="4"/>
        <v>0.948528550070038</v>
      </c>
      <c r="K79" s="19">
        <f ca="1" t="shared" si="5"/>
        <v>1</v>
      </c>
      <c r="L79" s="12"/>
      <c r="M79" s="12"/>
      <c r="N79" s="12"/>
      <c r="O79" s="12"/>
      <c r="P79" s="12"/>
    </row>
    <row r="80" spans="1:16">
      <c r="A80" s="12"/>
      <c r="B80" s="12"/>
      <c r="C80" s="12"/>
      <c r="D80" s="12"/>
      <c r="E80" s="12"/>
      <c r="F80" s="12"/>
      <c r="G80" s="17">
        <v>79</v>
      </c>
      <c r="H80" s="18">
        <f ca="1" t="shared" si="3"/>
        <v>0.711921040616102</v>
      </c>
      <c r="I80" s="18">
        <f ca="1" t="shared" si="3"/>
        <v>0.236616830024102</v>
      </c>
      <c r="J80" s="18">
        <f ca="1" t="shared" si="4"/>
        <v>0.750212698054737</v>
      </c>
      <c r="K80" s="19">
        <f ca="1" t="shared" si="5"/>
        <v>1</v>
      </c>
      <c r="L80" s="12"/>
      <c r="M80" s="12"/>
      <c r="N80" s="12"/>
      <c r="O80" s="12"/>
      <c r="P80" s="12"/>
    </row>
    <row r="81" spans="1:16">
      <c r="A81" s="12"/>
      <c r="B81" s="12"/>
      <c r="C81" s="12"/>
      <c r="D81" s="12"/>
      <c r="E81" s="12"/>
      <c r="F81" s="12"/>
      <c r="G81" s="17">
        <v>80</v>
      </c>
      <c r="H81" s="18">
        <f ca="1" t="shared" si="3"/>
        <v>0.481017823141136</v>
      </c>
      <c r="I81" s="18">
        <f ca="1" t="shared" si="3"/>
        <v>0.996055462689898</v>
      </c>
      <c r="J81" s="18">
        <f ca="1" t="shared" si="4"/>
        <v>1.10612143588931</v>
      </c>
      <c r="K81" s="19">
        <f ca="1" t="shared" si="5"/>
        <v>0</v>
      </c>
      <c r="L81" s="12"/>
      <c r="M81" s="12"/>
      <c r="N81" s="12"/>
      <c r="O81" s="12"/>
      <c r="P81" s="12"/>
    </row>
    <row r="82" spans="1:16">
      <c r="A82" s="12"/>
      <c r="B82" s="12"/>
      <c r="C82" s="12"/>
      <c r="D82" s="12"/>
      <c r="E82" s="12"/>
      <c r="F82" s="12"/>
      <c r="G82" s="17">
        <v>81</v>
      </c>
      <c r="H82" s="18">
        <f ca="1" t="shared" si="3"/>
        <v>0.372297401573943</v>
      </c>
      <c r="I82" s="18">
        <f ca="1" t="shared" si="3"/>
        <v>0.210362714051526</v>
      </c>
      <c r="J82" s="18">
        <f ca="1" t="shared" si="4"/>
        <v>0.427618786633415</v>
      </c>
      <c r="K82" s="19">
        <f ca="1" t="shared" si="5"/>
        <v>1</v>
      </c>
      <c r="L82" s="12"/>
      <c r="M82" s="12"/>
      <c r="N82" s="12"/>
      <c r="O82" s="12"/>
      <c r="P82" s="12"/>
    </row>
    <row r="83" spans="1:16">
      <c r="A83" s="12"/>
      <c r="B83" s="12"/>
      <c r="C83" s="12"/>
      <c r="D83" s="12"/>
      <c r="E83" s="12"/>
      <c r="F83" s="12"/>
      <c r="G83" s="17">
        <v>82</v>
      </c>
      <c r="H83" s="18">
        <f ca="1" t="shared" si="3"/>
        <v>0.756078810846041</v>
      </c>
      <c r="I83" s="18">
        <f ca="1" t="shared" si="3"/>
        <v>0.675498256028832</v>
      </c>
      <c r="J83" s="18">
        <f ca="1" t="shared" si="4"/>
        <v>1.0138802010634</v>
      </c>
      <c r="K83" s="19">
        <f ca="1" t="shared" si="5"/>
        <v>0</v>
      </c>
      <c r="L83" s="12"/>
      <c r="M83" s="12"/>
      <c r="N83" s="12"/>
      <c r="O83" s="12"/>
      <c r="P83" s="12"/>
    </row>
    <row r="84" spans="1:16">
      <c r="A84" s="12"/>
      <c r="B84" s="12"/>
      <c r="C84" s="12"/>
      <c r="D84" s="12"/>
      <c r="E84" s="12"/>
      <c r="F84" s="12"/>
      <c r="G84" s="17">
        <v>83</v>
      </c>
      <c r="H84" s="18">
        <f ca="1" t="shared" si="3"/>
        <v>0.42382847507845</v>
      </c>
      <c r="I84" s="18">
        <f ca="1" t="shared" si="3"/>
        <v>0.662542834883469</v>
      </c>
      <c r="J84" s="18">
        <f ca="1" t="shared" si="4"/>
        <v>0.786507205525002</v>
      </c>
      <c r="K84" s="19">
        <f ca="1" t="shared" si="5"/>
        <v>1</v>
      </c>
      <c r="L84" s="12"/>
      <c r="M84" s="12"/>
      <c r="N84" s="12"/>
      <c r="O84" s="12"/>
      <c r="P84" s="12"/>
    </row>
    <row r="85" spans="1:16">
      <c r="A85" s="12"/>
      <c r="B85" s="12"/>
      <c r="C85" s="12"/>
      <c r="D85" s="12"/>
      <c r="E85" s="12"/>
      <c r="F85" s="12"/>
      <c r="G85" s="17">
        <v>84</v>
      </c>
      <c r="H85" s="18">
        <f ca="1" t="shared" si="3"/>
        <v>0.67548111567713</v>
      </c>
      <c r="I85" s="18">
        <f ca="1" t="shared" si="3"/>
        <v>0.92545144058706</v>
      </c>
      <c r="J85" s="18">
        <f ca="1" t="shared" si="4"/>
        <v>1.14574652804234</v>
      </c>
      <c r="K85" s="19">
        <f ca="1" t="shared" si="5"/>
        <v>0</v>
      </c>
      <c r="L85" s="12"/>
      <c r="M85" s="12"/>
      <c r="N85" s="12"/>
      <c r="O85" s="12"/>
      <c r="P85" s="12"/>
    </row>
    <row r="86" spans="1:16">
      <c r="A86" s="12"/>
      <c r="B86" s="12"/>
      <c r="C86" s="12"/>
      <c r="D86" s="12"/>
      <c r="E86" s="12"/>
      <c r="F86" s="12"/>
      <c r="G86" s="17">
        <v>85</v>
      </c>
      <c r="H86" s="18">
        <f ca="1" t="shared" si="3"/>
        <v>0.781379905365723</v>
      </c>
      <c r="I86" s="18">
        <f ca="1" t="shared" si="3"/>
        <v>0.354252856706681</v>
      </c>
      <c r="J86" s="18">
        <f ca="1" t="shared" si="4"/>
        <v>0.857933355799966</v>
      </c>
      <c r="K86" s="19">
        <f ca="1" t="shared" si="5"/>
        <v>1</v>
      </c>
      <c r="L86" s="12"/>
      <c r="M86" s="12"/>
      <c r="N86" s="12"/>
      <c r="O86" s="12"/>
      <c r="P86" s="12"/>
    </row>
    <row r="87" spans="1:16">
      <c r="A87" s="12"/>
      <c r="B87" s="12"/>
      <c r="C87" s="12"/>
      <c r="D87" s="12"/>
      <c r="E87" s="12"/>
      <c r="F87" s="12"/>
      <c r="G87" s="17">
        <v>86</v>
      </c>
      <c r="H87" s="18">
        <f ca="1" t="shared" si="3"/>
        <v>0.354249830117497</v>
      </c>
      <c r="I87" s="18">
        <f ca="1" t="shared" si="3"/>
        <v>0.781382829985999</v>
      </c>
      <c r="J87" s="18">
        <f ca="1" t="shared" si="4"/>
        <v>0.857934769743716</v>
      </c>
      <c r="K87" s="19">
        <f ca="1" t="shared" si="5"/>
        <v>1</v>
      </c>
      <c r="L87" s="12"/>
      <c r="M87" s="12"/>
      <c r="N87" s="12"/>
      <c r="O87" s="12"/>
      <c r="P87" s="12"/>
    </row>
    <row r="88" spans="1:16">
      <c r="A88" s="12"/>
      <c r="B88" s="12"/>
      <c r="C88" s="12"/>
      <c r="D88" s="12"/>
      <c r="E88" s="12"/>
      <c r="F88" s="12"/>
      <c r="G88" s="17">
        <v>87</v>
      </c>
      <c r="H88" s="18">
        <f ca="1" t="shared" si="3"/>
        <v>0.055427819886035</v>
      </c>
      <c r="I88" s="18">
        <f ca="1" t="shared" si="3"/>
        <v>0.946899984977158</v>
      </c>
      <c r="J88" s="18">
        <f ca="1" t="shared" si="4"/>
        <v>0.94852086153498</v>
      </c>
      <c r="K88" s="19">
        <f ca="1" t="shared" si="5"/>
        <v>1</v>
      </c>
      <c r="L88" s="12"/>
      <c r="M88" s="12"/>
      <c r="N88" s="12"/>
      <c r="O88" s="12"/>
      <c r="P88" s="12"/>
    </row>
    <row r="89" spans="1:16">
      <c r="A89" s="12"/>
      <c r="B89" s="12"/>
      <c r="C89" s="12"/>
      <c r="D89" s="12"/>
      <c r="E89" s="12"/>
      <c r="F89" s="12"/>
      <c r="G89" s="17">
        <v>88</v>
      </c>
      <c r="H89" s="18">
        <f ca="1" t="shared" si="3"/>
        <v>0.931340659921486</v>
      </c>
      <c r="I89" s="18">
        <f ca="1" t="shared" si="3"/>
        <v>0.925447858984191</v>
      </c>
      <c r="J89" s="18">
        <f ca="1" t="shared" si="4"/>
        <v>1.31295436498052</v>
      </c>
      <c r="K89" s="19">
        <f ca="1" t="shared" si="5"/>
        <v>0</v>
      </c>
      <c r="L89" s="12"/>
      <c r="M89" s="12"/>
      <c r="N89" s="12"/>
      <c r="O89" s="12"/>
      <c r="P89" s="12"/>
    </row>
    <row r="90" spans="1:16">
      <c r="A90" s="12"/>
      <c r="B90" s="12"/>
      <c r="C90" s="12"/>
      <c r="D90" s="12"/>
      <c r="E90" s="12"/>
      <c r="F90" s="12"/>
      <c r="G90" s="17">
        <v>89</v>
      </c>
      <c r="H90" s="18">
        <f ca="1" t="shared" si="3"/>
        <v>0.474972790390635</v>
      </c>
      <c r="I90" s="18">
        <f ca="1" t="shared" si="3"/>
        <v>0.865243876356344</v>
      </c>
      <c r="J90" s="18">
        <f ca="1" t="shared" si="4"/>
        <v>0.98703906568262</v>
      </c>
      <c r="K90" s="19">
        <f ca="1" t="shared" si="5"/>
        <v>1</v>
      </c>
      <c r="L90" s="12"/>
      <c r="M90" s="12"/>
      <c r="N90" s="12"/>
      <c r="O90" s="12"/>
      <c r="P90" s="12"/>
    </row>
    <row r="91" spans="1:16">
      <c r="A91" s="12"/>
      <c r="B91" s="12"/>
      <c r="C91" s="12"/>
      <c r="D91" s="12"/>
      <c r="E91" s="12"/>
      <c r="F91" s="12"/>
      <c r="G91" s="17">
        <v>90</v>
      </c>
      <c r="H91" s="18">
        <f ca="1" t="shared" si="3"/>
        <v>0.287133987756125</v>
      </c>
      <c r="I91" s="18">
        <f ca="1" t="shared" si="3"/>
        <v>0.00625543032591458</v>
      </c>
      <c r="J91" s="18">
        <f ca="1" t="shared" si="4"/>
        <v>0.287202119305023</v>
      </c>
      <c r="K91" s="19">
        <f ca="1" t="shared" si="5"/>
        <v>1</v>
      </c>
      <c r="L91" s="12"/>
      <c r="M91" s="12"/>
      <c r="N91" s="12"/>
      <c r="O91" s="12"/>
      <c r="P91" s="12"/>
    </row>
    <row r="92" spans="1:16">
      <c r="A92" s="12"/>
      <c r="B92" s="12"/>
      <c r="C92" s="12"/>
      <c r="D92" s="12"/>
      <c r="E92" s="12"/>
      <c r="F92" s="12"/>
      <c r="G92" s="17">
        <v>91</v>
      </c>
      <c r="H92" s="18">
        <f ca="1" t="shared" si="3"/>
        <v>0.869390649177262</v>
      </c>
      <c r="I92" s="18">
        <f ca="1" t="shared" si="3"/>
        <v>0.137850664770605</v>
      </c>
      <c r="J92" s="18">
        <f ca="1" t="shared" si="4"/>
        <v>0.880251615536467</v>
      </c>
      <c r="K92" s="19">
        <f ca="1" t="shared" si="5"/>
        <v>1</v>
      </c>
      <c r="L92" s="12"/>
      <c r="M92" s="12"/>
      <c r="N92" s="12"/>
      <c r="O92" s="12"/>
      <c r="P92" s="12"/>
    </row>
    <row r="93" spans="1:16">
      <c r="A93" s="12"/>
      <c r="B93" s="12"/>
      <c r="C93" s="12"/>
      <c r="D93" s="12"/>
      <c r="E93" s="12"/>
      <c r="F93" s="12"/>
      <c r="G93" s="17">
        <v>92</v>
      </c>
      <c r="H93" s="18">
        <f ca="1" t="shared" si="3"/>
        <v>0.508505887733825</v>
      </c>
      <c r="I93" s="18">
        <f ca="1" t="shared" si="3"/>
        <v>0.474957456562803</v>
      </c>
      <c r="J93" s="18">
        <f ca="1" t="shared" si="4"/>
        <v>0.695818096491154</v>
      </c>
      <c r="K93" s="19">
        <f ca="1" t="shared" si="5"/>
        <v>1</v>
      </c>
      <c r="L93" s="12"/>
      <c r="M93" s="12"/>
      <c r="N93" s="12"/>
      <c r="O93" s="12"/>
      <c r="P93" s="12"/>
    </row>
    <row r="94" spans="1:16">
      <c r="A94" s="12"/>
      <c r="B94" s="12"/>
      <c r="C94" s="12"/>
      <c r="D94" s="12"/>
      <c r="E94" s="12"/>
      <c r="F94" s="12"/>
      <c r="G94" s="17">
        <v>93</v>
      </c>
      <c r="H94" s="18">
        <f ca="1" t="shared" si="3"/>
        <v>0.996060439788695</v>
      </c>
      <c r="I94" s="18">
        <f ca="1" t="shared" si="3"/>
        <v>0.160548146620378</v>
      </c>
      <c r="J94" s="18">
        <f ca="1" t="shared" si="4"/>
        <v>1.00891630331524</v>
      </c>
      <c r="K94" s="19">
        <f ca="1" t="shared" si="5"/>
        <v>0</v>
      </c>
      <c r="L94" s="12"/>
      <c r="M94" s="12"/>
      <c r="N94" s="12"/>
      <c r="O94" s="12"/>
      <c r="P94" s="12"/>
    </row>
    <row r="95" spans="1:16">
      <c r="A95" s="12"/>
      <c r="B95" s="12"/>
      <c r="C95" s="12"/>
      <c r="D95" s="12"/>
      <c r="E95" s="12"/>
      <c r="F95" s="12"/>
      <c r="G95" s="17">
        <v>94</v>
      </c>
      <c r="H95" s="18">
        <f ca="1" t="shared" si="3"/>
        <v>0.213075312847507</v>
      </c>
      <c r="I95" s="18">
        <f ca="1" t="shared" si="3"/>
        <v>0.423846631623134</v>
      </c>
      <c r="J95" s="18">
        <f ca="1" t="shared" si="4"/>
        <v>0.474391247899178</v>
      </c>
      <c r="K95" s="19">
        <f ca="1" t="shared" si="5"/>
        <v>1</v>
      </c>
      <c r="L95" s="12"/>
      <c r="M95" s="12"/>
      <c r="N95" s="12"/>
      <c r="O95" s="12"/>
      <c r="P95" s="12"/>
    </row>
    <row r="96" spans="1:16">
      <c r="A96" s="12"/>
      <c r="B96" s="12"/>
      <c r="C96" s="12"/>
      <c r="D96" s="12"/>
      <c r="E96" s="12"/>
      <c r="F96" s="12"/>
      <c r="G96" s="17">
        <v>95</v>
      </c>
      <c r="H96" s="18">
        <f ca="1" t="shared" si="3"/>
        <v>0.101393421110701</v>
      </c>
      <c r="I96" s="18">
        <f ca="1" t="shared" si="3"/>
        <v>0.934041720149987</v>
      </c>
      <c r="J96" s="18">
        <f ca="1" t="shared" si="4"/>
        <v>0.939528903666768</v>
      </c>
      <c r="K96" s="19">
        <f ca="1" t="shared" si="5"/>
        <v>1</v>
      </c>
      <c r="L96" s="12"/>
      <c r="M96" s="12"/>
      <c r="N96" s="12"/>
      <c r="O96" s="12"/>
      <c r="P96" s="12"/>
    </row>
    <row r="97" spans="1:16">
      <c r="A97" s="12"/>
      <c r="B97" s="12"/>
      <c r="C97" s="12"/>
      <c r="D97" s="12"/>
      <c r="E97" s="12"/>
      <c r="F97" s="12"/>
      <c r="G97" s="17">
        <v>96</v>
      </c>
      <c r="H97" s="18">
        <f ca="1" t="shared" si="3"/>
        <v>0.257575864053911</v>
      </c>
      <c r="I97" s="18">
        <f ca="1" t="shared" si="3"/>
        <v>0.167819170401285</v>
      </c>
      <c r="J97" s="18">
        <f ca="1" t="shared" si="4"/>
        <v>0.307422510069277</v>
      </c>
      <c r="K97" s="19">
        <f ca="1" t="shared" si="5"/>
        <v>1</v>
      </c>
      <c r="L97" s="12"/>
      <c r="M97" s="12"/>
      <c r="N97" s="12"/>
      <c r="O97" s="12"/>
      <c r="P97" s="12"/>
    </row>
    <row r="98" spans="1:16">
      <c r="A98" s="12"/>
      <c r="B98" s="12"/>
      <c r="C98" s="12"/>
      <c r="D98" s="12"/>
      <c r="E98" s="12"/>
      <c r="F98" s="12"/>
      <c r="G98" s="17">
        <v>97</v>
      </c>
      <c r="H98" s="18">
        <f ca="1" t="shared" si="3"/>
        <v>0.257577111151228</v>
      </c>
      <c r="I98" s="18">
        <f ca="1" t="shared" si="3"/>
        <v>0.368154145573332</v>
      </c>
      <c r="J98" s="18">
        <f ca="1" t="shared" si="4"/>
        <v>0.449314414515985</v>
      </c>
      <c r="K98" s="19">
        <f ca="1" t="shared" si="5"/>
        <v>1</v>
      </c>
      <c r="L98" s="12"/>
      <c r="M98" s="12"/>
      <c r="N98" s="12"/>
      <c r="O98" s="12"/>
      <c r="P98" s="12"/>
    </row>
    <row r="99" spans="1:16">
      <c r="A99" s="12"/>
      <c r="B99" s="12"/>
      <c r="C99" s="12"/>
      <c r="D99" s="12"/>
      <c r="E99" s="12"/>
      <c r="F99" s="12"/>
      <c r="G99" s="17">
        <v>98</v>
      </c>
      <c r="H99" s="18">
        <f ca="1" t="shared" si="3"/>
        <v>0.921378157986888</v>
      </c>
      <c r="I99" s="18">
        <f ca="1" t="shared" si="3"/>
        <v>0.443388356909295</v>
      </c>
      <c r="J99" s="18">
        <f ca="1" t="shared" si="4"/>
        <v>1.02251207575169</v>
      </c>
      <c r="K99" s="19">
        <f ca="1" t="shared" si="5"/>
        <v>0</v>
      </c>
      <c r="L99" s="12"/>
      <c r="M99" s="12"/>
      <c r="N99" s="12"/>
      <c r="O99" s="12"/>
      <c r="P99" s="12"/>
    </row>
    <row r="100" spans="1:16">
      <c r="A100" s="12"/>
      <c r="B100" s="12"/>
      <c r="C100" s="12"/>
      <c r="D100" s="12"/>
      <c r="E100" s="12"/>
      <c r="F100" s="12"/>
      <c r="G100" s="17">
        <v>99</v>
      </c>
      <c r="H100" s="18">
        <f ca="1" t="shared" si="3"/>
        <v>0.196142217464801</v>
      </c>
      <c r="I100" s="18">
        <f ca="1" t="shared" si="3"/>
        <v>0.691216529943049</v>
      </c>
      <c r="J100" s="18">
        <f ca="1" t="shared" si="4"/>
        <v>0.718506827203833</v>
      </c>
      <c r="K100" s="19">
        <f ca="1" t="shared" si="5"/>
        <v>1</v>
      </c>
      <c r="L100" s="12"/>
      <c r="M100" s="12"/>
      <c r="N100" s="12"/>
      <c r="O100" s="12"/>
      <c r="P100" s="12"/>
    </row>
    <row r="101" spans="1:16">
      <c r="A101" s="12"/>
      <c r="B101" s="12"/>
      <c r="C101" s="12"/>
      <c r="D101" s="12"/>
      <c r="E101" s="12"/>
      <c r="F101" s="12"/>
      <c r="G101" s="24">
        <v>100</v>
      </c>
      <c r="H101" s="25">
        <f ca="1" t="shared" si="3"/>
        <v>0.409957633133663</v>
      </c>
      <c r="I101" s="25">
        <f ca="1" t="shared" si="3"/>
        <v>0.257594751672264</v>
      </c>
      <c r="J101" s="25">
        <f ca="1" t="shared" si="4"/>
        <v>0.484169719265518</v>
      </c>
      <c r="K101" s="26">
        <f ca="1" t="shared" si="5"/>
        <v>1</v>
      </c>
      <c r="L101" s="12"/>
      <c r="M101" s="12"/>
      <c r="N101" s="12"/>
      <c r="O101" s="12"/>
      <c r="P101" s="12"/>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
  <sheetViews>
    <sheetView workbookViewId="0">
      <selection activeCell="A1" sqref="A1:H1"/>
    </sheetView>
  </sheetViews>
  <sheetFormatPr defaultColWidth="9" defaultRowHeight="17.6" outlineLevelCol="7"/>
  <cols>
    <col min="1" max="1" width="28" customWidth="1"/>
    <col min="2" max="2" width="20" customWidth="1"/>
    <col min="3" max="8" width="14" customWidth="1"/>
  </cols>
  <sheetData>
    <row r="1" ht="30" customHeight="1" spans="1:8">
      <c r="A1" s="1" t="s">
        <v>41</v>
      </c>
      <c r="B1" s="1"/>
      <c r="C1" s="1"/>
      <c r="D1" s="1"/>
      <c r="E1" s="1"/>
      <c r="F1" s="1"/>
      <c r="G1" s="1"/>
      <c r="H1" s="1"/>
    </row>
    <row r="2" ht="20" customHeight="1" spans="1:8">
      <c r="A2" s="2" t="s">
        <v>42</v>
      </c>
      <c r="B2" s="2"/>
      <c r="C2" s="2"/>
      <c r="D2" s="2"/>
      <c r="E2" s="2"/>
      <c r="F2" s="2"/>
      <c r="G2" s="2"/>
      <c r="H2" s="2"/>
    </row>
    <row r="4" spans="1:8">
      <c r="A4" s="3" t="s">
        <v>43</v>
      </c>
      <c r="B4" s="3"/>
      <c r="C4" s="3"/>
      <c r="D4" s="3"/>
      <c r="E4" s="3"/>
      <c r="F4" s="3"/>
      <c r="G4" s="3"/>
      <c r="H4" s="3"/>
    </row>
    <row r="5" spans="1:2">
      <c r="A5" s="4" t="s">
        <v>44</v>
      </c>
      <c r="B5" s="5" t="s">
        <v>45</v>
      </c>
    </row>
    <row r="6" spans="1:2">
      <c r="A6" s="6" t="s">
        <v>46</v>
      </c>
      <c r="B6" s="7">
        <f>Sheet1!D2</f>
        <v>100</v>
      </c>
    </row>
    <row r="7" spans="1:2">
      <c r="A7" s="6" t="s">
        <v>16</v>
      </c>
      <c r="B7" s="8">
        <f ca="1">Sheet1!O2</f>
        <v>0.85</v>
      </c>
    </row>
    <row r="8" spans="1:2">
      <c r="A8" s="6" t="s">
        <v>18</v>
      </c>
      <c r="B8" s="8">
        <f ca="1">Sheet1!O3</f>
        <v>0.358870281282637</v>
      </c>
    </row>
    <row r="9" spans="1:2">
      <c r="A9" s="6" t="s">
        <v>47</v>
      </c>
      <c r="B9" s="8">
        <f ca="1">Sheet1!O5</f>
        <v>0.779661424868603</v>
      </c>
    </row>
    <row r="10" spans="1:2">
      <c r="A10" s="9" t="s">
        <v>48</v>
      </c>
      <c r="B10" s="10">
        <f ca="1">Sheet1!P5</f>
        <v>0.920338575131397</v>
      </c>
    </row>
    <row r="12" spans="1:8">
      <c r="A12" s="3" t="s">
        <v>49</v>
      </c>
      <c r="B12" s="3"/>
      <c r="C12" s="3"/>
      <c r="D12" s="3"/>
      <c r="E12" s="3"/>
      <c r="F12" s="3"/>
      <c r="G12" s="3"/>
      <c r="H12" s="3"/>
    </row>
    <row r="13" ht="28" customHeight="1" spans="1:8">
      <c r="A13" s="11" t="str">
        <f ca="1">"In the current run, "&amp;TEXT(Sheet1!D2,"0")&amp;" random points are simulated in the unit square. "&amp;TEXT(Sheet1!O2,"0.0%")&amp;" of the points fall inside the quarter circle (hit = 1), giving a simulated hit probability of "&amp;TEXT(Sheet1!O2,"0.000")&amp;"."</f>
        <v>In the current run, 100 random points are simulated in the unit square. 85.0% of the points fall inside the quarter circle (hit = 1), giving a simulated hit probability of 0.850.</v>
      </c>
      <c r="B13" s="11"/>
      <c r="C13" s="11"/>
      <c r="D13" s="11"/>
      <c r="E13" s="11"/>
      <c r="F13" s="11"/>
      <c r="G13" s="11"/>
      <c r="H13" s="11"/>
    </row>
    <row r="14" ht="28" customHeight="1" spans="1:8">
      <c r="A14" s="11"/>
      <c r="B14" s="11"/>
      <c r="C14" s="11"/>
      <c r="D14" s="11"/>
      <c r="E14" s="11"/>
      <c r="F14" s="11"/>
      <c r="G14" s="11"/>
      <c r="H14" s="11"/>
    </row>
    <row r="16" ht="27" customHeight="1" spans="1:8">
      <c r="A16" s="11" t="str">
        <f ca="1">"The approximate 95% confidence interval for the hit probability is ["&amp;TEXT(Sheet1!O5,"0.000")&amp;", "&amp;TEXT(Sheet1!P5,"0.000")&amp;"]. "&amp;"This interval summarizes the sampling uncertainty in this particular Monte Carlo run. A narrower interval would indicate a more precise simulation estimate."</f>
        <v>The approximate 95% confidence interval for the hit probability is [0.780, 0.920]. This interval summarizes the sampling uncertainty in this particular Monte Carlo run. A narrower interval would indicate a more precise simulation estimate.</v>
      </c>
      <c r="B16" s="11"/>
      <c r="C16" s="11"/>
      <c r="D16" s="11"/>
      <c r="E16" s="11"/>
      <c r="F16" s="11"/>
      <c r="G16" s="11"/>
      <c r="H16" s="11"/>
    </row>
    <row r="17" ht="27" customHeight="1" spans="1:8">
      <c r="A17" s="11"/>
      <c r="B17" s="11"/>
      <c r="C17" s="11"/>
      <c r="D17" s="11"/>
      <c r="E17" s="11"/>
      <c r="F17" s="11"/>
      <c r="G17" s="11"/>
      <c r="H17" s="11"/>
    </row>
    <row r="18" ht="27" customHeight="1" spans="1:8">
      <c r="A18" s="11"/>
      <c r="B18" s="11"/>
      <c r="C18" s="11"/>
      <c r="D18" s="11"/>
      <c r="E18" s="11"/>
      <c r="F18" s="11"/>
      <c r="G18" s="11"/>
      <c r="H18" s="11"/>
    </row>
    <row r="20" ht="27" customHeight="1" spans="1:8">
      <c r="A20" s="11" t="s">
        <v>50</v>
      </c>
      <c r="B20" s="11"/>
      <c r="C20" s="11"/>
      <c r="D20" s="11"/>
      <c r="E20" s="11"/>
      <c r="F20" s="11"/>
      <c r="G20" s="11"/>
      <c r="H20" s="11"/>
    </row>
    <row r="21" ht="27" customHeight="1" spans="1:8">
      <c r="A21" s="11"/>
      <c r="B21" s="11"/>
      <c r="C21" s="11"/>
      <c r="D21" s="11"/>
      <c r="E21" s="11"/>
      <c r="F21" s="11"/>
      <c r="G21" s="11"/>
      <c r="H21" s="11"/>
    </row>
    <row r="22" ht="27" customHeight="1" spans="1:8">
      <c r="A22" s="11"/>
      <c r="B22" s="11"/>
      <c r="C22" s="11"/>
      <c r="D22" s="11"/>
      <c r="E22" s="11"/>
      <c r="F22" s="11"/>
      <c r="G22" s="11"/>
      <c r="H22" s="11"/>
    </row>
    <row r="24" spans="1:8">
      <c r="A24" s="3" t="s">
        <v>51</v>
      </c>
      <c r="B24" s="3"/>
      <c r="C24" s="3"/>
      <c r="D24" s="3"/>
      <c r="E24" s="3"/>
      <c r="F24" s="3"/>
      <c r="G24" s="3"/>
      <c r="H24" s="3"/>
    </row>
    <row r="25" ht="27" customHeight="1" spans="1:8">
      <c r="A25" s="11" t="s">
        <v>52</v>
      </c>
      <c r="B25" s="11"/>
      <c r="C25" s="11"/>
      <c r="D25" s="11"/>
      <c r="E25" s="11"/>
      <c r="F25" s="11"/>
      <c r="G25" s="11"/>
      <c r="H25" s="11"/>
    </row>
    <row r="26" ht="27" customHeight="1" spans="1:8">
      <c r="A26" s="11"/>
      <c r="B26" s="11"/>
      <c r="C26" s="11"/>
      <c r="D26" s="11"/>
      <c r="E26" s="11"/>
      <c r="F26" s="11"/>
      <c r="G26" s="11"/>
      <c r="H26" s="11"/>
    </row>
    <row r="27" ht="27" customHeight="1" spans="1:8">
      <c r="A27" s="11"/>
      <c r="B27" s="11"/>
      <c r="C27" s="11"/>
      <c r="D27" s="11"/>
      <c r="E27" s="11"/>
      <c r="F27" s="11"/>
      <c r="G27" s="11"/>
      <c r="H27" s="11"/>
    </row>
    <row r="29" spans="1:8">
      <c r="A29" s="3" t="s">
        <v>53</v>
      </c>
      <c r="B29" s="3"/>
      <c r="C29" s="3"/>
      <c r="D29" s="3"/>
      <c r="E29" s="3"/>
      <c r="F29" s="3"/>
      <c r="G29" s="3"/>
      <c r="H29" s="3"/>
    </row>
    <row r="30" ht="27" customHeight="1" spans="1:8">
      <c r="A30" s="11" t="s">
        <v>54</v>
      </c>
      <c r="B30" s="11"/>
      <c r="C30" s="11"/>
      <c r="D30" s="11"/>
      <c r="E30" s="11"/>
      <c r="F30" s="11"/>
      <c r="G30" s="11"/>
      <c r="H30" s="11"/>
    </row>
    <row r="31" ht="27" customHeight="1" spans="1:8">
      <c r="A31" s="11"/>
      <c r="B31" s="11"/>
      <c r="C31" s="11"/>
      <c r="D31" s="11"/>
      <c r="E31" s="11"/>
      <c r="F31" s="11"/>
      <c r="G31" s="11"/>
      <c r="H31" s="11"/>
    </row>
    <row r="32" ht="27" customHeight="1" spans="1:8">
      <c r="A32" s="11"/>
      <c r="B32" s="11"/>
      <c r="C32" s="11"/>
      <c r="D32" s="11"/>
      <c r="E32" s="11"/>
      <c r="F32" s="11"/>
      <c r="G32" s="11"/>
      <c r="H32" s="11"/>
    </row>
    <row r="33" ht="27" customHeight="1" spans="1:8">
      <c r="A33" s="11"/>
      <c r="B33" s="11"/>
      <c r="C33" s="11"/>
      <c r="D33" s="11"/>
      <c r="E33" s="11"/>
      <c r="F33" s="11"/>
      <c r="G33" s="11"/>
      <c r="H33" s="11"/>
    </row>
    <row r="35" ht="25" customHeight="1" spans="1:8">
      <c r="A35" s="11" t="s">
        <v>55</v>
      </c>
      <c r="B35" s="11"/>
      <c r="C35" s="11"/>
      <c r="D35" s="11"/>
      <c r="E35" s="11"/>
      <c r="F35" s="11"/>
      <c r="G35" s="11"/>
      <c r="H35" s="11"/>
    </row>
    <row r="36" ht="25" customHeight="1" spans="1:8">
      <c r="A36" s="11"/>
      <c r="B36" s="11"/>
      <c r="C36" s="11"/>
      <c r="D36" s="11"/>
      <c r="E36" s="11"/>
      <c r="F36" s="11"/>
      <c r="G36" s="11"/>
      <c r="H36" s="11"/>
    </row>
  </sheetData>
  <mergeCells count="12">
    <mergeCell ref="A1:H1"/>
    <mergeCell ref="A2:H2"/>
    <mergeCell ref="A4:H4"/>
    <mergeCell ref="A12:H12"/>
    <mergeCell ref="A24:H24"/>
    <mergeCell ref="A29:H29"/>
    <mergeCell ref="A13:H14"/>
    <mergeCell ref="A16:H18"/>
    <mergeCell ref="A20:H22"/>
    <mergeCell ref="A25:H27"/>
    <mergeCell ref="A30:H33"/>
    <mergeCell ref="A35:H36"/>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Project Overview</vt:lpstr>
      <vt:lpstr>Sheet1</vt:lpstr>
      <vt:lpstr>Results &amp; Interpretation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2026-09-27T10:33:59Z</dcterms:created>
  <dcterms:modified xsi:type="dcterms:W3CDTF">2026-09-27T10:34:17Z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FB600522BC10F18DA980B86A7E0B3D7C_42</vt:lpwstr>
  </property>
  <property fmtid="{D5CDD505-2E9C-101B-9397-08002B2CF9AE}" pid="3" name="KSOProductBuildVer">
    <vt:lpwstr>1033-6.14.0.8924</vt:lpwstr>
  </property>
</Properties>
</file>