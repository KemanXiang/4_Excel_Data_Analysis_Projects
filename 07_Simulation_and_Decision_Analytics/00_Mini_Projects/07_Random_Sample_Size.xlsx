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bookViews>
  <sheets>
    <sheet name="Project Overview" sheetId="1" r:id="rId1"/>
    <sheet name="team grades" sheetId="2" r:id="rId2"/>
    <sheet name="team grades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<sst xmlns="http://schemas.openxmlformats.org/spreadsheetml/2006/main" count="77" uniqueCount="67">
  <si>
    <t>Random Sample Size Simulation</t>
  </si>
  <si>
    <t>Purpose</t>
  </si>
  <si>
    <t>Demonstrate how to simulate an output when the sample size itself is random. With a fixed sample size, observations can simply be generated down a fixed range; when N is random, Excel needs an indicator-based selection method.</t>
  </si>
  <si>
    <t>Problem Setup</t>
  </si>
  <si>
    <t>Each student grade Xi is simulated from U[90,100]. Team size N is discrete uniform over {1,2,3,4}. For a randomly selected team, total team grade is Y = sum of Xi from i=1 to N. The experiment simulates 50 teams to examine the distribution of Y.</t>
  </si>
  <si>
    <t>Method</t>
  </si>
  <si>
    <t>Let K=max(N)=4. First generate four potential member grades for an 'ideal' maximum-size team. Then generate random N and count only the first N members using IF(ID&lt;=N,1,0), or equivalently 1*(ID&lt;=N). Repeat the team simulation 50 times.</t>
  </si>
  <si>
    <t>Key Takeaway</t>
  </si>
  <si>
    <t>The random-size sum can be represented in a fixed spreadsheet as Y = SUM from i=1 to K of Xi*I(i&lt;=N), which is equivalent to summing only the first N observations. The key modeling device is the indicator that switches potential observations on or off.</t>
  </si>
  <si>
    <t>Decision Relevance</t>
  </si>
  <si>
    <t>This technique is useful whenever the number of active observations is uncertain. In this course, the same logic supports the insurance model, where the number of policies sold is random and only the realized policies should contribute to premium and loss totals.</t>
  </si>
  <si>
    <t>Mini-Project Structure</t>
  </si>
  <si>
    <t>Worksheet</t>
  </si>
  <si>
    <t>Role</t>
  </si>
  <si>
    <t>team grades</t>
  </si>
  <si>
    <t>Primary demonstration: random team size, potential member grades, indicator selection, team total, and repeated simulation.</t>
  </si>
  <si>
    <t>team grades2</t>
  </si>
  <si>
    <t>Compact alternative implementation using multiplication by the selection indicator.</t>
  </si>
  <si>
    <t>Interpretation</t>
  </si>
  <si>
    <r>
      <t>Simulation Results</t>
    </r>
    <r>
      <rPr>
        <b/>
        <sz val="11"/>
        <color rgb="FF17365D"/>
        <rFont val="Carlito"/>
        <charset val="134"/>
      </rPr>
      <t xml:space="preserve">
The simulation illustrates how a random sample size affects an aggregate outcome. Across the 50 simulated teams, total team grade varies primarily because team size N is random, while individual grades Xi also vary within the range of 90 to 100. Teams with more members generally have higher total grades because more individual observations are included in the sum. Therefore, the distribution of Y reflects two sources of uncertainty: the number of observations included and the value of each observation.
</t>
    </r>
    <r>
      <rPr>
        <b/>
        <sz val="12"/>
        <color rgb="FF17365D"/>
        <rFont val="Carlito"/>
        <charset val="134"/>
      </rPr>
      <t>Why the Method Works</t>
    </r>
    <r>
      <rPr>
        <b/>
        <sz val="11"/>
        <color rgb="FF17365D"/>
        <rFont val="Carlito"/>
        <charset val="134"/>
      </rPr>
      <t xml:space="preserve">
The maximum possible team size is K = 4. The model first generates four potential student grades and then uses the indicator I(i &lt;= N) to determine which students belong to the simulated team. Therefore, Y = SUM[Xi * I(i &lt;= N)] = SUM(Xi, i = 1 to N). In Excel, the indicator can be implemented as IF(ID&lt;=N,1,0) or simply 1*(ID&lt;=N). This allows a fixed worksheet structure to represent a sample whose actual size changes randomly from one simulation to another.
</t>
    </r>
    <r>
      <rPr>
        <b/>
        <sz val="12"/>
        <color rgb="FF17365D"/>
        <rFont val="Carlito"/>
        <charset val="134"/>
      </rPr>
      <t>Decision-Making Relevance</t>
    </r>
    <r>
      <rPr>
        <b/>
        <sz val="11"/>
        <color rgb="FF17365D"/>
        <rFont val="Carlito"/>
        <charset val="134"/>
      </rPr>
      <t xml:space="preserve">
The same technique is useful whenever the number of observations in a business process is itself uncertain. Examples include the number of customers arriving, orders received, employees assigned to a task, or insurance policies and claims generated during a period. Instead of changing the spreadsheet structure for every realization, the model can define a maximum capacity and use indicators to activate only the observations that actually occur. In the insurance simulation, the same idea allows the model to represent a random number of policies sold while maintaining a fixed Excel simulation structure.
</t>
    </r>
    <r>
      <rPr>
        <b/>
        <sz val="12"/>
        <color rgb="FF17365D"/>
        <rFont val="Carlito"/>
        <charset val="134"/>
      </rPr>
      <t>Key Takeaway</t>
    </r>
    <r>
      <rPr>
        <b/>
        <sz val="11"/>
        <color rgb="FF17365D"/>
        <rFont val="Carlito"/>
        <charset val="134"/>
      </rPr>
      <t xml:space="preserve">
Random sample size is not only another source of uncertainty; it also changes how aggregate outcomes must be modeled in Excel. The indicator approach provides a simple and reusable way to incorporate random sample size while keeping the simulation structure fixed.</t>
    </r>
  </si>
  <si>
    <t>Across 50 simulated teams, the average realized team size is 2.58 members and the average total team grade is 243.60. Observed team totals range from 90.1 to 386.3. Because individual grades are restricted to 90–100 while team size varies from 1 to 4, variation in N drives large shifts in total team grade, while randomness in individual grades adds within-team-size variation.</t>
  </si>
  <si>
    <t>Why the method works</t>
  </si>
  <si>
    <t>The worksheet first represents the maximum possible team size, K = 4, with four potential member rows. The random team size N determines how many rows are active. Multiplying each grade by I(ID&lt;=N) makes unused observations zero, so the fixed worksheet structure is equivalent to summing only the first N grades.</t>
  </si>
  <si>
    <t>Decision-making relevance</t>
  </si>
  <si>
    <t>This technique is useful whenever an aggregate outcome depends on a random number of observations. The same fixed-capacity-plus-indicator logic can represent uncertain counts such as customers, orders, claims, or workers. In the course insurance model, it is used to select the realized number of policies contributing to total premium and total loss.</t>
  </si>
  <si>
    <t>Model Logic</t>
  </si>
  <si>
    <t>Course formulation</t>
  </si>
  <si>
    <t>Individual outcome</t>
  </si>
  <si>
    <t>Xi ~ U[90,100]</t>
  </si>
  <si>
    <t>Random sample size</t>
  </si>
  <si>
    <t>N ~ discrete uniform {1,2,3,4}; K = max(N) = 4</t>
  </si>
  <si>
    <t>Target output</t>
  </si>
  <si>
    <t>Y = Σ(i=1 to N) Xi</t>
  </si>
  <si>
    <t>Fixed-table equivalent</t>
  </si>
  <si>
    <t>Y = Σ(i=1 to K) Xi·I(i&lt;=N); Excel alternatives include SUMPRODUCT(X,1*(ID&lt;=N)) or an array expression.</t>
  </si>
  <si>
    <t>Random Sample Size — Team Grades</t>
  </si>
  <si>
    <t>Simulate the distribution of total team grade Y when the number of team members N is itself random.</t>
  </si>
  <si>
    <t>Generate N uniformly from {1,2,3,4}; generate four potential grades Xi from U[90,100]; use IF(ID&lt;=N,1,0) / indicator logic to retain only the first N members; then replicate the experiment for 50 teams.</t>
  </si>
  <si>
    <t>Using K=max(N)=4 creates a fixed spreadsheet capacity, while the indicator determines the realized sample. Thus Y = Σ(i=1 to K) Xi·I(i&lt;=N) = Σ(i=1 to N) Xi.</t>
  </si>
  <si>
    <t>Simulate One Team</t>
  </si>
  <si>
    <t>Replicate 50 Teams</t>
  </si>
  <si>
    <t>Team size N</t>
  </si>
  <si>
    <t>Team total</t>
  </si>
  <si>
    <t>ID</t>
  </si>
  <si>
    <t>Grade X</t>
  </si>
  <si>
    <t>Counted Grade</t>
  </si>
  <si>
    <t>Picked?</t>
  </si>
  <si>
    <t>Simulation</t>
  </si>
  <si>
    <t>Team Size N</t>
  </si>
  <si>
    <t>Team Total</t>
  </si>
  <si>
    <t>Result Summary</t>
  </si>
  <si>
    <t>Value</t>
  </si>
  <si>
    <t>Average team size</t>
  </si>
  <si>
    <t>Average team total</t>
  </si>
  <si>
    <t>Total range</t>
  </si>
  <si>
    <t>Result Interpretation</t>
  </si>
  <si>
    <t>Variation in team totals comes from two sources: the realized number of active members and the randomly generated grade for each active member. The indicator logic prevents unused potential observations from entering the team total. In operational settings, the same structure can represent a random number of customers, orders, claims, or workers while keeping the spreadsheet model at a fixed maximum size.</t>
  </si>
  <si>
    <t>Random Sample Size — Compact Indicator Method</t>
  </si>
  <si>
    <t>Show the same random-sample-size method in its compact indicator form.</t>
  </si>
  <si>
    <t>Generate four potential Xi values and compute Picked_X = X*(ID&lt;=N). TRUE/FALSE acts as 1/0, so only observations whose ID is within the realized team size contribute to Y.</t>
  </si>
  <si>
    <t>The multiplication-by-indicator expression is the compact Excel implementation of Y = Σ(i=1 to K) Xi·I(i&lt;=N), with K=4 and random N in {1,2,3,4}.</t>
  </si>
  <si>
    <t>Random team size N</t>
  </si>
  <si>
    <t>Connection to the primary model</t>
  </si>
  <si>
    <t>The primary worksheet shows the selection logic explicitly with a Picked? indicator. This sheet folds the same logic directly into X*(ID&lt;=N). Both produce the total of a random-size sample while keeping the worksheet range fixed.</t>
  </si>
  <si>
    <t>X</t>
  </si>
  <si>
    <t>Selected?</t>
  </si>
  <si>
    <t>Picked_X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</si>
</sst>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name val="Carlito"/>
      <charset val="134"/>
    </font>
    <font>
      <b/>
      <sz val="15"/>
      <color rgb="FFFFFFFF"/>
      <name val="Calibri"/>
      <charset val="134"/>
    </font>
    <font>
      <b/>
      <sz val="11"/>
      <color rgb="FF17365D"/>
      <name val="Carlito"/>
      <charset val="134"/>
    </font>
    <font>
      <sz val="10"/>
      <color rgb="FF333333"/>
      <name val="Carlito"/>
      <charset val="134"/>
    </font>
    <font>
      <b/>
      <sz val="11"/>
      <name val="Carlito"/>
      <charset val="134"/>
    </font>
    <font>
      <b/>
      <sz val="11"/>
      <color rgb="FFFFFFFF"/>
      <name val="Carlito"/>
      <charset val="134"/>
    </font>
    <font>
      <sz val="11"/>
      <color rgb="FF333333"/>
      <name val="Carlito"/>
      <charset val="134"/>
    </font>
    <font>
      <sz val="11"/>
      <color rgb="FF000000"/>
      <name val="Calibri"/>
      <charset val="134"/>
    </font>
    <font>
      <sz val="11"/>
      <color rgb="FF0000FF"/>
      <name val="Carlito"/>
      <charset val="134"/>
    </font>
    <font>
      <b/>
      <sz val="16"/>
      <color rgb="FFFFFFFF"/>
      <name val="Carlito"/>
      <charset val="134"/>
    </font>
    <font>
      <b/>
      <sz val="12"/>
      <color rgb="FF17365D"/>
      <name val="Carlito"/>
      <charset val="134"/>
    </font>
    <font>
      <b/>
      <sz val="11"/>
      <color rgb="FF333333"/>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3F6F9"/>
        <bgColor indexed="64"/>
      </patternFill>
    </fill>
    <fill>
      <patternFill patternType="solid">
        <fgColor rgb="FF1F4E7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C9D6"/>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7"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8" borderId="6" applyNumberFormat="0" applyAlignment="0" applyProtection="0">
      <alignment vertical="center"/>
    </xf>
    <xf numFmtId="0" fontId="22" fillId="9" borderId="7" applyNumberFormat="0" applyAlignment="0" applyProtection="0">
      <alignment vertical="center"/>
    </xf>
    <xf numFmtId="0" fontId="23" fillId="9" borderId="6" applyNumberFormat="0" applyAlignment="0" applyProtection="0">
      <alignment vertical="center"/>
    </xf>
    <xf numFmtId="0" fontId="24" fillId="10"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26">
    <xf numFmtId="0" fontId="0" fillId="0" borderId="0" xfId="0"/>
    <xf numFmtId="0" fontId="1" fillId="2" borderId="0" xfId="0" applyNumberFormat="1" applyFont="1" applyFill="1" applyBorder="1" applyAlignment="1">
      <alignment vertical="center"/>
    </xf>
    <xf numFmtId="0" fontId="2" fillId="3" borderId="0" xfId="0" applyNumberFormat="1" applyFont="1" applyFill="1" applyBorder="1" applyAlignment="1">
      <alignment vertical="top"/>
    </xf>
    <xf numFmtId="0" fontId="3" fillId="4" borderId="0" xfId="0" applyNumberFormat="1" applyFont="1" applyFill="1" applyBorder="1" applyAlignment="1">
      <alignment vertical="top" wrapText="1"/>
    </xf>
    <xf numFmtId="0" fontId="4" fillId="3" borderId="0" xfId="0" applyNumberFormat="1" applyFont="1" applyFill="1" applyBorder="1"/>
    <xf numFmtId="2" fontId="0" fillId="0" borderId="0" xfId="0" applyNumberFormat="1" applyFont="1" applyFill="1" applyBorder="1"/>
    <xf numFmtId="0" fontId="5" fillId="5" borderId="0" xfId="0" applyNumberFormat="1" applyFont="1" applyFill="1" applyBorder="1" applyAlignment="1">
      <alignment wrapText="1"/>
    </xf>
    <xf numFmtId="0" fontId="5" fillId="5" borderId="0" xfId="0" applyNumberFormat="1" applyFont="1" applyFill="1" applyBorder="1"/>
    <xf numFmtId="0" fontId="6" fillId="4" borderId="0" xfId="0" applyNumberFormat="1" applyFont="1" applyFill="1" applyBorder="1" applyAlignment="1">
      <alignment vertical="top" wrapText="1"/>
    </xf>
    <xf numFmtId="0" fontId="0" fillId="4" borderId="0" xfId="0" applyNumberFormat="1" applyFont="1" applyFill="1" applyBorder="1" applyAlignment="1">
      <alignment vertical="top" wrapText="1"/>
    </xf>
    <xf numFmtId="0" fontId="7" fillId="0" borderId="0" xfId="0" applyNumberFormat="1" applyFont="1" applyFill="1" applyBorder="1" applyAlignment="1">
      <alignment vertical="center"/>
    </xf>
    <xf numFmtId="0" fontId="8" fillId="0" borderId="0" xfId="0" applyNumberFormat="1" applyFont="1" applyFill="1" applyBorder="1"/>
    <xf numFmtId="0" fontId="9" fillId="2" borderId="0" xfId="0" applyNumberFormat="1" applyFont="1" applyFill="1" applyBorder="1" applyAlignment="1">
      <alignment horizontal="left" vertical="center"/>
    </xf>
    <xf numFmtId="0" fontId="6" fillId="0" borderId="0" xfId="0" applyNumberFormat="1" applyFont="1" applyFill="1" applyBorder="1" applyAlignment="1">
      <alignment vertical="top" wrapText="1"/>
    </xf>
    <xf numFmtId="0" fontId="4" fillId="3" borderId="0" xfId="0" applyNumberFormat="1" applyFont="1" applyFill="1" applyBorder="1" applyAlignment="1">
      <alignment wrapText="1"/>
    </xf>
    <xf numFmtId="0" fontId="0" fillId="0" borderId="0" xfId="0" applyNumberFormat="1" applyFont="1" applyFill="1" applyBorder="1" applyAlignment="1">
      <alignment wrapText="1"/>
    </xf>
    <xf numFmtId="0" fontId="5" fillId="2" borderId="0" xfId="0" applyNumberFormat="1" applyFont="1" applyFill="1" applyBorder="1" applyAlignment="1">
      <alignment vertical="center"/>
    </xf>
    <xf numFmtId="0" fontId="10" fillId="3" borderId="0" xfId="0" applyNumberFormat="1" applyFont="1" applyFill="1" applyAlignment="1">
      <alignment horizontal="left" vertical="top" wrapText="1"/>
    </xf>
    <xf numFmtId="0" fontId="6" fillId="6" borderId="0" xfId="0" applyNumberFormat="1" applyFont="1" applyFill="1" applyAlignment="1">
      <alignment horizontal="left" vertical="top" wrapText="1"/>
    </xf>
    <xf numFmtId="0" fontId="2" fillId="3" borderId="0" xfId="0" applyNumberFormat="1" applyFont="1" applyFill="1" applyAlignment="1">
      <alignment horizontal="left" vertical="top" wrapText="1"/>
    </xf>
    <xf numFmtId="0" fontId="2" fillId="3" borderId="1" xfId="0" applyNumberFormat="1" applyFont="1" applyFill="1" applyBorder="1" applyAlignment="1">
      <alignment horizontal="left" vertical="top" wrapText="1"/>
    </xf>
    <xf numFmtId="0" fontId="11" fillId="6" borderId="2" xfId="0" applyNumberFormat="1" applyFont="1" applyFill="1" applyBorder="1" applyAlignment="1">
      <alignment horizontal="left" vertical="top" wrapText="1"/>
    </xf>
    <xf numFmtId="0" fontId="2" fillId="4" borderId="0" xfId="0" applyNumberFormat="1" applyFont="1" applyFill="1" applyBorder="1" applyAlignment="1">
      <alignment wrapText="1"/>
    </xf>
    <xf numFmtId="0" fontId="5" fillId="5" borderId="0" xfId="0" applyNumberFormat="1" applyFont="1" applyFill="1" applyBorder="1" applyAlignment="1">
      <alignment vertical="center" wrapText="1"/>
    </xf>
    <xf numFmtId="0" fontId="2" fillId="4" borderId="0" xfId="0" applyNumberFormat="1" applyFont="1" applyFill="1" applyBorder="1" applyAlignment="1">
      <alignment vertical="top" wrapText="1"/>
    </xf>
    <xf numFmtId="0" fontId="6" fillId="6"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tabSelected="1" workbookViewId="0">
      <selection activeCell="B7" sqref="B7"/>
    </sheetView>
  </sheetViews>
  <sheetFormatPr defaultColWidth="9" defaultRowHeight="16.8" outlineLevelCol="5"/>
  <cols>
    <col min="1" max="1" width="24" customWidth="1"/>
    <col min="2" max="2" width="95" customWidth="1"/>
    <col min="3" max="6" width="12" customWidth="1"/>
  </cols>
  <sheetData>
    <row r="1" ht="28" customHeight="1" spans="1:6">
      <c r="A1" s="12" t="s">
        <v>0</v>
      </c>
      <c r="B1" s="12"/>
      <c r="C1" s="12"/>
      <c r="D1" s="12"/>
      <c r="E1" s="12"/>
      <c r="F1" s="12"/>
    </row>
    <row r="3" ht="34" spans="1:2">
      <c r="A3" s="2" t="s">
        <v>1</v>
      </c>
      <c r="B3" s="8" t="s">
        <v>2</v>
      </c>
    </row>
    <row r="4" ht="51" spans="1:2">
      <c r="A4" s="2" t="s">
        <v>3</v>
      </c>
      <c r="B4" s="8" t="s">
        <v>4</v>
      </c>
    </row>
    <row r="5" ht="34" spans="1:2">
      <c r="A5" s="2" t="s">
        <v>5</v>
      </c>
      <c r="B5" s="8" t="s">
        <v>6</v>
      </c>
    </row>
    <row r="6" ht="51" spans="1:2">
      <c r="A6" s="2" t="s">
        <v>7</v>
      </c>
      <c r="B6" s="8" t="s">
        <v>8</v>
      </c>
    </row>
    <row r="7" ht="51" spans="1:2">
      <c r="A7" s="2" t="s">
        <v>9</v>
      </c>
      <c r="B7" s="13" t="s">
        <v>10</v>
      </c>
    </row>
    <row r="8" spans="1:6">
      <c r="A8" s="7" t="s">
        <v>11</v>
      </c>
      <c r="B8" s="7"/>
      <c r="C8" s="7"/>
      <c r="D8" s="7"/>
      <c r="E8" s="7"/>
      <c r="F8" s="7"/>
    </row>
    <row r="9" ht="17" spans="1:2">
      <c r="A9" s="14" t="s">
        <v>12</v>
      </c>
      <c r="B9" s="14" t="s">
        <v>13</v>
      </c>
    </row>
    <row r="10" ht="34" spans="1:2">
      <c r="A10" s="15" t="s">
        <v>14</v>
      </c>
      <c r="B10" s="15" t="s">
        <v>15</v>
      </c>
    </row>
    <row r="11" ht="17" spans="1:2">
      <c r="A11" s="15" t="s">
        <v>16</v>
      </c>
      <c r="B11" s="15" t="s">
        <v>17</v>
      </c>
    </row>
    <row r="13" spans="1:6">
      <c r="A13" s="16" t="s">
        <v>18</v>
      </c>
      <c r="B13" s="16"/>
      <c r="C13" s="7"/>
      <c r="D13" s="7"/>
      <c r="E13" s="7"/>
      <c r="F13" s="7"/>
    </row>
    <row r="14" ht="109" customHeight="1" spans="1:6">
      <c r="A14" s="17" t="s">
        <v>19</v>
      </c>
      <c r="B14" s="18" t="s">
        <v>20</v>
      </c>
      <c r="C14" s="9"/>
      <c r="D14" s="9"/>
      <c r="E14" s="9"/>
      <c r="F14" s="9"/>
    </row>
    <row r="15" ht="109" customHeight="1" spans="1:6">
      <c r="A15" s="19" t="s">
        <v>21</v>
      </c>
      <c r="B15" s="18" t="s">
        <v>22</v>
      </c>
      <c r="C15" s="9"/>
      <c r="D15" s="9"/>
      <c r="E15" s="9"/>
      <c r="F15" s="9"/>
    </row>
    <row r="16" ht="109" customHeight="1" spans="1:6">
      <c r="A16" s="20" t="s">
        <v>23</v>
      </c>
      <c r="B16" s="21" t="s">
        <v>24</v>
      </c>
      <c r="C16" s="9"/>
      <c r="D16" s="9"/>
      <c r="E16" s="9"/>
      <c r="F16" s="9"/>
    </row>
    <row r="17" ht="28" customHeight="1" spans="1:2">
      <c r="A17" s="22"/>
      <c r="B17" s="15"/>
    </row>
    <row r="18" ht="28" customHeight="1" spans="1:2">
      <c r="A18" s="23" t="s">
        <v>25</v>
      </c>
      <c r="B18" s="23" t="s">
        <v>26</v>
      </c>
    </row>
    <row r="19" ht="28" customHeight="1" spans="1:2">
      <c r="A19" s="24" t="s">
        <v>27</v>
      </c>
      <c r="B19" s="25" t="s">
        <v>28</v>
      </c>
    </row>
    <row r="20" ht="28" customHeight="1" spans="1:2">
      <c r="A20" s="24" t="s">
        <v>29</v>
      </c>
      <c r="B20" s="25" t="s">
        <v>30</v>
      </c>
    </row>
    <row r="21" ht="17" spans="1:2">
      <c r="A21" s="24" t="s">
        <v>31</v>
      </c>
      <c r="B21" s="25" t="s">
        <v>32</v>
      </c>
    </row>
    <row r="22" ht="17" spans="1:2">
      <c r="A22" s="24" t="s">
        <v>33</v>
      </c>
      <c r="B22" s="25" t="s">
        <v>34</v>
      </c>
    </row>
  </sheetData>
  <mergeCells count="4">
    <mergeCell ref="A1:F1"/>
    <mergeCell ref="A8:F8"/>
    <mergeCell ref="A13:F13"/>
    <mergeCell ref="A14:F1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2"/>
  <sheetViews>
    <sheetView workbookViewId="0">
      <selection activeCell="B15" sqref="B15"/>
    </sheetView>
  </sheetViews>
  <sheetFormatPr defaultColWidth="9" defaultRowHeight="16.8"/>
  <cols>
    <col min="1" max="1" width="18" customWidth="1"/>
    <col min="2" max="2" width="48" customWidth="1"/>
    <col min="4" max="6" width="14" customWidth="1"/>
    <col min="8" max="9" width="12" customWidth="1"/>
    <col min="11" max="11" width="12" customWidth="1"/>
    <col min="12" max="13" width="16" customWidth="1"/>
    <col min="14" max="14" width="22" customWidth="1"/>
  </cols>
  <sheetData>
    <row r="1" ht="22" spans="1:26">
      <c r="A1" s="1" t="s">
        <v>35</v>
      </c>
      <c r="B1" s="1"/>
      <c r="C1" s="1"/>
      <c r="D1" s="1"/>
      <c r="E1" s="1"/>
      <c r="F1" s="1"/>
      <c r="G1" s="1"/>
      <c r="H1" s="1"/>
      <c r="I1" s="1"/>
      <c r="J1" s="1"/>
      <c r="K1" s="1"/>
      <c r="L1" s="1"/>
      <c r="M1" s="1"/>
      <c r="N1" s="1"/>
      <c r="O1" s="10"/>
      <c r="P1" s="10"/>
      <c r="Q1" s="10"/>
      <c r="R1" s="10"/>
      <c r="S1" s="10"/>
      <c r="T1" s="10"/>
      <c r="U1" s="10"/>
      <c r="V1" s="10"/>
      <c r="W1" s="10"/>
      <c r="X1" s="10"/>
      <c r="Y1" s="10"/>
      <c r="Z1" s="10"/>
    </row>
    <row r="3" ht="42" customHeight="1" spans="1:2">
      <c r="A3" s="2" t="s">
        <v>1</v>
      </c>
      <c r="B3" s="3" t="s">
        <v>36</v>
      </c>
    </row>
    <row r="4" ht="46" spans="1:2">
      <c r="A4" s="2" t="s">
        <v>5</v>
      </c>
      <c r="B4" s="3" t="s">
        <v>37</v>
      </c>
    </row>
    <row r="5" ht="46" spans="1:2">
      <c r="A5" s="2" t="s">
        <v>7</v>
      </c>
      <c r="B5" s="3" t="s">
        <v>38</v>
      </c>
    </row>
    <row r="7" spans="1:14">
      <c r="A7" s="7" t="s">
        <v>39</v>
      </c>
      <c r="B7" s="7"/>
      <c r="C7" s="7"/>
      <c r="D7" s="7"/>
      <c r="E7" s="7"/>
      <c r="F7" s="7"/>
      <c r="K7" s="7" t="s">
        <v>40</v>
      </c>
      <c r="L7" s="7"/>
      <c r="M7" s="7"/>
      <c r="N7" s="7"/>
    </row>
    <row r="8" spans="1:2">
      <c r="A8" s="4" t="s">
        <v>41</v>
      </c>
      <c r="B8" s="11">
        <f ca="1">1+INT(4*RAND())</f>
        <v>2</v>
      </c>
    </row>
    <row r="9" spans="1:2">
      <c r="A9" s="4" t="s">
        <v>42</v>
      </c>
      <c r="B9">
        <f ca="1">SUM(F12:F15)</f>
        <v>190.038185015006</v>
      </c>
    </row>
    <row r="11" spans="4:14">
      <c r="D11" s="4" t="s">
        <v>43</v>
      </c>
      <c r="E11" s="4" t="s">
        <v>44</v>
      </c>
      <c r="F11" s="4" t="s">
        <v>45</v>
      </c>
      <c r="H11" s="4" t="s">
        <v>43</v>
      </c>
      <c r="I11" s="4" t="s">
        <v>46</v>
      </c>
      <c r="K11" s="4" t="s">
        <v>47</v>
      </c>
      <c r="L11" s="4" t="s">
        <v>48</v>
      </c>
      <c r="M11" s="4" t="s">
        <v>49</v>
      </c>
      <c r="N11" s="4" t="s">
        <v>18</v>
      </c>
    </row>
    <row r="12" spans="4:14">
      <c r="D12">
        <v>1</v>
      </c>
      <c r="E12" s="5">
        <f ca="1">RAND()*10+90</f>
        <v>97.1721954769732</v>
      </c>
      <c r="F12" s="5">
        <f ca="1">IF(D12&lt;=$B$8,E12,0)</f>
        <v>97.1721954769732</v>
      </c>
      <c r="H12">
        <v>1</v>
      </c>
      <c r="I12">
        <f ca="1">IF(H12&lt;=$B$8,1,0)</f>
        <v>1</v>
      </c>
      <c r="K12">
        <v>1</v>
      </c>
      <c r="L12">
        <f ca="1" t="shared" ref="L12:L61" si="0">1+INT(4*RAND())</f>
        <v>2</v>
      </c>
      <c r="M12" s="5">
        <f ca="1" t="shared" ref="M12:M61" si="1">(RAND()*10+90)*($L12&gt;=1)+(RAND()*10+90)*($L12&gt;=2)+(RAND()*10+90)*($L12&gt;=3)+(RAND()*10+90)*($L12&gt;=4)</f>
        <v>188.345704937973</v>
      </c>
      <c r="N12" t="str">
        <f ca="1" t="shared" ref="N12:N61" si="2">IF(L12=1,"1 active member",L12&amp;" active members")</f>
        <v>2 active members</v>
      </c>
    </row>
    <row r="13" spans="4:14">
      <c r="D13">
        <v>2</v>
      </c>
      <c r="E13" s="5">
        <f ca="1">RAND()*10+90</f>
        <v>92.8659895380328</v>
      </c>
      <c r="F13" s="5">
        <f ca="1">IF(D13&lt;=$B$8,E13,0)</f>
        <v>92.8659895380328</v>
      </c>
      <c r="H13">
        <v>2</v>
      </c>
      <c r="I13">
        <f ca="1">IF(H13&lt;=$B$8,1,0)</f>
        <v>1</v>
      </c>
      <c r="K13">
        <v>2</v>
      </c>
      <c r="L13">
        <f ca="1" t="shared" si="0"/>
        <v>2</v>
      </c>
      <c r="M13" s="5">
        <f ca="1" t="shared" si="1"/>
        <v>184.947096758596</v>
      </c>
      <c r="N13" t="str">
        <f ca="1" t="shared" si="2"/>
        <v>2 active members</v>
      </c>
    </row>
    <row r="14" spans="4:14">
      <c r="D14">
        <v>3</v>
      </c>
      <c r="E14" s="5">
        <f ca="1">RAND()*10+90</f>
        <v>99.1528448111627</v>
      </c>
      <c r="F14" s="5">
        <f ca="1">IF(D14&lt;=$B$8,E14,0)</f>
        <v>0</v>
      </c>
      <c r="H14">
        <v>3</v>
      </c>
      <c r="I14">
        <f ca="1">IF(H14&lt;=$B$8,1,0)</f>
        <v>0</v>
      </c>
      <c r="K14">
        <v>3</v>
      </c>
      <c r="L14">
        <f ca="1" t="shared" si="0"/>
        <v>3</v>
      </c>
      <c r="M14" s="5">
        <f ca="1" t="shared" si="1"/>
        <v>287.89876185194</v>
      </c>
      <c r="N14" t="str">
        <f ca="1" t="shared" si="2"/>
        <v>3 active members</v>
      </c>
    </row>
    <row r="15" spans="4:14">
      <c r="D15">
        <v>4</v>
      </c>
      <c r="E15" s="5">
        <f ca="1">RAND()*10+90</f>
        <v>90.8094881439465</v>
      </c>
      <c r="F15" s="5">
        <f ca="1">IF(D15&lt;=$B$8,E15,0)</f>
        <v>0</v>
      </c>
      <c r="H15">
        <v>4</v>
      </c>
      <c r="I15">
        <f ca="1">IF(H15&lt;=$B$8,1,0)</f>
        <v>0</v>
      </c>
      <c r="K15">
        <v>4</v>
      </c>
      <c r="L15">
        <f ca="1" t="shared" si="0"/>
        <v>2</v>
      </c>
      <c r="M15" s="5">
        <f ca="1" t="shared" si="1"/>
        <v>190.181527400889</v>
      </c>
      <c r="N15" t="str">
        <f ca="1" t="shared" si="2"/>
        <v>2 active members</v>
      </c>
    </row>
    <row r="16" spans="11:14">
      <c r="K16">
        <v>5</v>
      </c>
      <c r="L16">
        <f ca="1" t="shared" si="0"/>
        <v>2</v>
      </c>
      <c r="M16" s="5">
        <f ca="1" t="shared" si="1"/>
        <v>191.464152152404</v>
      </c>
      <c r="N16" t="str">
        <f ca="1" t="shared" si="2"/>
        <v>2 active members</v>
      </c>
    </row>
    <row r="17" spans="11:14">
      <c r="K17">
        <v>6</v>
      </c>
      <c r="L17">
        <f ca="1" t="shared" si="0"/>
        <v>4</v>
      </c>
      <c r="M17" s="5">
        <f ca="1" t="shared" si="1"/>
        <v>378.325127276828</v>
      </c>
      <c r="N17" t="str">
        <f ca="1" t="shared" si="2"/>
        <v>4 active members</v>
      </c>
    </row>
    <row r="18" spans="11:14">
      <c r="K18">
        <v>7</v>
      </c>
      <c r="L18">
        <f ca="1" t="shared" si="0"/>
        <v>2</v>
      </c>
      <c r="M18" s="5">
        <f ca="1" t="shared" si="1"/>
        <v>189.550013925736</v>
      </c>
      <c r="N18" t="str">
        <f ca="1" t="shared" si="2"/>
        <v>2 active members</v>
      </c>
    </row>
    <row r="19" spans="11:14">
      <c r="K19">
        <v>8</v>
      </c>
      <c r="L19">
        <f ca="1" t="shared" si="0"/>
        <v>3</v>
      </c>
      <c r="M19" s="5">
        <f ca="1" t="shared" si="1"/>
        <v>276.531061309938</v>
      </c>
      <c r="N19" t="str">
        <f ca="1" t="shared" si="2"/>
        <v>3 active members</v>
      </c>
    </row>
    <row r="20" spans="11:14">
      <c r="K20">
        <v>9</v>
      </c>
      <c r="L20">
        <f ca="1" t="shared" si="0"/>
        <v>3</v>
      </c>
      <c r="M20" s="5">
        <f ca="1" t="shared" si="1"/>
        <v>290.148498946496</v>
      </c>
      <c r="N20" t="str">
        <f ca="1" t="shared" si="2"/>
        <v>3 active members</v>
      </c>
    </row>
    <row r="21" spans="11:14">
      <c r="K21">
        <v>10</v>
      </c>
      <c r="L21">
        <f ca="1" t="shared" si="0"/>
        <v>2</v>
      </c>
      <c r="M21" s="5">
        <f ca="1" t="shared" si="1"/>
        <v>197.602334184857</v>
      </c>
      <c r="N21" t="str">
        <f ca="1" t="shared" si="2"/>
        <v>2 active members</v>
      </c>
    </row>
    <row r="22" spans="11:14">
      <c r="K22">
        <v>11</v>
      </c>
      <c r="L22">
        <f ca="1" t="shared" si="0"/>
        <v>1</v>
      </c>
      <c r="M22" s="5">
        <f ca="1" t="shared" si="1"/>
        <v>96.6703274384077</v>
      </c>
      <c r="N22" t="str">
        <f ca="1" t="shared" si="2"/>
        <v>1 active member</v>
      </c>
    </row>
    <row r="23" spans="11:14">
      <c r="K23">
        <v>12</v>
      </c>
      <c r="L23">
        <f ca="1" t="shared" si="0"/>
        <v>2</v>
      </c>
      <c r="M23" s="5">
        <f ca="1" t="shared" si="1"/>
        <v>188.719539006521</v>
      </c>
      <c r="N23" t="str">
        <f ca="1" t="shared" si="2"/>
        <v>2 active members</v>
      </c>
    </row>
    <row r="24" spans="11:14">
      <c r="K24">
        <v>13</v>
      </c>
      <c r="L24">
        <f ca="1" t="shared" si="0"/>
        <v>4</v>
      </c>
      <c r="M24" s="5">
        <f ca="1" t="shared" si="1"/>
        <v>387.531614472869</v>
      </c>
      <c r="N24" t="str">
        <f ca="1" t="shared" si="2"/>
        <v>4 active members</v>
      </c>
    </row>
    <row r="25" spans="11:14">
      <c r="K25">
        <v>14</v>
      </c>
      <c r="L25">
        <f ca="1" t="shared" si="0"/>
        <v>2</v>
      </c>
      <c r="M25" s="5">
        <f ca="1" t="shared" si="1"/>
        <v>197.352338207846</v>
      </c>
      <c r="N25" t="str">
        <f ca="1" t="shared" si="2"/>
        <v>2 active members</v>
      </c>
    </row>
    <row r="26" spans="11:14">
      <c r="K26">
        <v>15</v>
      </c>
      <c r="L26">
        <f ca="1" t="shared" si="0"/>
        <v>1</v>
      </c>
      <c r="M26" s="5">
        <f ca="1" t="shared" si="1"/>
        <v>97.5613109446247</v>
      </c>
      <c r="N26" t="str">
        <f ca="1" t="shared" si="2"/>
        <v>1 active member</v>
      </c>
    </row>
    <row r="27" spans="11:14">
      <c r="K27">
        <v>16</v>
      </c>
      <c r="L27">
        <f ca="1" t="shared" si="0"/>
        <v>1</v>
      </c>
      <c r="M27" s="5">
        <f ca="1" t="shared" si="1"/>
        <v>93.6159572729768</v>
      </c>
      <c r="N27" t="str">
        <f ca="1" t="shared" si="2"/>
        <v>1 active member</v>
      </c>
    </row>
    <row r="28" spans="11:14">
      <c r="K28">
        <v>17</v>
      </c>
      <c r="L28">
        <f ca="1" t="shared" si="0"/>
        <v>3</v>
      </c>
      <c r="M28" s="5">
        <f ca="1" t="shared" si="1"/>
        <v>288.649545565484</v>
      </c>
      <c r="N28" t="str">
        <f ca="1" t="shared" si="2"/>
        <v>3 active members</v>
      </c>
    </row>
    <row r="29" spans="11:14">
      <c r="K29">
        <v>18</v>
      </c>
      <c r="L29">
        <f ca="1" t="shared" si="0"/>
        <v>2</v>
      </c>
      <c r="M29" s="5">
        <f ca="1" t="shared" si="1"/>
        <v>196.039592222027</v>
      </c>
      <c r="N29" t="str">
        <f ca="1" t="shared" si="2"/>
        <v>2 active members</v>
      </c>
    </row>
    <row r="30" spans="11:14">
      <c r="K30">
        <v>19</v>
      </c>
      <c r="L30">
        <f ca="1" t="shared" si="0"/>
        <v>1</v>
      </c>
      <c r="M30" s="5">
        <f ca="1" t="shared" si="1"/>
        <v>98.6795304704945</v>
      </c>
      <c r="N30" t="str">
        <f ca="1" t="shared" si="2"/>
        <v>1 active member</v>
      </c>
    </row>
    <row r="31" spans="11:14">
      <c r="K31">
        <v>20</v>
      </c>
      <c r="L31">
        <f ca="1" t="shared" si="0"/>
        <v>1</v>
      </c>
      <c r="M31" s="5">
        <f ca="1" t="shared" si="1"/>
        <v>92.7024932233545</v>
      </c>
      <c r="N31" t="str">
        <f ca="1" t="shared" si="2"/>
        <v>1 active member</v>
      </c>
    </row>
    <row r="32" spans="11:14">
      <c r="K32">
        <v>21</v>
      </c>
      <c r="L32">
        <f ca="1" t="shared" si="0"/>
        <v>1</v>
      </c>
      <c r="M32" s="5">
        <f ca="1" t="shared" si="1"/>
        <v>90.91787245041</v>
      </c>
      <c r="N32" t="str">
        <f ca="1" t="shared" si="2"/>
        <v>1 active member</v>
      </c>
    </row>
    <row r="33" spans="11:14">
      <c r="K33">
        <v>22</v>
      </c>
      <c r="L33">
        <f ca="1" t="shared" si="0"/>
        <v>1</v>
      </c>
      <c r="M33" s="5">
        <f ca="1" t="shared" si="1"/>
        <v>99.6198843601882</v>
      </c>
      <c r="N33" t="str">
        <f ca="1" t="shared" si="2"/>
        <v>1 active member</v>
      </c>
    </row>
    <row r="34" spans="11:14">
      <c r="K34">
        <v>23</v>
      </c>
      <c r="L34">
        <f ca="1" t="shared" si="0"/>
        <v>2</v>
      </c>
      <c r="M34" s="5">
        <f ca="1" t="shared" si="1"/>
        <v>183.306880459326</v>
      </c>
      <c r="N34" t="str">
        <f ca="1" t="shared" si="2"/>
        <v>2 active members</v>
      </c>
    </row>
    <row r="35" spans="11:14">
      <c r="K35">
        <v>24</v>
      </c>
      <c r="L35">
        <f ca="1" t="shared" si="0"/>
        <v>1</v>
      </c>
      <c r="M35" s="5">
        <f ca="1" t="shared" si="1"/>
        <v>95.7080111377024</v>
      </c>
      <c r="N35" t="str">
        <f ca="1" t="shared" si="2"/>
        <v>1 active member</v>
      </c>
    </row>
    <row r="36" spans="11:14">
      <c r="K36">
        <v>25</v>
      </c>
      <c r="L36">
        <f ca="1" t="shared" si="0"/>
        <v>2</v>
      </c>
      <c r="M36" s="5">
        <f ca="1" t="shared" si="1"/>
        <v>187.959114005434</v>
      </c>
      <c r="N36" t="str">
        <f ca="1" t="shared" si="2"/>
        <v>2 active members</v>
      </c>
    </row>
    <row r="37" spans="11:14">
      <c r="K37">
        <v>26</v>
      </c>
      <c r="L37">
        <f ca="1" t="shared" si="0"/>
        <v>3</v>
      </c>
      <c r="M37" s="5">
        <f ca="1" t="shared" si="1"/>
        <v>280.492043620024</v>
      </c>
      <c r="N37" t="str">
        <f ca="1" t="shared" si="2"/>
        <v>3 active members</v>
      </c>
    </row>
    <row r="38" spans="11:14">
      <c r="K38">
        <v>27</v>
      </c>
      <c r="L38">
        <f ca="1" t="shared" si="0"/>
        <v>2</v>
      </c>
      <c r="M38" s="5">
        <f ca="1" t="shared" si="1"/>
        <v>191.020924285844</v>
      </c>
      <c r="N38" t="str">
        <f ca="1" t="shared" si="2"/>
        <v>2 active members</v>
      </c>
    </row>
    <row r="39" spans="11:14">
      <c r="K39">
        <v>28</v>
      </c>
      <c r="L39">
        <f ca="1" t="shared" si="0"/>
        <v>4</v>
      </c>
      <c r="M39" s="5">
        <f ca="1" t="shared" si="1"/>
        <v>376.498861487963</v>
      </c>
      <c r="N39" t="str">
        <f ca="1" t="shared" si="2"/>
        <v>4 active members</v>
      </c>
    </row>
    <row r="40" spans="11:14">
      <c r="K40">
        <v>29</v>
      </c>
      <c r="L40">
        <f ca="1" t="shared" si="0"/>
        <v>1</v>
      </c>
      <c r="M40" s="5">
        <f ca="1" t="shared" si="1"/>
        <v>91.4357269307449</v>
      </c>
      <c r="N40" t="str">
        <f ca="1" t="shared" si="2"/>
        <v>1 active member</v>
      </c>
    </row>
    <row r="41" spans="11:14">
      <c r="K41">
        <v>30</v>
      </c>
      <c r="L41">
        <f ca="1" t="shared" si="0"/>
        <v>1</v>
      </c>
      <c r="M41" s="5">
        <f ca="1" t="shared" si="1"/>
        <v>95.658973768435</v>
      </c>
      <c r="N41" t="str">
        <f ca="1" t="shared" si="2"/>
        <v>1 active member</v>
      </c>
    </row>
    <row r="42" spans="11:14">
      <c r="K42">
        <v>31</v>
      </c>
      <c r="L42">
        <f ca="1" t="shared" si="0"/>
        <v>2</v>
      </c>
      <c r="M42" s="5">
        <f ca="1" t="shared" si="1"/>
        <v>191.758632944287</v>
      </c>
      <c r="N42" t="str">
        <f ca="1" t="shared" si="2"/>
        <v>2 active members</v>
      </c>
    </row>
    <row r="43" spans="11:14">
      <c r="K43">
        <v>32</v>
      </c>
      <c r="L43">
        <f ca="1" t="shared" si="0"/>
        <v>1</v>
      </c>
      <c r="M43" s="5">
        <f ca="1" t="shared" si="1"/>
        <v>94.9167785713019</v>
      </c>
      <c r="N43" t="str">
        <f ca="1" t="shared" si="2"/>
        <v>1 active member</v>
      </c>
    </row>
    <row r="44" spans="11:14">
      <c r="K44">
        <v>33</v>
      </c>
      <c r="L44">
        <f ca="1" t="shared" si="0"/>
        <v>3</v>
      </c>
      <c r="M44" s="5">
        <f ca="1" t="shared" si="1"/>
        <v>289.591859767651</v>
      </c>
      <c r="N44" t="str">
        <f ca="1" t="shared" si="2"/>
        <v>3 active members</v>
      </c>
    </row>
    <row r="45" spans="11:14">
      <c r="K45">
        <v>34</v>
      </c>
      <c r="L45">
        <f ca="1" t="shared" si="0"/>
        <v>1</v>
      </c>
      <c r="M45" s="5">
        <f ca="1" t="shared" si="1"/>
        <v>98.7142014650696</v>
      </c>
      <c r="N45" t="str">
        <f ca="1" t="shared" si="2"/>
        <v>1 active member</v>
      </c>
    </row>
    <row r="46" spans="11:14">
      <c r="K46">
        <v>35</v>
      </c>
      <c r="L46">
        <f ca="1" t="shared" si="0"/>
        <v>4</v>
      </c>
      <c r="M46" s="5">
        <f ca="1" t="shared" si="1"/>
        <v>383.1833720845</v>
      </c>
      <c r="N46" t="str">
        <f ca="1" t="shared" si="2"/>
        <v>4 active members</v>
      </c>
    </row>
    <row r="47" spans="11:14">
      <c r="K47">
        <v>36</v>
      </c>
      <c r="L47">
        <f ca="1" t="shared" si="0"/>
        <v>1</v>
      </c>
      <c r="M47" s="5">
        <f ca="1" t="shared" si="1"/>
        <v>99.3320878502311</v>
      </c>
      <c r="N47" t="str">
        <f ca="1" t="shared" si="2"/>
        <v>1 active member</v>
      </c>
    </row>
    <row r="48" spans="11:14">
      <c r="K48">
        <v>37</v>
      </c>
      <c r="L48">
        <f ca="1" t="shared" si="0"/>
        <v>2</v>
      </c>
      <c r="M48" s="5">
        <f ca="1" t="shared" si="1"/>
        <v>192.268312789249</v>
      </c>
      <c r="N48" t="str">
        <f ca="1" t="shared" si="2"/>
        <v>2 active members</v>
      </c>
    </row>
    <row r="49" spans="11:14">
      <c r="K49">
        <v>38</v>
      </c>
      <c r="L49">
        <f ca="1" t="shared" si="0"/>
        <v>3</v>
      </c>
      <c r="M49" s="5">
        <f ca="1" t="shared" si="1"/>
        <v>283.695731659817</v>
      </c>
      <c r="N49" t="str">
        <f ca="1" t="shared" si="2"/>
        <v>3 active members</v>
      </c>
    </row>
    <row r="50" spans="11:14">
      <c r="K50">
        <v>39</v>
      </c>
      <c r="L50">
        <f ca="1" t="shared" si="0"/>
        <v>2</v>
      </c>
      <c r="M50" s="5">
        <f ca="1" t="shared" si="1"/>
        <v>185.379241029649</v>
      </c>
      <c r="N50" t="str">
        <f ca="1" t="shared" si="2"/>
        <v>2 active members</v>
      </c>
    </row>
    <row r="51" spans="11:14">
      <c r="K51">
        <v>40</v>
      </c>
      <c r="L51">
        <f ca="1" t="shared" si="0"/>
        <v>2</v>
      </c>
      <c r="M51" s="5">
        <f ca="1" t="shared" si="1"/>
        <v>182.951774207646</v>
      </c>
      <c r="N51" t="str">
        <f ca="1" t="shared" si="2"/>
        <v>2 active members</v>
      </c>
    </row>
    <row r="52" spans="11:14">
      <c r="K52">
        <v>41</v>
      </c>
      <c r="L52">
        <f ca="1" t="shared" si="0"/>
        <v>1</v>
      </c>
      <c r="M52" s="5">
        <f ca="1" t="shared" si="1"/>
        <v>99.1205045152733</v>
      </c>
      <c r="N52" t="str">
        <f ca="1" t="shared" si="2"/>
        <v>1 active member</v>
      </c>
    </row>
    <row r="53" spans="11:14">
      <c r="K53">
        <v>42</v>
      </c>
      <c r="L53">
        <f ca="1" t="shared" si="0"/>
        <v>4</v>
      </c>
      <c r="M53" s="5">
        <f ca="1" t="shared" si="1"/>
        <v>376.650574454566</v>
      </c>
      <c r="N53" t="str">
        <f ca="1" t="shared" si="2"/>
        <v>4 active members</v>
      </c>
    </row>
    <row r="54" spans="11:14">
      <c r="K54">
        <v>43</v>
      </c>
      <c r="L54">
        <f ca="1" t="shared" si="0"/>
        <v>2</v>
      </c>
      <c r="M54" s="5">
        <f ca="1" t="shared" si="1"/>
        <v>190.699639057236</v>
      </c>
      <c r="N54" t="str">
        <f ca="1" t="shared" si="2"/>
        <v>2 active members</v>
      </c>
    </row>
    <row r="55" spans="11:14">
      <c r="K55">
        <v>44</v>
      </c>
      <c r="L55">
        <f ca="1" t="shared" si="0"/>
        <v>3</v>
      </c>
      <c r="M55" s="5">
        <f ca="1" t="shared" si="1"/>
        <v>274.485210316115</v>
      </c>
      <c r="N55" t="str">
        <f ca="1" t="shared" si="2"/>
        <v>3 active members</v>
      </c>
    </row>
    <row r="56" spans="11:14">
      <c r="K56">
        <v>45</v>
      </c>
      <c r="L56">
        <f ca="1" t="shared" si="0"/>
        <v>3</v>
      </c>
      <c r="M56" s="5">
        <f ca="1" t="shared" si="1"/>
        <v>293.106333644519</v>
      </c>
      <c r="N56" t="str">
        <f ca="1" t="shared" si="2"/>
        <v>3 active members</v>
      </c>
    </row>
    <row r="57" spans="11:14">
      <c r="K57">
        <v>46</v>
      </c>
      <c r="L57">
        <f ca="1" t="shared" si="0"/>
        <v>1</v>
      </c>
      <c r="M57" s="5">
        <f ca="1" t="shared" si="1"/>
        <v>92.3139717295636</v>
      </c>
      <c r="N57" t="str">
        <f ca="1" t="shared" si="2"/>
        <v>1 active member</v>
      </c>
    </row>
    <row r="58" spans="11:14">
      <c r="K58">
        <v>47</v>
      </c>
      <c r="L58">
        <f ca="1" t="shared" si="0"/>
        <v>1</v>
      </c>
      <c r="M58" s="5">
        <f ca="1" t="shared" si="1"/>
        <v>95.9435250911671</v>
      </c>
      <c r="N58" t="str">
        <f ca="1" t="shared" si="2"/>
        <v>1 active member</v>
      </c>
    </row>
    <row r="59" spans="11:14">
      <c r="K59">
        <v>48</v>
      </c>
      <c r="L59">
        <f ca="1" t="shared" si="0"/>
        <v>3</v>
      </c>
      <c r="M59" s="5">
        <f ca="1" t="shared" si="1"/>
        <v>279.073664592391</v>
      </c>
      <c r="N59" t="str">
        <f ca="1" t="shared" si="2"/>
        <v>3 active members</v>
      </c>
    </row>
    <row r="60" spans="11:14">
      <c r="K60">
        <v>49</v>
      </c>
      <c r="L60">
        <f ca="1" t="shared" si="0"/>
        <v>2</v>
      </c>
      <c r="M60" s="5">
        <f ca="1" t="shared" si="1"/>
        <v>191.170827712941</v>
      </c>
      <c r="N60" t="str">
        <f ca="1" t="shared" si="2"/>
        <v>2 active members</v>
      </c>
    </row>
    <row r="61" spans="11:14">
      <c r="K61">
        <v>50</v>
      </c>
      <c r="L61">
        <f ca="1" t="shared" si="0"/>
        <v>1</v>
      </c>
      <c r="M61" s="5">
        <f ca="1" t="shared" si="1"/>
        <v>92.8009574054104</v>
      </c>
      <c r="N61" t="str">
        <f ca="1" t="shared" si="2"/>
        <v>1 active member</v>
      </c>
    </row>
    <row r="63" spans="11:12">
      <c r="K63" s="7" t="s">
        <v>50</v>
      </c>
      <c r="L63" s="7" t="s">
        <v>51</v>
      </c>
    </row>
    <row r="64" spans="11:12">
      <c r="K64" t="s">
        <v>52</v>
      </c>
      <c r="L64" s="5">
        <f ca="1">AVERAGE(L12:L61)</f>
        <v>2.06</v>
      </c>
    </row>
    <row r="65" spans="11:12">
      <c r="K65" t="s">
        <v>53</v>
      </c>
      <c r="L65" s="5">
        <f ca="1">AVERAGE(M12:M61)</f>
        <v>195.845840419298</v>
      </c>
    </row>
    <row r="66" spans="11:12">
      <c r="K66" t="s">
        <v>54</v>
      </c>
      <c r="L66" t="str">
        <f ca="1">TEXT(MIN(M12:M61),"0.0")&amp;" to "&amp;TEXT(MAX(M12:M61),"0.0")</f>
        <v>90.9 to 387.5</v>
      </c>
    </row>
    <row r="68" spans="11:14">
      <c r="K68" s="7" t="s">
        <v>55</v>
      </c>
      <c r="L68" s="7"/>
      <c r="M68" s="7"/>
      <c r="N68" s="7"/>
    </row>
    <row r="69" spans="11:14">
      <c r="K69" s="9" t="s">
        <v>56</v>
      </c>
      <c r="L69" s="9"/>
      <c r="M69" s="9"/>
      <c r="N69" s="9"/>
    </row>
    <row r="70" spans="11:14">
      <c r="K70" s="9"/>
      <c r="L70" s="9"/>
      <c r="M70" s="9"/>
      <c r="N70" s="9"/>
    </row>
    <row r="71" spans="11:14">
      <c r="K71" s="9"/>
      <c r="L71" s="9"/>
      <c r="M71" s="9"/>
      <c r="N71" s="9"/>
    </row>
    <row r="72" spans="11:14">
      <c r="K72" s="9"/>
      <c r="L72" s="9"/>
      <c r="M72" s="9"/>
      <c r="N72" s="9"/>
    </row>
  </sheetData>
  <mergeCells count="5">
    <mergeCell ref="A1:N1"/>
    <mergeCell ref="A7:F7"/>
    <mergeCell ref="K7:N7"/>
    <mergeCell ref="K68:N68"/>
    <mergeCell ref="K69:N7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
  <sheetViews>
    <sheetView workbookViewId="0">
      <selection activeCell="B8" sqref="B8"/>
    </sheetView>
  </sheetViews>
  <sheetFormatPr defaultColWidth="9" defaultRowHeight="16.8"/>
  <cols>
    <col min="1" max="1" width="20" customWidth="1"/>
    <col min="2" max="2" width="50" customWidth="1"/>
    <col min="3" max="4" width="14" customWidth="1"/>
    <col min="6" max="6" width="42" customWidth="1"/>
    <col min="7" max="10" width="14" customWidth="1"/>
  </cols>
  <sheetData>
    <row r="1" ht="22" spans="1:26">
      <c r="A1" s="1" t="s">
        <v>57</v>
      </c>
      <c r="B1" s="1"/>
      <c r="C1" s="1"/>
      <c r="D1" s="1"/>
      <c r="E1" s="1"/>
      <c r="F1" s="1"/>
      <c r="G1" s="1"/>
      <c r="H1" s="1"/>
      <c r="I1" s="1"/>
      <c r="J1" s="1"/>
      <c r="K1" s="10"/>
      <c r="L1" s="10"/>
      <c r="M1" s="10"/>
      <c r="N1" s="10"/>
      <c r="O1" s="10"/>
      <c r="P1" s="10"/>
      <c r="Q1" s="10"/>
      <c r="R1" s="10"/>
      <c r="S1" s="10"/>
      <c r="T1" s="10"/>
      <c r="U1" s="10"/>
      <c r="V1" s="10"/>
      <c r="W1" s="10"/>
      <c r="X1" s="10"/>
      <c r="Y1" s="10"/>
      <c r="Z1" s="10"/>
    </row>
    <row r="3" ht="31" spans="1:2">
      <c r="A3" s="2" t="s">
        <v>1</v>
      </c>
      <c r="B3" s="3" t="s">
        <v>58</v>
      </c>
    </row>
    <row r="4" ht="46" spans="1:2">
      <c r="A4" s="2" t="s">
        <v>5</v>
      </c>
      <c r="B4" s="3" t="s">
        <v>59</v>
      </c>
    </row>
    <row r="5" ht="46" spans="1:2">
      <c r="A5" s="2" t="s">
        <v>7</v>
      </c>
      <c r="B5" s="3" t="s">
        <v>60</v>
      </c>
    </row>
    <row r="7" spans="1:10">
      <c r="A7" s="4" t="s">
        <v>61</v>
      </c>
      <c r="B7">
        <f ca="1">1+INT(4*RAND())</f>
        <v>1</v>
      </c>
      <c r="F7" s="6" t="s">
        <v>62</v>
      </c>
      <c r="G7" s="7"/>
      <c r="H7" s="7"/>
      <c r="I7" s="7"/>
      <c r="J7" s="7"/>
    </row>
    <row r="8" ht="70" customHeight="1" spans="1:10">
      <c r="A8" s="4" t="s">
        <v>42</v>
      </c>
      <c r="B8">
        <f ca="1">SUM(D11:D14)</f>
        <v>94.3144128258334</v>
      </c>
      <c r="F8" s="8" t="s">
        <v>63</v>
      </c>
      <c r="G8" s="9"/>
      <c r="H8" s="9"/>
      <c r="I8" s="9"/>
      <c r="J8" s="9"/>
    </row>
    <row r="9" spans="6:10">
      <c r="F9" s="9"/>
      <c r="G9" s="9"/>
      <c r="H9" s="9"/>
      <c r="I9" s="9"/>
      <c r="J9" s="9"/>
    </row>
    <row r="10" spans="1:10">
      <c r="A10" s="4" t="s">
        <v>43</v>
      </c>
      <c r="B10" s="4" t="s">
        <v>64</v>
      </c>
      <c r="C10" s="4" t="s">
        <v>65</v>
      </c>
      <c r="D10" s="4" t="s">
        <v>66</v>
      </c>
      <c r="F10" s="9"/>
      <c r="G10" s="9"/>
      <c r="H10" s="9"/>
      <c r="I10" s="9"/>
      <c r="J10" s="9"/>
    </row>
    <row r="11" spans="1:10">
      <c r="A11">
        <v>1</v>
      </c>
      <c r="B11" s="5">
        <f ca="1">90+10*RAND()</f>
        <v>94.3144128258334</v>
      </c>
      <c r="C11">
        <f ca="1">1*(A11&lt;=$B$7)</f>
        <v>1</v>
      </c>
      <c r="D11" s="5">
        <f ca="1">B11*(A11&lt;=$B$7)</f>
        <v>94.3144128258334</v>
      </c>
      <c r="F11" s="9"/>
      <c r="G11" s="9"/>
      <c r="H11" s="9"/>
      <c r="I11" s="9"/>
      <c r="J11" s="9"/>
    </row>
    <row r="12" spans="1:10">
      <c r="A12">
        <v>2</v>
      </c>
      <c r="B12" s="5">
        <f ca="1">90+10*RAND()</f>
        <v>97.1169887432817</v>
      </c>
      <c r="C12">
        <f ca="1">1*(A12&lt;=$B$7)</f>
        <v>0</v>
      </c>
      <c r="D12" s="5">
        <f ca="1">B12*(A12&lt;=$B$7)</f>
        <v>0</v>
      </c>
      <c r="F12" s="9"/>
      <c r="G12" s="9"/>
      <c r="H12" s="9"/>
      <c r="I12" s="9"/>
      <c r="J12" s="9"/>
    </row>
    <row r="13" spans="1:10">
      <c r="A13">
        <v>3</v>
      </c>
      <c r="B13" s="5">
        <f ca="1">90+10*RAND()</f>
        <v>90.3491674265303</v>
      </c>
      <c r="C13">
        <f ca="1">1*(A13&lt;=$B$7)</f>
        <v>0</v>
      </c>
      <c r="D13" s="5">
        <f ca="1">B13*(A13&lt;=$B$7)</f>
        <v>0</v>
      </c>
      <c r="F13" s="9"/>
      <c r="G13" s="9"/>
      <c r="H13" s="9"/>
      <c r="I13" s="9"/>
      <c r="J13" s="9"/>
    </row>
    <row r="14" spans="1:4">
      <c r="A14">
        <v>4</v>
      </c>
      <c r="B14" s="5">
        <f ca="1">90+10*RAND()</f>
        <v>92.7835055110856</v>
      </c>
      <c r="C14">
        <f ca="1">1*(A14&lt;=$B$7)</f>
        <v>0</v>
      </c>
      <c r="D14" s="5">
        <f ca="1">B14*(A14&lt;=$B$7)</f>
        <v>0</v>
      </c>
    </row>
  </sheetData>
  <mergeCells count="3">
    <mergeCell ref="A1:J1"/>
    <mergeCell ref="F7:J7"/>
    <mergeCell ref="F8:J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Project Overview</vt:lpstr>
      <vt:lpstr>team grades</vt:lpstr>
      <vt:lpstr>team grades2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2026-10-02T10:30:10Z</dcterms:created>
  <dcterms:modified xsi:type="dcterms:W3CDTF">2026-10-02T10:33:54Z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82FC1C70883703FEE117BF6AA0D200F5_42</vt:lpwstr>
  </property>
  <property fmtid="{D5CDD505-2E9C-101B-9397-08002B2CF9AE}" pid="3" name="KSOProductBuildVer">
    <vt:lpwstr>1033-6.14.0.8924</vt:lpwstr>
  </property>
</Properties>
</file>